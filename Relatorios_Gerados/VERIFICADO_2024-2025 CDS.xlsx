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4" activeTab="6" autoFilterDateGrouping="1"/>
  </bookViews>
  <sheets>
    <sheet name="CDS-A" sheetId="1" state="visible" r:id="rId1"/>
    <sheet name="CDS-B" sheetId="2" state="visible" r:id="rId2"/>
    <sheet name="CDS-C" sheetId="3" state="visible" r:id="rId3"/>
    <sheet name="CDS-D" sheetId="4" state="visible" r:id="rId4"/>
    <sheet name="CDS-E" sheetId="5" state="visible" r:id="rId5"/>
    <sheet name="CDS-F" sheetId="6" state="visible" r:id="rId6"/>
    <sheet name="CDS-G" sheetId="7" state="visible" r:id="rId7"/>
    <sheet name="CDS-H" sheetId="8" state="visible" r:id="rId8"/>
    <sheet name="CDS-I" sheetId="9" state="visible" r:id="rId9"/>
    <sheet name="CDS-J" sheetId="10" state="visible" r:id="rId10"/>
    <sheet name="CDS Definitions" sheetId="11" state="visible" r:id="rId11"/>
    <sheet name="Answer Sheet" sheetId="12" state="visible" r:id="rId12"/>
  </sheets>
  <definedNames>
    <definedName name="_xlnm._FilterDatabase" localSheetId="0" hidden="1">'CDS-A'!$A$1:$L$77</definedName>
    <definedName name="_xlnm._FilterDatabase" localSheetId="1" hidden="1">'CDS-B'!$A$1:$L$432</definedName>
    <definedName name="_xlnm._FilterDatabase" localSheetId="2" hidden="1">'CDS-C'!$A$1:$L$592</definedName>
    <definedName name="_xlnm._FilterDatabase" localSheetId="3" hidden="1">'CDS-D'!$A$1:$L$177</definedName>
    <definedName name="_xlnm._FilterDatabase" localSheetId="4" hidden="1">'CDS-E'!$A$1:$L$59</definedName>
    <definedName name="_xlnm._FilterDatabase" localSheetId="5" hidden="1">'CDS-F'!$A$1:$L$101</definedName>
    <definedName name="_xlnm._FilterDatabase" localSheetId="6" hidden="1">'CDS-G'!$A$1:$L$105</definedName>
    <definedName name="_xlnm._FilterDatabase" localSheetId="7" hidden="1">'CDS-H'!$A$1:$L$415</definedName>
    <definedName name="_xlnm._FilterDatabase" localSheetId="8" hidden="1">'CDS-I'!$A$1:$L$152</definedName>
    <definedName name="_xlnm._FilterDatabase" localSheetId="9" hidden="1">'CDS-J'!$A$1:$L$149</definedName>
    <definedName name="_Hlk22631867" localSheetId="10">'CDS Definitions'!$A$103</definedName>
    <definedName name="_xlnm._FilterDatabase" localSheetId="11" hidden="1">'Answer Sheet'!$A$1:$L$1083</definedName>
  </definedNames>
  <calcPr calcId="191028" fullCalcOnLoad="1"/>
</workbook>
</file>

<file path=xl/styles.xml><?xml version="1.0" encoding="utf-8"?>
<styleSheet xmlns="http://schemas.openxmlformats.org/spreadsheetml/2006/main">
  <numFmts count="5">
    <numFmt numFmtId="164" formatCode="_(&quot;$&quot;* #,##0.00_);_(&quot;$&quot;* \(#,##0.00\);_(&quot;$&quot;* &quot;-&quot;??_);_(@_)"/>
    <numFmt numFmtId="165" formatCode="&quot;$&quot;#,##0;[Red]&quot;$&quot;#,##0"/>
    <numFmt numFmtId="166" formatCode="_(&quot;$&quot;\ \ \ #,##0_);_(&quot;$&quot;* \(#,##0\);_(&quot;$&quot;* &quot;-&quot;??_);_(@_)"/>
    <numFmt numFmtId="167" formatCode="0.0%"/>
    <numFmt numFmtId="168" formatCode="&quot;$&quot;#,##0_);[Red]\(&quot;$&quot;#,##0\)"/>
  </numFmts>
  <fonts count="30">
    <font>
      <name val="Aptos Narrow"/>
      <family val="2"/>
      <color theme="1"/>
      <sz val="11"/>
      <scheme val="minor"/>
    </font>
    <font>
      <name val="Aptos Narrow"/>
      <family val="2"/>
      <sz val="8"/>
      <scheme val="minor"/>
    </font>
    <font>
      <name val="Aptos Narrow"/>
      <family val="2"/>
      <b val="1"/>
      <color rgb="FF000000"/>
      <sz val="11"/>
      <scheme val="minor"/>
    </font>
    <font>
      <name val="Aptos Narrow"/>
      <family val="2"/>
      <b val="1"/>
      <color theme="1"/>
      <sz val="11"/>
      <scheme val="minor"/>
    </font>
    <font>
      <name val="Aptos Narrow"/>
      <family val="2"/>
      <color rgb="FFFF0000"/>
      <sz val="11"/>
      <scheme val="minor"/>
    </font>
    <font>
      <name val="Aptos Narrow"/>
      <family val="2"/>
      <sz val="11"/>
      <scheme val="minor"/>
    </font>
    <font>
      <name val="Aptos Narrow"/>
      <family val="2"/>
      <color rgb="FF000000"/>
      <sz val="10"/>
      <scheme val="minor"/>
    </font>
    <font>
      <name val="Arial"/>
      <family val="2"/>
      <color theme="1"/>
      <sz val="10"/>
    </font>
    <font>
      <name val="Aptos Narrow"/>
      <family val="2"/>
      <color rgb="FF000000"/>
      <sz val="10"/>
      <scheme val="minor"/>
    </font>
    <font>
      <name val="Arial"/>
      <family val="2"/>
      <b val="1"/>
      <color theme="1"/>
      <sz val="14"/>
    </font>
    <font>
      <name val="Noto Sans Symbols"/>
      <color rgb="FF000000"/>
      <sz val="9"/>
    </font>
    <font>
      <name val="Times New Roman"/>
      <family val="1"/>
      <color rgb="FF000000"/>
      <sz val="7"/>
    </font>
    <font>
      <name val="Times New Roman"/>
      <family val="1"/>
      <b val="1"/>
      <color rgb="FF000000"/>
      <sz val="9"/>
    </font>
    <font>
      <name val="Times New Roman"/>
      <family val="1"/>
      <color rgb="FF000000"/>
      <sz val="9"/>
    </font>
    <font>
      <name val="Noto Sans Symbols"/>
      <color rgb="FF000000"/>
      <sz val="9"/>
      <u val="single"/>
    </font>
    <font>
      <name val="Times New Roman"/>
      <family val="1"/>
      <color rgb="FF1155CC"/>
      <sz val="9"/>
      <u val="single"/>
    </font>
    <font>
      <name val="Times New Roman"/>
      <family val="1"/>
      <i val="1"/>
      <color rgb="FF000000"/>
      <sz val="9"/>
    </font>
    <font>
      <name val="Times New Roman"/>
      <family val="1"/>
      <b val="1"/>
      <color theme="1"/>
      <sz val="9"/>
    </font>
    <font>
      <name val="Times New Roman"/>
      <family val="1"/>
      <color theme="1"/>
      <sz val="9"/>
    </font>
    <font>
      <name val="Arial"/>
      <family val="2"/>
      <color rgb="FF0000FF"/>
      <sz val="9"/>
    </font>
    <font>
      <name val="EB Garamond"/>
      <b val="1"/>
      <color rgb="FF000000"/>
      <sz val="9"/>
    </font>
    <font>
      <name val="Adobe Garamond Pro"/>
      <i val="1"/>
      <color rgb="FF000000"/>
      <sz val="9"/>
    </font>
    <font>
      <name val="Adobe Garamond Pro"/>
      <color rgb="FF000000"/>
      <sz val="9"/>
    </font>
    <font>
      <name val="Times New Roman"/>
      <family val="1"/>
      <b val="1"/>
      <i val="1"/>
      <color rgb="FF000000"/>
      <sz val="9"/>
    </font>
    <font>
      <name val="Times New Roman"/>
      <family val="1"/>
      <color rgb="FF000000"/>
      <sz val="10"/>
    </font>
    <font>
      <name val="Times New Roman"/>
      <family val="1"/>
      <b val="1"/>
      <color theme="1"/>
      <sz val="11"/>
    </font>
    <font>
      <name val="Aptos Narrow"/>
      <family val="2"/>
      <color rgb="FF000000"/>
      <sz val="11"/>
      <scheme val="minor"/>
    </font>
    <font>
      <name val="Aptos Narrow"/>
      <family val="2"/>
      <color theme="1"/>
      <sz val="11"/>
      <scheme val="minor"/>
    </font>
    <font>
      <name val="Aptos Narrow"/>
      <family val="2"/>
      <color theme="10"/>
      <sz val="11"/>
      <u val="single"/>
      <scheme val="minor"/>
    </font>
    <font>
      <name val="Aptos Narrow"/>
      <family val="2"/>
      <color rgb="FF000000"/>
      <sz val="11"/>
    </font>
  </fonts>
  <fills count="3">
    <fill>
      <patternFill/>
    </fill>
    <fill>
      <patternFill patternType="gray125"/>
    </fill>
    <fill>
      <patternFill patternType="solid">
        <fgColor rgb="FFC0C0C0"/>
        <bgColor rgb="FFC0C0C0"/>
      </patternFill>
    </fill>
  </fills>
  <borders count="2">
    <border>
      <left/>
      <right/>
      <top/>
      <bottom/>
      <diagonal/>
    </border>
    <border>
      <left style="hair">
        <color rgb="FF000000"/>
      </left>
      <right style="hair">
        <color rgb="FF000000"/>
      </right>
      <top style="hair">
        <color rgb="FF000000"/>
      </top>
      <bottom style="hair">
        <color rgb="FF000000"/>
      </bottom>
      <diagonal/>
    </border>
  </borders>
  <cellStyleXfs count="6">
    <xf numFmtId="0" fontId="27" fillId="0" borderId="0"/>
    <xf numFmtId="0" fontId="8" fillId="0" borderId="0"/>
    <xf numFmtId="0" fontId="8" fillId="0" borderId="0"/>
    <xf numFmtId="44" fontId="27" fillId="0" borderId="0"/>
    <xf numFmtId="9" fontId="27" fillId="0" borderId="0"/>
    <xf numFmtId="0" fontId="28" fillId="0" borderId="0"/>
  </cellStyleXfs>
  <cellXfs count="57">
    <xf numFmtId="0" fontId="0" fillId="0" borderId="0" pivotButton="0" quotePrefix="0" xfId="0"/>
    <xf numFmtId="0" fontId="2" fillId="0" borderId="0" pivotButton="0" quotePrefix="0" xfId="0"/>
    <xf numFmtId="0" fontId="0" fillId="0" borderId="0" applyAlignment="1" pivotButton="0" quotePrefix="0" xfId="0">
      <alignment wrapText="1"/>
    </xf>
    <xf numFmtId="0" fontId="0" fillId="0" borderId="0" applyAlignment="1" pivotButton="0" quotePrefix="0" xfId="0">
      <alignment horizontal="right"/>
    </xf>
    <xf numFmtId="0" fontId="0" fillId="0" borderId="0" applyAlignment="1" pivotButton="0" quotePrefix="0" xfId="0">
      <alignment horizontal="center"/>
    </xf>
    <xf numFmtId="0" fontId="4" fillId="0" borderId="0" pivotButton="0" quotePrefix="0" xfId="0"/>
    <xf numFmtId="0" fontId="5"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left" wrapText="1"/>
    </xf>
    <xf numFmtId="0" fontId="7" fillId="0" borderId="0" applyAlignment="1" pivotButton="0" quotePrefix="0" xfId="1">
      <alignment horizontal="left" vertical="top"/>
    </xf>
    <xf numFmtId="0" fontId="7" fillId="0" borderId="0" applyAlignment="1" pivotButton="0" quotePrefix="0" xfId="1">
      <alignment horizontal="left" vertical="center" wrapText="1"/>
    </xf>
    <xf numFmtId="0" fontId="9" fillId="2" borderId="1" applyAlignment="1" pivotButton="0" quotePrefix="0" xfId="1">
      <alignment horizontal="center" vertical="center" wrapText="1"/>
    </xf>
    <xf numFmtId="0" fontId="7" fillId="0" borderId="0" applyAlignment="1" pivotButton="0" quotePrefix="0" xfId="1">
      <alignment wrapText="1"/>
    </xf>
    <xf numFmtId="0" fontId="6" fillId="0" borderId="0" pivotButton="0" quotePrefix="0" xfId="1"/>
    <xf numFmtId="0" fontId="10" fillId="0" borderId="0" applyAlignment="1" pivotButton="0" quotePrefix="0" xfId="1">
      <alignment horizontal="left" vertical="center"/>
    </xf>
    <xf numFmtId="0" fontId="13" fillId="0" borderId="0" applyAlignment="1" pivotButton="0" quotePrefix="0" xfId="1">
      <alignment horizontal="left" vertical="center"/>
    </xf>
    <xf numFmtId="0" fontId="14" fillId="0" borderId="0" applyAlignment="1" pivotButton="0" quotePrefix="0" xfId="1">
      <alignment horizontal="left" vertical="center"/>
    </xf>
    <xf numFmtId="0" fontId="12" fillId="0" borderId="0" applyAlignment="1" pivotButton="0" quotePrefix="0" xfId="1">
      <alignment horizontal="left" vertical="center"/>
    </xf>
    <xf numFmtId="0" fontId="17" fillId="0" borderId="0" applyAlignment="1" pivotButton="0" quotePrefix="0" xfId="1">
      <alignment horizontal="left" vertical="center"/>
    </xf>
    <xf numFmtId="0" fontId="18" fillId="0" borderId="0" applyAlignment="1" pivotButton="0" quotePrefix="0" xfId="1">
      <alignment horizontal="left" vertical="center"/>
    </xf>
    <xf numFmtId="0" fontId="20" fillId="0" borderId="0" applyAlignment="1" pivotButton="0" quotePrefix="0" xfId="1">
      <alignment horizontal="left" vertical="center"/>
    </xf>
    <xf numFmtId="0" fontId="23" fillId="0" borderId="0" applyAlignment="1" pivotButton="0" quotePrefix="0" xfId="1">
      <alignment horizontal="left" vertical="center"/>
    </xf>
    <xf numFmtId="0" fontId="16" fillId="0" borderId="0" applyAlignment="1" pivotButton="0" quotePrefix="0" xfId="1">
      <alignment horizontal="left" vertical="center"/>
    </xf>
    <xf numFmtId="0" fontId="24" fillId="0" borderId="0" applyAlignment="1" pivotButton="0" quotePrefix="0" xfId="1">
      <alignment horizontal="left" vertical="center"/>
    </xf>
    <xf numFmtId="0" fontId="25" fillId="0" borderId="0" applyAlignment="1" pivotButton="0" quotePrefix="0" xfId="1">
      <alignment horizontal="center" vertical="center"/>
    </xf>
    <xf numFmtId="0" fontId="7" fillId="0" borderId="1" applyAlignment="1" pivotButton="0" quotePrefix="0" xfId="1">
      <alignment horizontal="left" vertical="top" wrapText="1"/>
    </xf>
    <xf numFmtId="0" fontId="26" fillId="0" borderId="0" applyAlignment="1" pivotButton="0" quotePrefix="0" xfId="0">
      <alignment wrapText="1"/>
    </xf>
    <xf numFmtId="0" fontId="3" fillId="0" borderId="0" applyAlignment="1" pivotButton="0" quotePrefix="0" xfId="0">
      <alignment wrapText="1"/>
    </xf>
    <xf numFmtId="164" fontId="0" fillId="0" borderId="0" pivotButton="0" quotePrefix="0" xfId="3"/>
    <xf numFmtId="9" fontId="0" fillId="0" borderId="0" pivotButton="0" quotePrefix="0" xfId="4"/>
    <xf numFmtId="165" fontId="3" fillId="0" borderId="0" pivotButton="0" quotePrefix="0" xfId="0"/>
    <xf numFmtId="166" fontId="0" fillId="0" borderId="0" applyAlignment="1" pivotButton="0" quotePrefix="0" xfId="0">
      <alignment horizontal="center" vertical="center"/>
    </xf>
    <xf numFmtId="0" fontId="0" fillId="0" borderId="0" applyAlignment="1" pivotButton="0" quotePrefix="0" xfId="0">
      <alignment horizontal="left" vertical="top"/>
    </xf>
    <xf numFmtId="0" fontId="26" fillId="0" borderId="0" applyAlignment="1" pivotButton="0" quotePrefix="0" xfId="0">
      <alignment horizontal="left"/>
    </xf>
    <xf numFmtId="0" fontId="26" fillId="0" borderId="0" applyAlignment="1" pivotButton="0" quotePrefix="0" xfId="0">
      <alignment horizontal="right"/>
    </xf>
    <xf numFmtId="0" fontId="0" fillId="0" borderId="0" applyAlignment="1" pivotButton="0" quotePrefix="0" xfId="0">
      <alignment horizontal="left"/>
    </xf>
    <xf numFmtId="0" fontId="0" fillId="0" borderId="0" applyAlignment="1" pivotButton="0" quotePrefix="1" xfId="0">
      <alignment wrapText="1"/>
    </xf>
    <xf numFmtId="0" fontId="0" fillId="0" borderId="0" applyAlignment="1" pivotButton="0" quotePrefix="0" xfId="1">
      <alignment horizontal="left" vertical="top"/>
    </xf>
    <xf numFmtId="0" fontId="0" fillId="0" borderId="0" applyAlignment="1" pivotButton="0" quotePrefix="0" xfId="1">
      <alignment horizontal="left" vertical="center" wrapText="1"/>
    </xf>
    <xf numFmtId="2" fontId="7" fillId="0" borderId="0" applyAlignment="1" pivotButton="0" quotePrefix="0" xfId="0">
      <alignment horizontal="center" vertical="center"/>
    </xf>
    <xf numFmtId="10" fontId="7" fillId="0" borderId="0" applyAlignment="1" pivotButton="0" quotePrefix="0" xfId="0">
      <alignment horizontal="center" vertical="center"/>
    </xf>
    <xf numFmtId="165" fontId="7" fillId="0" borderId="0" pivotButton="0" quotePrefix="0" xfId="0"/>
    <xf numFmtId="9" fontId="0" fillId="0" borderId="0" pivotButton="0" quotePrefix="0" xfId="0"/>
    <xf numFmtId="0" fontId="28" fillId="0" borderId="0" pivotButton="0" quotePrefix="0" xfId="5"/>
    <xf numFmtId="0" fontId="0" fillId="0" borderId="0" pivotButton="0" quotePrefix="0" xfId="0"/>
    <xf numFmtId="167" fontId="0" fillId="0" borderId="0" applyAlignment="1" pivotButton="0" quotePrefix="0" xfId="0">
      <alignment wrapText="1"/>
    </xf>
    <xf numFmtId="14" fontId="0" fillId="0" borderId="0" pivotButton="0" quotePrefix="0" xfId="0"/>
    <xf numFmtId="168" fontId="0" fillId="0" borderId="0" pivotButton="0" quotePrefix="0" xfId="0"/>
    <xf numFmtId="0" fontId="29" fillId="0" borderId="0" pivotButton="0" quotePrefix="0" xfId="0"/>
    <xf numFmtId="9" fontId="7" fillId="0" borderId="0" applyAlignment="1" pivotButton="0" quotePrefix="0" xfId="0">
      <alignment horizontal="center" vertical="center"/>
    </xf>
    <xf numFmtId="16" fontId="0" fillId="0" borderId="0" pivotButton="0" quotePrefix="0" xfId="0"/>
    <xf numFmtId="167" fontId="0" fillId="0" borderId="0" applyAlignment="1" pivotButton="0" quotePrefix="0" xfId="0">
      <alignment wrapText="1"/>
    </xf>
    <xf numFmtId="165" fontId="7" fillId="0" borderId="0" pivotButton="0" quotePrefix="0" xfId="0"/>
    <xf numFmtId="168" fontId="0" fillId="0" borderId="0" pivotButton="0" quotePrefix="0" xfId="0"/>
    <xf numFmtId="165" fontId="3" fillId="0" borderId="0" pivotButton="0" quotePrefix="0" xfId="0"/>
    <xf numFmtId="164" fontId="0" fillId="0" borderId="0" pivotButton="0" quotePrefix="0" xfId="3"/>
    <xf numFmtId="166" fontId="0" fillId="0" borderId="0" applyAlignment="1" pivotButton="0" quotePrefix="0" xfId="0">
      <alignment horizontal="center" vertical="center"/>
    </xf>
  </cellXfs>
  <cellStyles count="6">
    <cellStyle name="Normal" xfId="0" builtinId="0"/>
    <cellStyle name="Normal 3" xfId="1"/>
    <cellStyle name="Normal 2" xfId="2"/>
    <cellStyle name="Currency" xfId="3" builtinId="4"/>
    <cellStyle name="Percent" xfId="4" builtinId="5"/>
    <cellStyle name="Hyperlink"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sara.lazenby@wisc.edu" TargetMode="External" Id="rId1" /><Relationship Type="http://schemas.openxmlformats.org/officeDocument/2006/relationships/hyperlink" Target="https://data.wisc.edu/common-data-set-and-rankings/" TargetMode="External" Id="rId2" /><Relationship Type="http://schemas.openxmlformats.org/officeDocument/2006/relationships/hyperlink" Target="https://www.wisc.edu" TargetMode="External" Id="rId3" /><Relationship Type="http://schemas.openxmlformats.org/officeDocument/2006/relationships/hyperlink" Target="mailto:onwisconsin@admissions.wisc.edu" TargetMode="External" Id="rId4" /><Relationship Type="http://schemas.openxmlformats.org/officeDocument/2006/relationships/hyperlink" Target="https://admissions.wisc.edu/apply-as-a-freshman/" TargetMode="External" Id="rId5" /><Relationship Type="http://schemas.openxmlformats.org/officeDocument/2006/relationships/hyperlink" Target="https://diversity.wisc.edu" TargetMode="External" Id="rId6" /></Relationships>
</file>

<file path=xl/worksheets/_rels/sheet4.xml.rels><Relationships xmlns="http://schemas.openxmlformats.org/package/2006/relationships"><Relationship Type="http://schemas.openxmlformats.org/officeDocument/2006/relationships/hyperlink" Target="https://admissions.wisc.edu/veterans-and-active-military/" TargetMode="External" Id="rId1" /></Relationships>
</file>

<file path=xl/worksheets/_rels/sheet7.xml.rels><Relationships xmlns="http://schemas.openxmlformats.org/package/2006/relationships"><Relationship Type="http://schemas.openxmlformats.org/officeDocument/2006/relationships/hyperlink" Target="https://app.meadowfi.com/wisconsin" TargetMode="External" Id="rId1" /></Relationships>
</file>

<file path=xl/worksheets/_rels/sheet11.xml.rels><Relationships xmlns="http://schemas.openxmlformats.org/package/2006/relationships"><Relationship Type="http://schemas.openxmlformats.org/officeDocument/2006/relationships/hyperlink" Target="https://surveys.nces.ed.gov/ipeds/public/glossary" TargetMode="External" Id="rId1" /></Relationships>
</file>

<file path=xl/worksheets/sheet1.xml><?xml version="1.0" encoding="utf-8"?>
<worksheet xmlns="http://schemas.openxmlformats.org/spreadsheetml/2006/main">
  <sheetPr>
    <outlinePr summaryBelow="1" summaryRight="1"/>
    <pageSetUpPr/>
  </sheetPr>
  <dimension ref="A1:L77"/>
  <sheetViews>
    <sheetView zoomScaleNormal="100" workbookViewId="0">
      <pane ySplit="1" topLeftCell="A61" activePane="bottomLeft" state="frozen"/>
      <selection pane="bottomLeft" activeCell="C37" sqref="C37"/>
    </sheetView>
  </sheetViews>
  <sheetFormatPr baseColWidth="8" defaultRowHeight="15"/>
  <cols>
    <col width="48.42578125" customWidth="1" style="44" min="2" max="2"/>
    <col width="38.8554687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ht="18" customHeight="1" s="44"/>
    <row r="6" ht="18" customHeight="1" s="44">
      <c r="A6" t="inlineStr">
        <is>
          <t>A01</t>
        </is>
      </c>
      <c r="B6" t="inlineStr">
        <is>
          <t>Name:</t>
        </is>
      </c>
      <c r="C6" t="inlineStr">
        <is>
          <t>Sara Lazenby</t>
        </is>
      </c>
      <c r="D6" t="inlineStr">
        <is>
          <t>General Information</t>
        </is>
      </c>
      <c r="E6" t="inlineStr">
        <is>
          <t>Respondent Information</t>
        </is>
      </c>
      <c r="F6" t="inlineStr">
        <is>
          <t>All</t>
        </is>
      </c>
      <c r="G6" t="inlineStr">
        <is>
          <t>All</t>
        </is>
      </c>
      <c r="H6" t="inlineStr">
        <is>
          <t>All</t>
        </is>
      </c>
      <c r="I6" t="inlineStr">
        <is>
          <t>All</t>
        </is>
      </c>
      <c r="J6" t="inlineStr">
        <is>
          <t>All</t>
        </is>
      </c>
      <c r="K6" t="inlineStr">
        <is>
          <t>All</t>
        </is>
      </c>
      <c r="L6" t="inlineStr">
        <is>
          <t>Text</t>
        </is>
      </c>
    </row>
    <row r="7" ht="18" customHeight="1" s="44">
      <c r="A7" t="inlineStr">
        <is>
          <t>A02</t>
        </is>
      </c>
      <c r="B7" t="inlineStr">
        <is>
          <t>Title:</t>
        </is>
      </c>
      <c r="C7" t="inlineStr">
        <is>
          <t>Distinguished Institutional Policy Analyst</t>
        </is>
      </c>
      <c r="D7" t="inlineStr">
        <is>
          <t>General Information</t>
        </is>
      </c>
      <c r="E7" t="inlineStr">
        <is>
          <t>Respondent Information</t>
        </is>
      </c>
      <c r="F7" t="inlineStr">
        <is>
          <t>All</t>
        </is>
      </c>
      <c r="G7" t="inlineStr">
        <is>
          <t>All</t>
        </is>
      </c>
      <c r="H7" t="inlineStr">
        <is>
          <t>All</t>
        </is>
      </c>
      <c r="I7" t="inlineStr">
        <is>
          <t>All</t>
        </is>
      </c>
      <c r="J7" t="inlineStr">
        <is>
          <t>All</t>
        </is>
      </c>
      <c r="K7" t="inlineStr">
        <is>
          <t>All</t>
        </is>
      </c>
      <c r="L7" t="inlineStr">
        <is>
          <t>Text</t>
        </is>
      </c>
    </row>
    <row r="8" ht="18" customHeight="1" s="44">
      <c r="A8" t="inlineStr">
        <is>
          <t>A03</t>
        </is>
      </c>
      <c r="B8" t="inlineStr">
        <is>
          <t>Office:</t>
        </is>
      </c>
      <c r="C8" t="inlineStr">
        <is>
          <t>Office of Data, Academic Planning &amp; Institutional Research</t>
        </is>
      </c>
      <c r="D8" t="inlineStr">
        <is>
          <t>General Information</t>
        </is>
      </c>
      <c r="E8" t="inlineStr">
        <is>
          <t>Respondent Information</t>
        </is>
      </c>
      <c r="F8" t="inlineStr">
        <is>
          <t>All</t>
        </is>
      </c>
      <c r="G8" t="inlineStr">
        <is>
          <t>All</t>
        </is>
      </c>
      <c r="H8" t="inlineStr">
        <is>
          <t>All</t>
        </is>
      </c>
      <c r="I8" t="inlineStr">
        <is>
          <t>All</t>
        </is>
      </c>
      <c r="J8" t="inlineStr">
        <is>
          <t>All</t>
        </is>
      </c>
      <c r="K8" t="inlineStr">
        <is>
          <t>All</t>
        </is>
      </c>
      <c r="L8" t="inlineStr">
        <is>
          <t>Text</t>
        </is>
      </c>
    </row>
    <row r="9" ht="18" customHeight="1" s="44">
      <c r="A9" t="inlineStr">
        <is>
          <t>A04</t>
        </is>
      </c>
      <c r="B9" t="inlineStr">
        <is>
          <t>Mailing Address:</t>
        </is>
      </c>
      <c r="C9" t="inlineStr">
        <is>
          <t>170 Bascom Hall, 500 Lincoln Drive</t>
        </is>
      </c>
      <c r="D9" t="inlineStr">
        <is>
          <t>General Information</t>
        </is>
      </c>
      <c r="E9" t="inlineStr">
        <is>
          <t>Respondent Information</t>
        </is>
      </c>
      <c r="F9" t="inlineStr">
        <is>
          <t>All</t>
        </is>
      </c>
      <c r="G9" t="inlineStr">
        <is>
          <t>All</t>
        </is>
      </c>
      <c r="H9" t="inlineStr">
        <is>
          <t>All</t>
        </is>
      </c>
      <c r="I9" t="inlineStr">
        <is>
          <t>All</t>
        </is>
      </c>
      <c r="J9" t="inlineStr">
        <is>
          <t>All</t>
        </is>
      </c>
      <c r="K9" t="inlineStr">
        <is>
          <t>All</t>
        </is>
      </c>
      <c r="L9" t="inlineStr">
        <is>
          <t>Text</t>
        </is>
      </c>
    </row>
    <row r="10" ht="18" customHeight="1" s="44">
      <c r="A10" t="inlineStr">
        <is>
          <t>A05</t>
        </is>
      </c>
      <c r="B10" t="inlineStr">
        <is>
          <t>City/State/Zip/Country:</t>
        </is>
      </c>
      <c r="C10" t="inlineStr">
        <is>
          <t>Madison, WI, 53706</t>
        </is>
      </c>
      <c r="D10" t="inlineStr">
        <is>
          <t>General Information</t>
        </is>
      </c>
      <c r="E10" t="inlineStr">
        <is>
          <t>Respondent Information</t>
        </is>
      </c>
      <c r="F10" t="inlineStr">
        <is>
          <t>All</t>
        </is>
      </c>
      <c r="G10" t="inlineStr">
        <is>
          <t>All</t>
        </is>
      </c>
      <c r="H10" t="inlineStr">
        <is>
          <t>All</t>
        </is>
      </c>
      <c r="I10" t="inlineStr">
        <is>
          <t>All</t>
        </is>
      </c>
      <c r="J10" t="inlineStr">
        <is>
          <t>All</t>
        </is>
      </c>
      <c r="K10" t="inlineStr">
        <is>
          <t>All</t>
        </is>
      </c>
      <c r="L10" t="inlineStr">
        <is>
          <t>Text</t>
        </is>
      </c>
    </row>
    <row r="11" ht="18" customHeight="1" s="44">
      <c r="A11" t="inlineStr">
        <is>
          <t>A06</t>
        </is>
      </c>
      <c r="B11" t="inlineStr">
        <is>
          <t>Phone:</t>
        </is>
      </c>
      <c r="C11" t="inlineStr">
        <is>
          <t>608-263-5945</t>
        </is>
      </c>
      <c r="D11" t="inlineStr">
        <is>
          <t>General Information</t>
        </is>
      </c>
      <c r="E11" t="inlineStr">
        <is>
          <t>Respondent Information</t>
        </is>
      </c>
      <c r="F11" t="inlineStr">
        <is>
          <t>All</t>
        </is>
      </c>
      <c r="G11" t="inlineStr">
        <is>
          <t>All</t>
        </is>
      </c>
      <c r="H11" t="inlineStr">
        <is>
          <t>All</t>
        </is>
      </c>
      <c r="I11" t="inlineStr">
        <is>
          <t>All</t>
        </is>
      </c>
      <c r="J11" t="inlineStr">
        <is>
          <t>All</t>
        </is>
      </c>
      <c r="K11" t="inlineStr">
        <is>
          <t>All</t>
        </is>
      </c>
      <c r="L11" t="inlineStr">
        <is>
          <t>Text</t>
        </is>
      </c>
    </row>
    <row r="12" ht="18" customHeight="1" s="44">
      <c r="A12" t="inlineStr">
        <is>
          <t>A07</t>
        </is>
      </c>
      <c r="B12" t="inlineStr">
        <is>
          <t>Fax:</t>
        </is>
      </c>
      <c r="C12" t="inlineStr">
        <is>
          <t>n/a</t>
        </is>
      </c>
      <c r="D12" t="inlineStr">
        <is>
          <t>General Information</t>
        </is>
      </c>
      <c r="E12" t="inlineStr">
        <is>
          <t>Respondent Information</t>
        </is>
      </c>
      <c r="F12" t="inlineStr">
        <is>
          <t>All</t>
        </is>
      </c>
      <c r="G12" t="inlineStr">
        <is>
          <t>All</t>
        </is>
      </c>
      <c r="H12" t="inlineStr">
        <is>
          <t>All</t>
        </is>
      </c>
      <c r="I12" t="inlineStr">
        <is>
          <t>All</t>
        </is>
      </c>
      <c r="J12" t="inlineStr">
        <is>
          <t>All</t>
        </is>
      </c>
      <c r="K12" t="inlineStr">
        <is>
          <t>All</t>
        </is>
      </c>
      <c r="L12" t="inlineStr">
        <is>
          <t>Text</t>
        </is>
      </c>
    </row>
    <row r="13" ht="18" customHeight="1" s="44">
      <c r="A13" t="inlineStr">
        <is>
          <t>A08</t>
        </is>
      </c>
      <c r="B13" t="inlineStr">
        <is>
          <t>E-mail Address:</t>
        </is>
      </c>
      <c r="C13" s="43" t="inlineStr">
        <is>
          <t>sara.lazenby@wisc.edu</t>
        </is>
      </c>
      <c r="D13" t="inlineStr">
        <is>
          <t>General Information</t>
        </is>
      </c>
      <c r="E13" t="inlineStr">
        <is>
          <t>Respondent Information</t>
        </is>
      </c>
      <c r="F13" t="inlineStr">
        <is>
          <t>All</t>
        </is>
      </c>
      <c r="G13" t="inlineStr">
        <is>
          <t>All</t>
        </is>
      </c>
      <c r="H13" t="inlineStr">
        <is>
          <t>All</t>
        </is>
      </c>
      <c r="I13" t="inlineStr">
        <is>
          <t>All</t>
        </is>
      </c>
      <c r="J13" t="inlineStr">
        <is>
          <t>All</t>
        </is>
      </c>
      <c r="K13" t="inlineStr">
        <is>
          <t>All</t>
        </is>
      </c>
      <c r="L13" t="inlineStr">
        <is>
          <t>Email Address</t>
        </is>
      </c>
    </row>
    <row r="14"/>
    <row r="15" ht="18" customHeight="1" s="44"/>
    <row r="16" ht="30" customHeight="1" s="44">
      <c r="A16" t="inlineStr">
        <is>
          <t>A09</t>
        </is>
      </c>
      <c r="B16" s="2" t="inlineStr">
        <is>
          <t>Are your responses to the CDS posted for reference on your institution's Web site?</t>
        </is>
      </c>
      <c r="C16" t="inlineStr">
        <is>
          <t>Y</t>
        </is>
      </c>
      <c r="D16" t="inlineStr">
        <is>
          <t>General Information</t>
        </is>
      </c>
      <c r="E16" t="inlineStr">
        <is>
          <t>Respondent Information</t>
        </is>
      </c>
      <c r="F16" t="inlineStr">
        <is>
          <t>All</t>
        </is>
      </c>
      <c r="G16" t="inlineStr">
        <is>
          <t>All</t>
        </is>
      </c>
      <c r="H16" t="inlineStr">
        <is>
          <t>All</t>
        </is>
      </c>
      <c r="I16" t="inlineStr">
        <is>
          <t>All</t>
        </is>
      </c>
      <c r="J16" t="inlineStr">
        <is>
          <t>All</t>
        </is>
      </c>
      <c r="K16" t="inlineStr">
        <is>
          <t>All</t>
        </is>
      </c>
      <c r="L16" t="inlineStr">
        <is>
          <t>YN</t>
        </is>
      </c>
    </row>
    <row r="17" ht="18" customHeight="1" s="44">
      <c r="B17" s="2" t="n"/>
    </row>
    <row r="18" ht="29.25" customHeight="1" s="44">
      <c r="A18" t="inlineStr">
        <is>
          <t>A010</t>
        </is>
      </c>
      <c r="B18" s="2" t="inlineStr">
        <is>
          <t>If yes, please provide the URL of the corresponding Web page:</t>
        </is>
      </c>
      <c r="C18" s="43" t="inlineStr">
        <is>
          <t>https://data.wisc.edu/common-data-set-and-rankings/</t>
        </is>
      </c>
      <c r="D18" t="inlineStr">
        <is>
          <t>General Information</t>
        </is>
      </c>
      <c r="E18" t="inlineStr">
        <is>
          <t>Respondent Information</t>
        </is>
      </c>
      <c r="F18" t="inlineStr">
        <is>
          <t>All</t>
        </is>
      </c>
      <c r="G18" t="inlineStr">
        <is>
          <t>All</t>
        </is>
      </c>
      <c r="H18" t="inlineStr">
        <is>
          <t>All</t>
        </is>
      </c>
      <c r="I18" t="inlineStr">
        <is>
          <t>All</t>
        </is>
      </c>
      <c r="J18" t="inlineStr">
        <is>
          <t>All</t>
        </is>
      </c>
      <c r="K18" t="inlineStr">
        <is>
          <t>All</t>
        </is>
      </c>
      <c r="L18" t="inlineStr">
        <is>
          <t>URL</t>
        </is>
      </c>
    </row>
    <row r="19" ht="18" customHeight="1" s="44"/>
    <row r="20" ht="105" customHeight="1" s="44">
      <c r="A20" t="inlineStr">
        <is>
          <t>A0A</t>
        </is>
      </c>
      <c r="B20" s="2" t="inlineStr">
        <is>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is>
      </c>
      <c r="D20" t="inlineStr">
        <is>
          <t>General Information</t>
        </is>
      </c>
      <c r="E20" t="inlineStr">
        <is>
          <t>Respondent Information</t>
        </is>
      </c>
      <c r="F20" t="inlineStr">
        <is>
          <t>All</t>
        </is>
      </c>
      <c r="G20" t="inlineStr">
        <is>
          <t>All</t>
        </is>
      </c>
      <c r="H20" t="inlineStr">
        <is>
          <t>All</t>
        </is>
      </c>
      <c r="I20" t="inlineStr">
        <is>
          <t>All</t>
        </is>
      </c>
      <c r="J20" t="inlineStr">
        <is>
          <t>All</t>
        </is>
      </c>
      <c r="K20" t="inlineStr">
        <is>
          <t>All</t>
        </is>
      </c>
      <c r="L20" t="inlineStr">
        <is>
          <t>Text</t>
        </is>
      </c>
    </row>
    <row r="21">
      <c r="B21" s="2" t="n"/>
    </row>
    <row r="22"/>
    <row r="23" ht="18" customHeight="1" s="44"/>
    <row r="24" ht="18" customHeight="1" s="44">
      <c r="A24" t="inlineStr">
        <is>
          <t>A101</t>
        </is>
      </c>
      <c r="B24" t="inlineStr">
        <is>
          <t>Name of College/University:</t>
        </is>
      </c>
      <c r="C24" t="inlineStr">
        <is>
          <t>University of Wisconsin--Madison</t>
        </is>
      </c>
      <c r="D24" t="inlineStr">
        <is>
          <t>General Information</t>
        </is>
      </c>
      <c r="E24" t="inlineStr">
        <is>
          <t>Address Information</t>
        </is>
      </c>
      <c r="F24" t="inlineStr">
        <is>
          <t>All</t>
        </is>
      </c>
      <c r="G24" t="inlineStr">
        <is>
          <t>All</t>
        </is>
      </c>
      <c r="H24" t="inlineStr">
        <is>
          <t>All</t>
        </is>
      </c>
      <c r="I24" t="inlineStr">
        <is>
          <t>All</t>
        </is>
      </c>
      <c r="J24" t="inlineStr">
        <is>
          <t>All</t>
        </is>
      </c>
      <c r="K24" t="inlineStr">
        <is>
          <t>All</t>
        </is>
      </c>
      <c r="L24" t="inlineStr">
        <is>
          <t>Text</t>
        </is>
      </c>
    </row>
    <row r="25" ht="18" customHeight="1" s="44">
      <c r="A25" t="inlineStr">
        <is>
          <t>A102</t>
        </is>
      </c>
      <c r="B25" t="inlineStr">
        <is>
          <t>Mailing Address:</t>
        </is>
      </c>
      <c r="C25" t="inlineStr">
        <is>
          <t>500 Lincoln Drive</t>
        </is>
      </c>
      <c r="D25" t="inlineStr">
        <is>
          <t>General Information</t>
        </is>
      </c>
      <c r="E25" t="inlineStr">
        <is>
          <t>Address Information</t>
        </is>
      </c>
      <c r="F25" t="inlineStr">
        <is>
          <t>All</t>
        </is>
      </c>
      <c r="G25" t="inlineStr">
        <is>
          <t>All</t>
        </is>
      </c>
      <c r="H25" t="inlineStr">
        <is>
          <t>All</t>
        </is>
      </c>
      <c r="I25" t="inlineStr">
        <is>
          <t>All</t>
        </is>
      </c>
      <c r="J25" t="inlineStr">
        <is>
          <t>All</t>
        </is>
      </c>
      <c r="K25" t="inlineStr">
        <is>
          <t>All</t>
        </is>
      </c>
      <c r="L25" t="inlineStr">
        <is>
          <t>Text</t>
        </is>
      </c>
    </row>
    <row r="26" ht="18" customHeight="1" s="44">
      <c r="A26" t="inlineStr">
        <is>
          <t>A103</t>
        </is>
      </c>
      <c r="B26" t="inlineStr">
        <is>
          <t>City/State/Zip/Country:</t>
        </is>
      </c>
      <c r="C26" t="inlineStr">
        <is>
          <t>Madison, WI 53706</t>
        </is>
      </c>
      <c r="D26" t="inlineStr">
        <is>
          <t>General Information</t>
        </is>
      </c>
      <c r="E26" t="inlineStr">
        <is>
          <t>Address Information</t>
        </is>
      </c>
      <c r="F26" t="inlineStr">
        <is>
          <t>All</t>
        </is>
      </c>
      <c r="G26" t="inlineStr">
        <is>
          <t>All</t>
        </is>
      </c>
      <c r="H26" t="inlineStr">
        <is>
          <t>All</t>
        </is>
      </c>
      <c r="I26" t="inlineStr">
        <is>
          <t>All</t>
        </is>
      </c>
      <c r="J26" t="inlineStr">
        <is>
          <t>All</t>
        </is>
      </c>
      <c r="K26" t="inlineStr">
        <is>
          <t>All</t>
        </is>
      </c>
      <c r="L26" t="inlineStr">
        <is>
          <t>Text</t>
        </is>
      </c>
    </row>
    <row r="27" ht="18" customHeight="1" s="44">
      <c r="A27" t="inlineStr">
        <is>
          <t>A104</t>
        </is>
      </c>
      <c r="B27" t="inlineStr">
        <is>
          <t>Street Address (if different):</t>
        </is>
      </c>
      <c r="D27" t="inlineStr">
        <is>
          <t>General Information</t>
        </is>
      </c>
      <c r="E27" t="inlineStr">
        <is>
          <t>Address Information</t>
        </is>
      </c>
      <c r="F27" t="inlineStr">
        <is>
          <t>All</t>
        </is>
      </c>
      <c r="G27" t="inlineStr">
        <is>
          <t>All</t>
        </is>
      </c>
      <c r="H27" t="inlineStr">
        <is>
          <t>All</t>
        </is>
      </c>
      <c r="I27" t="inlineStr">
        <is>
          <t>All</t>
        </is>
      </c>
      <c r="J27" t="inlineStr">
        <is>
          <t>All</t>
        </is>
      </c>
      <c r="K27" t="inlineStr">
        <is>
          <t>All</t>
        </is>
      </c>
      <c r="L27" t="inlineStr">
        <is>
          <t>Text</t>
        </is>
      </c>
    </row>
    <row r="28" ht="18" customHeight="1" s="44">
      <c r="A28" t="inlineStr">
        <is>
          <t>A105</t>
        </is>
      </c>
      <c r="B28" t="inlineStr">
        <is>
          <t>City/State/Zip/Country:</t>
        </is>
      </c>
      <c r="D28" t="inlineStr">
        <is>
          <t>General Information</t>
        </is>
      </c>
      <c r="E28" t="inlineStr">
        <is>
          <t>Address Information</t>
        </is>
      </c>
      <c r="F28" t="inlineStr">
        <is>
          <t>All</t>
        </is>
      </c>
      <c r="G28" t="inlineStr">
        <is>
          <t>All</t>
        </is>
      </c>
      <c r="H28" t="inlineStr">
        <is>
          <t>All</t>
        </is>
      </c>
      <c r="I28" t="inlineStr">
        <is>
          <t>All</t>
        </is>
      </c>
      <c r="J28" t="inlineStr">
        <is>
          <t>All</t>
        </is>
      </c>
      <c r="K28" t="inlineStr">
        <is>
          <t>All</t>
        </is>
      </c>
      <c r="L28" t="inlineStr">
        <is>
          <t>Text</t>
        </is>
      </c>
    </row>
    <row r="29" ht="18" customHeight="1" s="44">
      <c r="A29" t="inlineStr">
        <is>
          <t>A106</t>
        </is>
      </c>
      <c r="B29" t="inlineStr">
        <is>
          <t>Main Phone Number:</t>
        </is>
      </c>
      <c r="C29" t="inlineStr">
        <is>
          <t>608-263-2400</t>
        </is>
      </c>
      <c r="D29" t="inlineStr">
        <is>
          <t>General Information</t>
        </is>
      </c>
      <c r="E29" t="inlineStr">
        <is>
          <t>Address Information</t>
        </is>
      </c>
      <c r="F29" t="inlineStr">
        <is>
          <t>All</t>
        </is>
      </c>
      <c r="G29" t="inlineStr">
        <is>
          <t>All</t>
        </is>
      </c>
      <c r="H29" t="inlineStr">
        <is>
          <t>All</t>
        </is>
      </c>
      <c r="I29" t="inlineStr">
        <is>
          <t>All</t>
        </is>
      </c>
      <c r="J29" t="inlineStr">
        <is>
          <t>All</t>
        </is>
      </c>
      <c r="K29" t="inlineStr">
        <is>
          <t>All</t>
        </is>
      </c>
      <c r="L29" t="inlineStr">
        <is>
          <t>Text</t>
        </is>
      </c>
    </row>
    <row r="30" ht="18" customHeight="1" s="44">
      <c r="A30" t="inlineStr">
        <is>
          <t>A107</t>
        </is>
      </c>
      <c r="B30" t="inlineStr">
        <is>
          <t>WWW Home Page Address:</t>
        </is>
      </c>
      <c r="C30" s="43" t="inlineStr">
        <is>
          <t>https://www.wisc.edu</t>
        </is>
      </c>
      <c r="D30" t="inlineStr">
        <is>
          <t>General Information</t>
        </is>
      </c>
      <c r="E30" t="inlineStr">
        <is>
          <t>Address Information</t>
        </is>
      </c>
      <c r="F30" t="inlineStr">
        <is>
          <t>All</t>
        </is>
      </c>
      <c r="G30" t="inlineStr">
        <is>
          <t>All</t>
        </is>
      </c>
      <c r="H30" t="inlineStr">
        <is>
          <t>All</t>
        </is>
      </c>
      <c r="I30" t="inlineStr">
        <is>
          <t>All</t>
        </is>
      </c>
      <c r="J30" t="inlineStr">
        <is>
          <t>All</t>
        </is>
      </c>
      <c r="K30" t="inlineStr">
        <is>
          <t>All</t>
        </is>
      </c>
      <c r="L30" t="inlineStr">
        <is>
          <t>Text</t>
        </is>
      </c>
    </row>
    <row r="31" ht="18" customHeight="1" s="44">
      <c r="A31" t="inlineStr">
        <is>
          <t>A108</t>
        </is>
      </c>
      <c r="B31" t="inlineStr">
        <is>
          <t>Admissions Phone Number:</t>
        </is>
      </c>
      <c r="C31" t="inlineStr">
        <is>
          <t>608-262-3691</t>
        </is>
      </c>
      <c r="D31" t="inlineStr">
        <is>
          <t>General Information</t>
        </is>
      </c>
      <c r="E31" t="inlineStr">
        <is>
          <t>Address Information</t>
        </is>
      </c>
      <c r="F31" t="inlineStr">
        <is>
          <t>All</t>
        </is>
      </c>
      <c r="G31" t="inlineStr">
        <is>
          <t>All</t>
        </is>
      </c>
      <c r="H31" t="inlineStr">
        <is>
          <t>All</t>
        </is>
      </c>
      <c r="I31" t="inlineStr">
        <is>
          <t>All</t>
        </is>
      </c>
      <c r="J31" t="inlineStr">
        <is>
          <t>All</t>
        </is>
      </c>
      <c r="K31" t="inlineStr">
        <is>
          <t>All</t>
        </is>
      </c>
      <c r="L31" t="inlineStr">
        <is>
          <t>Text</t>
        </is>
      </c>
    </row>
    <row r="32" ht="18" customHeight="1" s="44">
      <c r="A32" t="inlineStr">
        <is>
          <t>A109</t>
        </is>
      </c>
      <c r="B32" t="inlineStr">
        <is>
          <t>Admissions Toll-Free Phone Number:</t>
        </is>
      </c>
      <c r="D32" t="inlineStr">
        <is>
          <t>General Information</t>
        </is>
      </c>
      <c r="E32" t="inlineStr">
        <is>
          <t>Address Information</t>
        </is>
      </c>
      <c r="F32" t="inlineStr">
        <is>
          <t>All</t>
        </is>
      </c>
      <c r="G32" t="inlineStr">
        <is>
          <t>All</t>
        </is>
      </c>
      <c r="H32" t="inlineStr">
        <is>
          <t>All</t>
        </is>
      </c>
      <c r="I32" t="inlineStr">
        <is>
          <t>All</t>
        </is>
      </c>
      <c r="J32" t="inlineStr">
        <is>
          <t>All</t>
        </is>
      </c>
      <c r="K32" t="inlineStr">
        <is>
          <t>All</t>
        </is>
      </c>
      <c r="L32" t="inlineStr">
        <is>
          <t>Text</t>
        </is>
      </c>
    </row>
    <row r="33" ht="18" customHeight="1" s="44">
      <c r="A33" t="inlineStr">
        <is>
          <t>A110</t>
        </is>
      </c>
      <c r="B33" t="inlineStr">
        <is>
          <t>Admissions Office Mailing Address:</t>
        </is>
      </c>
      <c r="C33" t="inlineStr">
        <is>
          <t>702 West Johnson Street, Suite 1101</t>
        </is>
      </c>
      <c r="D33" t="inlineStr">
        <is>
          <t>General Information</t>
        </is>
      </c>
      <c r="E33" t="inlineStr">
        <is>
          <t>Address Information</t>
        </is>
      </c>
      <c r="F33" t="inlineStr">
        <is>
          <t>All</t>
        </is>
      </c>
      <c r="G33" t="inlineStr">
        <is>
          <t>All</t>
        </is>
      </c>
      <c r="H33" t="inlineStr">
        <is>
          <t>All</t>
        </is>
      </c>
      <c r="I33" t="inlineStr">
        <is>
          <t>All</t>
        </is>
      </c>
      <c r="J33" t="inlineStr">
        <is>
          <t>All</t>
        </is>
      </c>
      <c r="K33" t="inlineStr">
        <is>
          <t>All</t>
        </is>
      </c>
      <c r="L33" t="inlineStr">
        <is>
          <t>Text</t>
        </is>
      </c>
    </row>
    <row r="34" ht="18" customHeight="1" s="44">
      <c r="A34" t="inlineStr">
        <is>
          <t>A111</t>
        </is>
      </c>
      <c r="B34" t="inlineStr">
        <is>
          <t>City/State/Zip/Country:</t>
        </is>
      </c>
      <c r="C34" t="inlineStr">
        <is>
          <t>Madison, WI 53715</t>
        </is>
      </c>
      <c r="D34" t="inlineStr">
        <is>
          <t>General Information</t>
        </is>
      </c>
      <c r="E34" t="inlineStr">
        <is>
          <t>Address Information</t>
        </is>
      </c>
      <c r="F34" t="inlineStr">
        <is>
          <t>All</t>
        </is>
      </c>
      <c r="G34" t="inlineStr">
        <is>
          <t>All</t>
        </is>
      </c>
      <c r="H34" t="inlineStr">
        <is>
          <t>All</t>
        </is>
      </c>
      <c r="I34" t="inlineStr">
        <is>
          <t>All</t>
        </is>
      </c>
      <c r="J34" t="inlineStr">
        <is>
          <t>All</t>
        </is>
      </c>
      <c r="K34" t="inlineStr">
        <is>
          <t>All</t>
        </is>
      </c>
      <c r="L34" t="inlineStr">
        <is>
          <t>Text</t>
        </is>
      </c>
    </row>
    <row r="35" ht="18" customHeight="1" s="44">
      <c r="A35" t="inlineStr">
        <is>
          <t>A112</t>
        </is>
      </c>
      <c r="B35" t="inlineStr">
        <is>
          <t>Admissions E-mail Address:</t>
        </is>
      </c>
      <c r="C35" s="43" t="inlineStr">
        <is>
          <t>onwisconsin@admissions.wisc.edu</t>
        </is>
      </c>
      <c r="D35" t="inlineStr">
        <is>
          <t>General Information</t>
        </is>
      </c>
      <c r="E35" t="inlineStr">
        <is>
          <t>Address Information</t>
        </is>
      </c>
      <c r="F35" t="inlineStr">
        <is>
          <t>All</t>
        </is>
      </c>
      <c r="G35" t="inlineStr">
        <is>
          <t>All</t>
        </is>
      </c>
      <c r="H35" t="inlineStr">
        <is>
          <t>All</t>
        </is>
      </c>
      <c r="I35" t="inlineStr">
        <is>
          <t>All</t>
        </is>
      </c>
      <c r="J35" t="inlineStr">
        <is>
          <t>All</t>
        </is>
      </c>
      <c r="K35" t="inlineStr">
        <is>
          <t>All</t>
        </is>
      </c>
      <c r="L35" t="inlineStr">
        <is>
          <t>Email Address</t>
        </is>
      </c>
    </row>
    <row r="36" ht="18" customHeight="1" s="44"/>
    <row r="37" ht="29.25" customHeight="1" s="44">
      <c r="A37" t="inlineStr">
        <is>
          <t>A113</t>
        </is>
      </c>
      <c r="B37" s="2" t="inlineStr">
        <is>
          <t>If there is a separate URL for your school’s online application, please specify:</t>
        </is>
      </c>
      <c r="C37" s="43" t="inlineStr">
        <is>
          <t>https://admissions.wisc.edu/apply-as-a-freshman/</t>
        </is>
      </c>
      <c r="D37" t="inlineStr">
        <is>
          <t>General Information</t>
        </is>
      </c>
      <c r="E37" t="inlineStr">
        <is>
          <t>Address Information</t>
        </is>
      </c>
      <c r="F37" t="inlineStr">
        <is>
          <t>All</t>
        </is>
      </c>
      <c r="G37" t="inlineStr">
        <is>
          <t>All</t>
        </is>
      </c>
      <c r="H37" t="inlineStr">
        <is>
          <t>All</t>
        </is>
      </c>
      <c r="I37" t="inlineStr">
        <is>
          <t>All</t>
        </is>
      </c>
      <c r="J37" t="inlineStr">
        <is>
          <t>All</t>
        </is>
      </c>
      <c r="K37" t="inlineStr">
        <is>
          <t>All</t>
        </is>
      </c>
      <c r="L37" t="inlineStr">
        <is>
          <t>URL</t>
        </is>
      </c>
    </row>
    <row r="38" ht="18" customHeight="1" s="44"/>
    <row r="39" ht="30" customHeight="1" s="44">
      <c r="A39" t="inlineStr">
        <is>
          <t>A114</t>
        </is>
      </c>
      <c r="B39" s="2" t="inlineStr">
        <is>
          <t>If you have a mailing address other than the above to which applications should be sent, please provide:</t>
        </is>
      </c>
      <c r="D39" t="inlineStr">
        <is>
          <t>General Information</t>
        </is>
      </c>
      <c r="E39" t="inlineStr">
        <is>
          <t>Address Information</t>
        </is>
      </c>
      <c r="F39" t="inlineStr">
        <is>
          <t>All</t>
        </is>
      </c>
      <c r="G39" t="inlineStr">
        <is>
          <t>All</t>
        </is>
      </c>
      <c r="H39" t="inlineStr">
        <is>
          <t>All</t>
        </is>
      </c>
      <c r="I39" t="inlineStr">
        <is>
          <t>All</t>
        </is>
      </c>
      <c r="J39" t="inlineStr">
        <is>
          <t>All</t>
        </is>
      </c>
      <c r="K39" t="inlineStr">
        <is>
          <t>All</t>
        </is>
      </c>
      <c r="L39" t="inlineStr">
        <is>
          <t>Text</t>
        </is>
      </c>
    </row>
    <row r="40"/>
    <row r="41"/>
    <row r="42" ht="18" customHeight="1" s="44"/>
    <row r="43" ht="18" customHeight="1" s="44">
      <c r="A43" t="inlineStr">
        <is>
          <t>A201</t>
        </is>
      </c>
      <c r="B43" t="inlineStr">
        <is>
          <t>Public</t>
        </is>
      </c>
      <c r="C43" t="inlineStr">
        <is>
          <t>x</t>
        </is>
      </c>
      <c r="D43" t="inlineStr">
        <is>
          <t>General Information</t>
        </is>
      </c>
      <c r="E43" t="inlineStr">
        <is>
          <t>Institutional Control</t>
        </is>
      </c>
      <c r="F43" t="inlineStr">
        <is>
          <t>All</t>
        </is>
      </c>
      <c r="G43" t="inlineStr">
        <is>
          <t>All</t>
        </is>
      </c>
      <c r="H43" t="inlineStr">
        <is>
          <t>All</t>
        </is>
      </c>
      <c r="I43" t="inlineStr">
        <is>
          <t>All</t>
        </is>
      </c>
      <c r="J43" t="inlineStr">
        <is>
          <t>All</t>
        </is>
      </c>
      <c r="K43" t="inlineStr">
        <is>
          <t>All</t>
        </is>
      </c>
      <c r="L43" t="inlineStr">
        <is>
          <t>x</t>
        </is>
      </c>
    </row>
    <row r="44" ht="18" customHeight="1" s="44">
      <c r="A44" t="inlineStr">
        <is>
          <t>A202</t>
        </is>
      </c>
      <c r="B44" t="inlineStr">
        <is>
          <t>Private (nonprofit)</t>
        </is>
      </c>
      <c r="D44" t="inlineStr">
        <is>
          <t>General Information</t>
        </is>
      </c>
      <c r="E44" t="inlineStr">
        <is>
          <t>Institutional Control</t>
        </is>
      </c>
      <c r="F44" t="inlineStr">
        <is>
          <t>All</t>
        </is>
      </c>
      <c r="G44" t="inlineStr">
        <is>
          <t>All</t>
        </is>
      </c>
      <c r="H44" t="inlineStr">
        <is>
          <t>All</t>
        </is>
      </c>
      <c r="I44" t="inlineStr">
        <is>
          <t>All</t>
        </is>
      </c>
      <c r="J44" t="inlineStr">
        <is>
          <t>All</t>
        </is>
      </c>
      <c r="K44" t="inlineStr">
        <is>
          <t>All</t>
        </is>
      </c>
      <c r="L44" t="inlineStr">
        <is>
          <t>x</t>
        </is>
      </c>
    </row>
    <row r="45" ht="18" customHeight="1" s="44">
      <c r="A45" t="inlineStr">
        <is>
          <t>A203</t>
        </is>
      </c>
      <c r="B45" t="inlineStr">
        <is>
          <t>Proprietary</t>
        </is>
      </c>
      <c r="D45" t="inlineStr">
        <is>
          <t>General Information</t>
        </is>
      </c>
      <c r="E45" t="inlineStr">
        <is>
          <t>Institutional Control</t>
        </is>
      </c>
      <c r="F45" t="inlineStr">
        <is>
          <t>All</t>
        </is>
      </c>
      <c r="G45" t="inlineStr">
        <is>
          <t>All</t>
        </is>
      </c>
      <c r="H45" t="inlineStr">
        <is>
          <t>All</t>
        </is>
      </c>
      <c r="I45" t="inlineStr">
        <is>
          <t>All</t>
        </is>
      </c>
      <c r="J45" t="inlineStr">
        <is>
          <t>All</t>
        </is>
      </c>
      <c r="K45" t="inlineStr">
        <is>
          <t>All</t>
        </is>
      </c>
      <c r="L45" t="inlineStr">
        <is>
          <t>x</t>
        </is>
      </c>
    </row>
    <row r="46"/>
    <row r="47" ht="18" customHeight="1" s="44"/>
    <row r="48" ht="18" customHeight="1" s="44">
      <c r="A48" t="inlineStr">
        <is>
          <t>A301</t>
        </is>
      </c>
      <c r="B48" t="inlineStr">
        <is>
          <t>Coeducational college</t>
        </is>
      </c>
      <c r="C48" t="inlineStr">
        <is>
          <t>x</t>
        </is>
      </c>
      <c r="D48" t="inlineStr">
        <is>
          <t>General Information</t>
        </is>
      </c>
      <c r="E48" t="inlineStr">
        <is>
          <t>Classification</t>
        </is>
      </c>
      <c r="F48" t="inlineStr">
        <is>
          <t>All</t>
        </is>
      </c>
      <c r="G48" t="inlineStr">
        <is>
          <t>All</t>
        </is>
      </c>
      <c r="H48" t="inlineStr">
        <is>
          <t>All</t>
        </is>
      </c>
      <c r="I48" t="inlineStr">
        <is>
          <t>All</t>
        </is>
      </c>
      <c r="J48" t="inlineStr">
        <is>
          <t>All</t>
        </is>
      </c>
      <c r="K48" t="inlineStr">
        <is>
          <t>All</t>
        </is>
      </c>
      <c r="L48" t="inlineStr">
        <is>
          <t>x</t>
        </is>
      </c>
    </row>
    <row r="49" ht="18" customHeight="1" s="44">
      <c r="A49" t="inlineStr">
        <is>
          <t>A302</t>
        </is>
      </c>
      <c r="B49" t="inlineStr">
        <is>
          <t>Men's college</t>
        </is>
      </c>
      <c r="D49" t="inlineStr">
        <is>
          <t>General Information</t>
        </is>
      </c>
      <c r="E49" t="inlineStr">
        <is>
          <t>Classification</t>
        </is>
      </c>
      <c r="F49" t="inlineStr">
        <is>
          <t>All</t>
        </is>
      </c>
      <c r="G49" t="inlineStr">
        <is>
          <t>All</t>
        </is>
      </c>
      <c r="H49" t="inlineStr">
        <is>
          <t>All</t>
        </is>
      </c>
      <c r="I49" t="inlineStr">
        <is>
          <t>All</t>
        </is>
      </c>
      <c r="J49" t="inlineStr">
        <is>
          <t>All</t>
        </is>
      </c>
      <c r="K49" t="inlineStr">
        <is>
          <t>All</t>
        </is>
      </c>
      <c r="L49" t="inlineStr">
        <is>
          <t>x</t>
        </is>
      </c>
    </row>
    <row r="50" ht="18" customHeight="1" s="44">
      <c r="A50" t="inlineStr">
        <is>
          <t>A303</t>
        </is>
      </c>
      <c r="B50" t="inlineStr">
        <is>
          <t>Women's college</t>
        </is>
      </c>
      <c r="D50" t="inlineStr">
        <is>
          <t>General Information</t>
        </is>
      </c>
      <c r="E50" t="inlineStr">
        <is>
          <t>Classification</t>
        </is>
      </c>
      <c r="F50" t="inlineStr">
        <is>
          <t>All</t>
        </is>
      </c>
      <c r="G50" t="inlineStr">
        <is>
          <t>All</t>
        </is>
      </c>
      <c r="H50" t="inlineStr">
        <is>
          <t>All</t>
        </is>
      </c>
      <c r="I50" t="inlineStr">
        <is>
          <t>All</t>
        </is>
      </c>
      <c r="J50" t="inlineStr">
        <is>
          <t>All</t>
        </is>
      </c>
      <c r="K50" t="inlineStr">
        <is>
          <t>All</t>
        </is>
      </c>
      <c r="L50" t="inlineStr">
        <is>
          <t>x</t>
        </is>
      </c>
    </row>
    <row r="51"/>
    <row r="52" ht="18" customHeight="1" s="44"/>
    <row r="53" ht="18" customHeight="1" s="44">
      <c r="A53" t="inlineStr">
        <is>
          <t>A401</t>
        </is>
      </c>
      <c r="B53" t="inlineStr">
        <is>
          <t>Semester</t>
        </is>
      </c>
      <c r="C53" t="inlineStr">
        <is>
          <t>x</t>
        </is>
      </c>
      <c r="D53" t="inlineStr">
        <is>
          <t>General Information</t>
        </is>
      </c>
      <c r="E53" t="inlineStr">
        <is>
          <t>Academic Year</t>
        </is>
      </c>
      <c r="F53" t="inlineStr">
        <is>
          <t>All</t>
        </is>
      </c>
      <c r="G53" t="inlineStr">
        <is>
          <t>All</t>
        </is>
      </c>
      <c r="H53" t="inlineStr">
        <is>
          <t>All</t>
        </is>
      </c>
      <c r="I53" t="inlineStr">
        <is>
          <t>All</t>
        </is>
      </c>
      <c r="J53" t="inlineStr">
        <is>
          <t>All</t>
        </is>
      </c>
      <c r="K53" t="inlineStr">
        <is>
          <t>All</t>
        </is>
      </c>
      <c r="L53" t="inlineStr">
        <is>
          <t>x</t>
        </is>
      </c>
    </row>
    <row r="54" ht="18" customHeight="1" s="44">
      <c r="A54" t="inlineStr">
        <is>
          <t>A402</t>
        </is>
      </c>
      <c r="B54" t="inlineStr">
        <is>
          <t>Quarter</t>
        </is>
      </c>
      <c r="D54" t="inlineStr">
        <is>
          <t>General Information</t>
        </is>
      </c>
      <c r="E54" t="inlineStr">
        <is>
          <t>Academic Year</t>
        </is>
      </c>
      <c r="F54" t="inlineStr">
        <is>
          <t>All</t>
        </is>
      </c>
      <c r="G54" t="inlineStr">
        <is>
          <t>All</t>
        </is>
      </c>
      <c r="H54" t="inlineStr">
        <is>
          <t>All</t>
        </is>
      </c>
      <c r="I54" t="inlineStr">
        <is>
          <t>All</t>
        </is>
      </c>
      <c r="J54" t="inlineStr">
        <is>
          <t>All</t>
        </is>
      </c>
      <c r="K54" t="inlineStr">
        <is>
          <t>All</t>
        </is>
      </c>
      <c r="L54" t="inlineStr">
        <is>
          <t>x</t>
        </is>
      </c>
    </row>
    <row r="55" ht="18" customHeight="1" s="44">
      <c r="A55" t="inlineStr">
        <is>
          <t>A403</t>
        </is>
      </c>
      <c r="B55" t="inlineStr">
        <is>
          <t>Trimester</t>
        </is>
      </c>
      <c r="D55" t="inlineStr">
        <is>
          <t>General Information</t>
        </is>
      </c>
      <c r="E55" t="inlineStr">
        <is>
          <t>Academic Year</t>
        </is>
      </c>
      <c r="F55" t="inlineStr">
        <is>
          <t>All</t>
        </is>
      </c>
      <c r="G55" t="inlineStr">
        <is>
          <t>All</t>
        </is>
      </c>
      <c r="H55" t="inlineStr">
        <is>
          <t>All</t>
        </is>
      </c>
      <c r="I55" t="inlineStr">
        <is>
          <t>All</t>
        </is>
      </c>
      <c r="J55" t="inlineStr">
        <is>
          <t>All</t>
        </is>
      </c>
      <c r="K55" t="inlineStr">
        <is>
          <t>All</t>
        </is>
      </c>
      <c r="L55" t="inlineStr">
        <is>
          <t>x</t>
        </is>
      </c>
    </row>
    <row r="56" ht="18" customHeight="1" s="44">
      <c r="A56" t="inlineStr">
        <is>
          <t>A404</t>
        </is>
      </c>
      <c r="B56" t="inlineStr">
        <is>
          <t>4-1-4</t>
        </is>
      </c>
      <c r="D56" t="inlineStr">
        <is>
          <t>General Information</t>
        </is>
      </c>
      <c r="E56" t="inlineStr">
        <is>
          <t>Academic Year</t>
        </is>
      </c>
      <c r="F56" t="inlineStr">
        <is>
          <t>All</t>
        </is>
      </c>
      <c r="G56" t="inlineStr">
        <is>
          <t>All</t>
        </is>
      </c>
      <c r="H56" t="inlineStr">
        <is>
          <t>All</t>
        </is>
      </c>
      <c r="I56" t="inlineStr">
        <is>
          <t>All</t>
        </is>
      </c>
      <c r="J56" t="inlineStr">
        <is>
          <t>All</t>
        </is>
      </c>
      <c r="K56" t="inlineStr">
        <is>
          <t>All</t>
        </is>
      </c>
      <c r="L56" t="inlineStr">
        <is>
          <t>x</t>
        </is>
      </c>
    </row>
    <row r="57" ht="18" customHeight="1" s="44">
      <c r="A57" t="inlineStr">
        <is>
          <t>A405</t>
        </is>
      </c>
      <c r="B57" t="inlineStr">
        <is>
          <t>Continuous</t>
        </is>
      </c>
      <c r="D57" t="inlineStr">
        <is>
          <t>General Information</t>
        </is>
      </c>
      <c r="E57" t="inlineStr">
        <is>
          <t>Academic Year</t>
        </is>
      </c>
      <c r="F57" t="inlineStr">
        <is>
          <t>All</t>
        </is>
      </c>
      <c r="G57" t="inlineStr">
        <is>
          <t>All</t>
        </is>
      </c>
      <c r="H57" t="inlineStr">
        <is>
          <t>All</t>
        </is>
      </c>
      <c r="I57" t="inlineStr">
        <is>
          <t>All</t>
        </is>
      </c>
      <c r="J57" t="inlineStr">
        <is>
          <t>All</t>
        </is>
      </c>
      <c r="K57" t="inlineStr">
        <is>
          <t>All</t>
        </is>
      </c>
      <c r="L57" t="inlineStr">
        <is>
          <t>x</t>
        </is>
      </c>
    </row>
    <row r="58"/>
    <row r="59" ht="18" customHeight="1" s="44">
      <c r="A59" t="inlineStr">
        <is>
          <t>A406</t>
        </is>
      </c>
      <c r="B59" t="inlineStr">
        <is>
          <t>Differs by program (describe):</t>
        </is>
      </c>
      <c r="D59" t="inlineStr">
        <is>
          <t>General Information</t>
        </is>
      </c>
      <c r="E59" t="inlineStr">
        <is>
          <t>Academic Year</t>
        </is>
      </c>
      <c r="F59" t="inlineStr">
        <is>
          <t>All</t>
        </is>
      </c>
      <c r="G59" t="inlineStr">
        <is>
          <t>All</t>
        </is>
      </c>
      <c r="H59" t="inlineStr">
        <is>
          <t>All</t>
        </is>
      </c>
      <c r="I59" t="inlineStr">
        <is>
          <t>All</t>
        </is>
      </c>
      <c r="J59" t="inlineStr">
        <is>
          <t>All</t>
        </is>
      </c>
      <c r="K59" t="inlineStr">
        <is>
          <t>All</t>
        </is>
      </c>
      <c r="L59" t="inlineStr">
        <is>
          <t>Text</t>
        </is>
      </c>
    </row>
    <row r="60" ht="18" customHeight="1" s="44">
      <c r="A60" t="inlineStr">
        <is>
          <t>A407</t>
        </is>
      </c>
      <c r="B60" t="inlineStr">
        <is>
          <t>Other (describe)</t>
        </is>
      </c>
      <c r="D60" t="inlineStr">
        <is>
          <t>General Information</t>
        </is>
      </c>
      <c r="E60" t="inlineStr">
        <is>
          <t>Academic Year</t>
        </is>
      </c>
      <c r="F60" t="inlineStr">
        <is>
          <t>All</t>
        </is>
      </c>
      <c r="G60" t="inlineStr">
        <is>
          <t>All</t>
        </is>
      </c>
      <c r="H60" t="inlineStr">
        <is>
          <t>All</t>
        </is>
      </c>
      <c r="I60" t="inlineStr">
        <is>
          <t>All</t>
        </is>
      </c>
      <c r="J60" t="inlineStr">
        <is>
          <t>All</t>
        </is>
      </c>
      <c r="K60" t="inlineStr">
        <is>
          <t>All</t>
        </is>
      </c>
      <c r="L60" t="inlineStr">
        <is>
          <t>Text</t>
        </is>
      </c>
    </row>
    <row r="61"/>
    <row r="62" ht="18" customHeight="1" s="44"/>
    <row r="63" ht="18" customHeight="1" s="44">
      <c r="A63" t="inlineStr">
        <is>
          <t>A501</t>
        </is>
      </c>
      <c r="B63" t="inlineStr">
        <is>
          <t>Certificate</t>
        </is>
      </c>
      <c r="C63" t="inlineStr">
        <is>
          <t>x</t>
        </is>
      </c>
      <c r="D63" t="inlineStr">
        <is>
          <t>General Information</t>
        </is>
      </c>
      <c r="E63" t="inlineStr">
        <is>
          <t>Degrees Offered</t>
        </is>
      </c>
      <c r="F63" t="inlineStr">
        <is>
          <t>All</t>
        </is>
      </c>
      <c r="G63" t="inlineStr">
        <is>
          <t>All</t>
        </is>
      </c>
      <c r="H63" t="inlineStr">
        <is>
          <t>All</t>
        </is>
      </c>
      <c r="I63" t="inlineStr">
        <is>
          <t>All</t>
        </is>
      </c>
      <c r="J63" t="inlineStr">
        <is>
          <t>All</t>
        </is>
      </c>
      <c r="K63" t="inlineStr">
        <is>
          <t>All</t>
        </is>
      </c>
      <c r="L63" t="inlineStr">
        <is>
          <t>x</t>
        </is>
      </c>
    </row>
    <row r="64" ht="18" customHeight="1" s="44">
      <c r="A64" t="inlineStr">
        <is>
          <t>A502</t>
        </is>
      </c>
      <c r="B64" t="inlineStr">
        <is>
          <t>Diploma</t>
        </is>
      </c>
      <c r="D64" t="inlineStr">
        <is>
          <t>General Information</t>
        </is>
      </c>
      <c r="E64" t="inlineStr">
        <is>
          <t>Degrees Offered</t>
        </is>
      </c>
      <c r="F64" t="inlineStr">
        <is>
          <t>All</t>
        </is>
      </c>
      <c r="G64" t="inlineStr">
        <is>
          <t>All</t>
        </is>
      </c>
      <c r="H64" t="inlineStr">
        <is>
          <t>All</t>
        </is>
      </c>
      <c r="I64" t="inlineStr">
        <is>
          <t>All</t>
        </is>
      </c>
      <c r="J64" t="inlineStr">
        <is>
          <t>All</t>
        </is>
      </c>
      <c r="K64" t="inlineStr">
        <is>
          <t>All</t>
        </is>
      </c>
      <c r="L64" t="inlineStr">
        <is>
          <t>x</t>
        </is>
      </c>
    </row>
    <row r="65" ht="18" customHeight="1" s="44">
      <c r="A65" t="inlineStr">
        <is>
          <t>A503</t>
        </is>
      </c>
      <c r="B65" t="inlineStr">
        <is>
          <t>Associate</t>
        </is>
      </c>
      <c r="D65" t="inlineStr">
        <is>
          <t>General Information</t>
        </is>
      </c>
      <c r="E65" t="inlineStr">
        <is>
          <t>Degrees Offered</t>
        </is>
      </c>
      <c r="F65" t="inlineStr">
        <is>
          <t>All</t>
        </is>
      </c>
      <c r="G65" t="inlineStr">
        <is>
          <t>All</t>
        </is>
      </c>
      <c r="H65" t="inlineStr">
        <is>
          <t>All</t>
        </is>
      </c>
      <c r="I65" t="inlineStr">
        <is>
          <t>All</t>
        </is>
      </c>
      <c r="J65" t="inlineStr">
        <is>
          <t>All</t>
        </is>
      </c>
      <c r="K65" t="inlineStr">
        <is>
          <t>All</t>
        </is>
      </c>
      <c r="L65" t="inlineStr">
        <is>
          <t>x</t>
        </is>
      </c>
    </row>
    <row r="66" ht="18" customHeight="1" s="44">
      <c r="A66" t="inlineStr">
        <is>
          <t>A504</t>
        </is>
      </c>
      <c r="B66" t="inlineStr">
        <is>
          <t>Transfer Associate</t>
        </is>
      </c>
      <c r="D66" t="inlineStr">
        <is>
          <t>General Information</t>
        </is>
      </c>
      <c r="E66" t="inlineStr">
        <is>
          <t>Degrees Offered</t>
        </is>
      </c>
      <c r="F66" t="inlineStr">
        <is>
          <t>All</t>
        </is>
      </c>
      <c r="G66" t="inlineStr">
        <is>
          <t>All</t>
        </is>
      </c>
      <c r="H66" t="inlineStr">
        <is>
          <t>All</t>
        </is>
      </c>
      <c r="I66" t="inlineStr">
        <is>
          <t>All</t>
        </is>
      </c>
      <c r="J66" t="inlineStr">
        <is>
          <t>All</t>
        </is>
      </c>
      <c r="K66" t="inlineStr">
        <is>
          <t>All</t>
        </is>
      </c>
      <c r="L66" t="inlineStr">
        <is>
          <t>x</t>
        </is>
      </c>
    </row>
    <row r="67" ht="18" customHeight="1" s="44">
      <c r="A67" t="inlineStr">
        <is>
          <t>A505</t>
        </is>
      </c>
      <c r="B67" t="inlineStr">
        <is>
          <t>Terminal Associate</t>
        </is>
      </c>
      <c r="D67" t="inlineStr">
        <is>
          <t>General Information</t>
        </is>
      </c>
      <c r="E67" t="inlineStr">
        <is>
          <t>Degrees Offered</t>
        </is>
      </c>
      <c r="F67" t="inlineStr">
        <is>
          <t>All</t>
        </is>
      </c>
      <c r="G67" t="inlineStr">
        <is>
          <t>All</t>
        </is>
      </c>
      <c r="H67" t="inlineStr">
        <is>
          <t>All</t>
        </is>
      </c>
      <c r="I67" t="inlineStr">
        <is>
          <t>All</t>
        </is>
      </c>
      <c r="J67" t="inlineStr">
        <is>
          <t>All</t>
        </is>
      </c>
      <c r="K67" t="inlineStr">
        <is>
          <t>All</t>
        </is>
      </c>
      <c r="L67" t="inlineStr">
        <is>
          <t>x</t>
        </is>
      </c>
    </row>
    <row r="68" ht="18" customHeight="1" s="44">
      <c r="A68" t="inlineStr">
        <is>
          <t>A506</t>
        </is>
      </c>
      <c r="B68" t="inlineStr">
        <is>
          <t>Bachelor's</t>
        </is>
      </c>
      <c r="C68" t="inlineStr">
        <is>
          <t>x</t>
        </is>
      </c>
      <c r="D68" t="inlineStr">
        <is>
          <t>General Information</t>
        </is>
      </c>
      <c r="E68" t="inlineStr">
        <is>
          <t>Degrees Offered</t>
        </is>
      </c>
      <c r="F68" t="inlineStr">
        <is>
          <t>All</t>
        </is>
      </c>
      <c r="G68" t="inlineStr">
        <is>
          <t>All</t>
        </is>
      </c>
      <c r="H68" t="inlineStr">
        <is>
          <t>All</t>
        </is>
      </c>
      <c r="I68" t="inlineStr">
        <is>
          <t>All</t>
        </is>
      </c>
      <c r="J68" t="inlineStr">
        <is>
          <t>All</t>
        </is>
      </c>
      <c r="K68" t="inlineStr">
        <is>
          <t>All</t>
        </is>
      </c>
      <c r="L68" t="inlineStr">
        <is>
          <t>x</t>
        </is>
      </c>
    </row>
    <row r="69" ht="18" customHeight="1" s="44">
      <c r="A69" t="inlineStr">
        <is>
          <t>A507</t>
        </is>
      </c>
      <c r="B69" t="inlineStr">
        <is>
          <t>Postbachelor's certificate</t>
        </is>
      </c>
      <c r="C69" t="inlineStr">
        <is>
          <t>x</t>
        </is>
      </c>
      <c r="D69" t="inlineStr">
        <is>
          <t>General Information</t>
        </is>
      </c>
      <c r="E69" t="inlineStr">
        <is>
          <t>Degrees Offered</t>
        </is>
      </c>
      <c r="F69" t="inlineStr">
        <is>
          <t>All</t>
        </is>
      </c>
      <c r="G69" t="inlineStr">
        <is>
          <t>All</t>
        </is>
      </c>
      <c r="H69" t="inlineStr">
        <is>
          <t>All</t>
        </is>
      </c>
      <c r="I69" t="inlineStr">
        <is>
          <t>All</t>
        </is>
      </c>
      <c r="J69" t="inlineStr">
        <is>
          <t>All</t>
        </is>
      </c>
      <c r="K69" t="inlineStr">
        <is>
          <t>All</t>
        </is>
      </c>
      <c r="L69" t="inlineStr">
        <is>
          <t>x</t>
        </is>
      </c>
    </row>
    <row r="70" ht="18" customHeight="1" s="44">
      <c r="A70" t="inlineStr">
        <is>
          <t>A508</t>
        </is>
      </c>
      <c r="B70" t="inlineStr">
        <is>
          <t>Master's</t>
        </is>
      </c>
      <c r="C70" t="inlineStr">
        <is>
          <t>x</t>
        </is>
      </c>
      <c r="D70" t="inlineStr">
        <is>
          <t>General Information</t>
        </is>
      </c>
      <c r="E70" t="inlineStr">
        <is>
          <t>Degrees Offered</t>
        </is>
      </c>
      <c r="F70" t="inlineStr">
        <is>
          <t>All</t>
        </is>
      </c>
      <c r="G70" t="inlineStr">
        <is>
          <t>All</t>
        </is>
      </c>
      <c r="H70" t="inlineStr">
        <is>
          <t>All</t>
        </is>
      </c>
      <c r="I70" t="inlineStr">
        <is>
          <t>All</t>
        </is>
      </c>
      <c r="J70" t="inlineStr">
        <is>
          <t>All</t>
        </is>
      </c>
      <c r="K70" t="inlineStr">
        <is>
          <t>All</t>
        </is>
      </c>
      <c r="L70" t="inlineStr">
        <is>
          <t>x</t>
        </is>
      </c>
    </row>
    <row r="71" ht="18" customHeight="1" s="44">
      <c r="A71" t="inlineStr">
        <is>
          <t>A509</t>
        </is>
      </c>
      <c r="B71" t="inlineStr">
        <is>
          <t>Post-master's certificate</t>
        </is>
      </c>
      <c r="C71" t="inlineStr">
        <is>
          <t>x</t>
        </is>
      </c>
      <c r="D71" t="inlineStr">
        <is>
          <t>General Information</t>
        </is>
      </c>
      <c r="E71" t="inlineStr">
        <is>
          <t>Degrees Offered</t>
        </is>
      </c>
      <c r="F71" t="inlineStr">
        <is>
          <t>All</t>
        </is>
      </c>
      <c r="G71" t="inlineStr">
        <is>
          <t>All</t>
        </is>
      </c>
      <c r="H71" t="inlineStr">
        <is>
          <t>All</t>
        </is>
      </c>
      <c r="I71" t="inlineStr">
        <is>
          <t>All</t>
        </is>
      </c>
      <c r="J71" t="inlineStr">
        <is>
          <t>All</t>
        </is>
      </c>
      <c r="K71" t="inlineStr">
        <is>
          <t>All</t>
        </is>
      </c>
      <c r="L71" t="inlineStr">
        <is>
          <t>x</t>
        </is>
      </c>
    </row>
    <row r="72" ht="18" customHeight="1" s="44">
      <c r="A72" t="inlineStr">
        <is>
          <t>A510</t>
        </is>
      </c>
      <c r="B72" t="inlineStr">
        <is>
          <t>Doctoral degree research/scholarship</t>
        </is>
      </c>
      <c r="C72" t="inlineStr">
        <is>
          <t>x</t>
        </is>
      </c>
      <c r="D72" t="inlineStr">
        <is>
          <t>General Information</t>
        </is>
      </c>
      <c r="E72" t="inlineStr">
        <is>
          <t>Degrees Offered</t>
        </is>
      </c>
      <c r="F72" t="inlineStr">
        <is>
          <t>All</t>
        </is>
      </c>
      <c r="G72" t="inlineStr">
        <is>
          <t>All</t>
        </is>
      </c>
      <c r="H72" t="inlineStr">
        <is>
          <t>All</t>
        </is>
      </c>
      <c r="I72" t="inlineStr">
        <is>
          <t>All</t>
        </is>
      </c>
      <c r="J72" t="inlineStr">
        <is>
          <t>All</t>
        </is>
      </c>
      <c r="K72" t="inlineStr">
        <is>
          <t>All</t>
        </is>
      </c>
      <c r="L72" t="inlineStr">
        <is>
          <t>x</t>
        </is>
      </c>
    </row>
    <row r="73" ht="18" customHeight="1" s="44">
      <c r="A73" t="inlineStr">
        <is>
          <t>A511</t>
        </is>
      </c>
      <c r="B73" t="inlineStr">
        <is>
          <t>Doctoral degree – professional practice</t>
        </is>
      </c>
      <c r="C73" t="inlineStr">
        <is>
          <t>x</t>
        </is>
      </c>
      <c r="D73" t="inlineStr">
        <is>
          <t>General Information</t>
        </is>
      </c>
      <c r="E73" t="inlineStr">
        <is>
          <t>Degrees Offered</t>
        </is>
      </c>
      <c r="F73" t="inlineStr">
        <is>
          <t>All</t>
        </is>
      </c>
      <c r="G73" t="inlineStr">
        <is>
          <t>All</t>
        </is>
      </c>
      <c r="H73" t="inlineStr">
        <is>
          <t>All</t>
        </is>
      </c>
      <c r="I73" t="inlineStr">
        <is>
          <t>All</t>
        </is>
      </c>
      <c r="J73" t="inlineStr">
        <is>
          <t>All</t>
        </is>
      </c>
      <c r="K73" t="inlineStr">
        <is>
          <t>All</t>
        </is>
      </c>
      <c r="L73" t="inlineStr">
        <is>
          <t>x</t>
        </is>
      </c>
    </row>
    <row r="74" ht="18" customHeight="1" s="44">
      <c r="A74" t="inlineStr">
        <is>
          <t>A512</t>
        </is>
      </c>
      <c r="B74" t="inlineStr">
        <is>
          <t>Doctoral degree -- other</t>
        </is>
      </c>
      <c r="D74" t="inlineStr">
        <is>
          <t>General Information</t>
        </is>
      </c>
      <c r="E74" t="inlineStr">
        <is>
          <t>Degrees Offered</t>
        </is>
      </c>
      <c r="F74" t="inlineStr">
        <is>
          <t>All</t>
        </is>
      </c>
      <c r="G74" t="inlineStr">
        <is>
          <t>All</t>
        </is>
      </c>
      <c r="H74" t="inlineStr">
        <is>
          <t>All</t>
        </is>
      </c>
      <c r="I74" t="inlineStr">
        <is>
          <t>All</t>
        </is>
      </c>
      <c r="J74" t="inlineStr">
        <is>
          <t>All</t>
        </is>
      </c>
      <c r="K74" t="inlineStr">
        <is>
          <t>All</t>
        </is>
      </c>
      <c r="L74" t="inlineStr">
        <is>
          <t>x</t>
        </is>
      </c>
    </row>
    <row r="75"/>
    <row r="76" ht="18" customHeight="1" s="44"/>
    <row r="77" ht="43.5" customHeight="1" s="44">
      <c r="A77" t="inlineStr">
        <is>
          <t>A601</t>
        </is>
      </c>
      <c r="B77" s="2" t="inlineStr">
        <is>
          <t>If you have a diversity, equity, and inclusion office or department, please provide the URL of the corresponding Web page:</t>
        </is>
      </c>
      <c r="C77" s="43" t="inlineStr">
        <is>
          <t>https://diversity.wisc.edu</t>
        </is>
      </c>
      <c r="D77" t="inlineStr">
        <is>
          <t>General Information</t>
        </is>
      </c>
      <c r="E77" t="inlineStr">
        <is>
          <t>DEI</t>
        </is>
      </c>
      <c r="F77" t="inlineStr">
        <is>
          <t>All</t>
        </is>
      </c>
      <c r="G77" t="inlineStr">
        <is>
          <t>All</t>
        </is>
      </c>
      <c r="H77" t="inlineStr">
        <is>
          <t>All</t>
        </is>
      </c>
      <c r="I77" t="inlineStr">
        <is>
          <t>All</t>
        </is>
      </c>
      <c r="J77" t="inlineStr">
        <is>
          <t>All</t>
        </is>
      </c>
      <c r="K77" t="inlineStr">
        <is>
          <t>All</t>
        </is>
      </c>
      <c r="L77" t="inlineStr">
        <is>
          <t>URL</t>
        </is>
      </c>
    </row>
  </sheetData>
  <autoFilter ref="A1:L77"/>
  <hyperlinks>
    <hyperlink xmlns:r="http://schemas.openxmlformats.org/officeDocument/2006/relationships" ref="C13" r:id="rId1"/>
    <hyperlink xmlns:r="http://schemas.openxmlformats.org/officeDocument/2006/relationships" ref="C18" r:id="rId2"/>
    <hyperlink xmlns:r="http://schemas.openxmlformats.org/officeDocument/2006/relationships" ref="C30" r:id="rId3"/>
    <hyperlink xmlns:r="http://schemas.openxmlformats.org/officeDocument/2006/relationships" ref="C35" r:id="rId4"/>
    <hyperlink xmlns:r="http://schemas.openxmlformats.org/officeDocument/2006/relationships" ref="C37" r:id="rId5"/>
    <hyperlink xmlns:r="http://schemas.openxmlformats.org/officeDocument/2006/relationships" ref="C77" r:id="rId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432"/>
  <sheetViews>
    <sheetView zoomScaleNormal="100" workbookViewId="0">
      <pane ySplit="1" topLeftCell="A437" activePane="bottomLeft" state="frozen"/>
      <selection pane="bottomLeft" activeCell="C91" sqref="C91"/>
    </sheetView>
  </sheetViews>
  <sheetFormatPr baseColWidth="8" defaultRowHeight="15"/>
  <cols>
    <col width="8.140625" customWidth="1" style="44" min="1" max="1"/>
    <col width="45.42578125" customWidth="1" style="2" min="2" max="2"/>
    <col width="33.42578125" customWidth="1" style="44" min="3" max="3"/>
  </cols>
  <sheetData>
    <row r="1">
      <c r="A1" t="inlineStr">
        <is>
          <t>Question Number</t>
        </is>
      </c>
      <c r="B1" s="2"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ht="18" customHeight="1" s="44"/>
    <row r="6"/>
    <row r="7"/>
    <row r="8"/>
    <row r="9"/>
    <row r="10"/>
    <row r="11"/>
    <row r="12"/>
    <row r="13"/>
    <row r="14"/>
    <row r="15" ht="17.45" customHeight="1" s="44"/>
    <row r="16" ht="18" customHeight="1" s="44">
      <c r="A16" t="inlineStr">
        <is>
          <t>B101</t>
        </is>
      </c>
      <c r="B16" s="2" t="inlineStr">
        <is>
          <t>Degree-seeking, first-time first-year students: men</t>
        </is>
      </c>
      <c r="C16" t="n">
        <v>3768</v>
      </c>
      <c r="D16" t="inlineStr">
        <is>
          <t>Enrollment And Persistence</t>
        </is>
      </c>
      <c r="E16" t="inlineStr">
        <is>
          <t>Institutional Enrollment</t>
        </is>
      </c>
      <c r="F16" t="inlineStr">
        <is>
          <t>Degree-seeking</t>
        </is>
      </c>
      <c r="G16" t="inlineStr">
        <is>
          <t>Undergraduates</t>
        </is>
      </c>
      <c r="H16" t="inlineStr">
        <is>
          <t>First-time, first-year</t>
        </is>
      </c>
      <c r="I16" t="inlineStr">
        <is>
          <t>All</t>
        </is>
      </c>
      <c r="J16" t="inlineStr">
        <is>
          <t>FT</t>
        </is>
      </c>
      <c r="K16" t="inlineStr">
        <is>
          <t>Men</t>
        </is>
      </c>
      <c r="L16" t="inlineStr">
        <is>
          <t>Number</t>
        </is>
      </c>
    </row>
    <row r="17" ht="18" customHeight="1" s="44">
      <c r="A17" t="inlineStr">
        <is>
          <t>B102</t>
        </is>
      </c>
      <c r="B17" s="2" t="inlineStr">
        <is>
          <t>Degree-seeking, first-time first-year students: women</t>
        </is>
      </c>
      <c r="C17" t="n">
        <v>4722</v>
      </c>
      <c r="D17" t="inlineStr">
        <is>
          <t>Enrollment And Persistence</t>
        </is>
      </c>
      <c r="E17" t="inlineStr">
        <is>
          <t>Institutional Enrollment</t>
        </is>
      </c>
      <c r="F17" t="inlineStr">
        <is>
          <t>Degree-seeking</t>
        </is>
      </c>
      <c r="G17" t="inlineStr">
        <is>
          <t>Undergraduates</t>
        </is>
      </c>
      <c r="H17" t="inlineStr">
        <is>
          <t>First-time, first-year</t>
        </is>
      </c>
      <c r="I17" t="inlineStr">
        <is>
          <t>All</t>
        </is>
      </c>
      <c r="J17" t="inlineStr">
        <is>
          <t>FT</t>
        </is>
      </c>
      <c r="K17" t="inlineStr">
        <is>
          <t>Women</t>
        </is>
      </c>
      <c r="L17" t="inlineStr">
        <is>
          <t>Number</t>
        </is>
      </c>
    </row>
    <row r="18" ht="30" customHeight="1" s="44">
      <c r="A18" t="inlineStr">
        <is>
          <t>B103</t>
        </is>
      </c>
      <c r="B18" s="2" t="inlineStr">
        <is>
          <t>Degree-seeking, first-time first-year students: another gender</t>
        </is>
      </c>
      <c r="C18" t="n">
        <v>1</v>
      </c>
      <c r="D18" t="inlineStr">
        <is>
          <t>Enrollment And Persistence</t>
        </is>
      </c>
      <c r="E18" t="inlineStr">
        <is>
          <t>Institutional Enrollment</t>
        </is>
      </c>
      <c r="F18" t="inlineStr">
        <is>
          <t>Degree-seeking</t>
        </is>
      </c>
      <c r="G18" t="inlineStr">
        <is>
          <t>Undergraduates</t>
        </is>
      </c>
      <c r="H18" t="inlineStr">
        <is>
          <t>First-time, first-year</t>
        </is>
      </c>
      <c r="I18" t="inlineStr">
        <is>
          <t>All</t>
        </is>
      </c>
      <c r="J18" t="inlineStr">
        <is>
          <t>FT</t>
        </is>
      </c>
      <c r="K18" t="inlineStr">
        <is>
          <t>Another Gender</t>
        </is>
      </c>
      <c r="L18" t="inlineStr">
        <is>
          <t>Number</t>
        </is>
      </c>
    </row>
    <row r="19" ht="30.75" customHeight="1" s="44">
      <c r="A19" t="inlineStr">
        <is>
          <t>B104</t>
        </is>
      </c>
      <c r="B19" s="2" t="inlineStr">
        <is>
          <t>Degree-seeking, first-time first-year students: unknown</t>
        </is>
      </c>
      <c r="C19" t="n">
        <v>0</v>
      </c>
      <c r="D19" t="inlineStr">
        <is>
          <t>Enrollment And Persistence</t>
        </is>
      </c>
      <c r="E19" t="inlineStr">
        <is>
          <t>Institutional Enrollment</t>
        </is>
      </c>
      <c r="F19" t="inlineStr">
        <is>
          <t>Degree-seeking</t>
        </is>
      </c>
      <c r="G19" t="inlineStr">
        <is>
          <t>Undergraduates</t>
        </is>
      </c>
      <c r="H19" t="inlineStr">
        <is>
          <t>First-time, first-year</t>
        </is>
      </c>
      <c r="I19" t="inlineStr">
        <is>
          <t>All</t>
        </is>
      </c>
      <c r="J19" t="inlineStr">
        <is>
          <t>FT</t>
        </is>
      </c>
      <c r="K19" t="inlineStr">
        <is>
          <t>Unknown</t>
        </is>
      </c>
      <c r="L19" t="inlineStr">
        <is>
          <t>Number</t>
        </is>
      </c>
    </row>
    <row r="20"/>
    <row r="21" ht="18" customHeight="1" s="44">
      <c r="A21" t="inlineStr">
        <is>
          <t>B105</t>
        </is>
      </c>
      <c r="B21" s="2" t="inlineStr">
        <is>
          <t>Other first-year, degree-seeking: men</t>
        </is>
      </c>
      <c r="C21" t="n">
        <v>0</v>
      </c>
      <c r="D21" t="inlineStr">
        <is>
          <t>Enrollment And Persistence</t>
        </is>
      </c>
      <c r="E21" t="inlineStr">
        <is>
          <t>Institutional Enrollment</t>
        </is>
      </c>
      <c r="F21" t="inlineStr">
        <is>
          <t>Degree-seeking</t>
        </is>
      </c>
      <c r="G21" t="inlineStr">
        <is>
          <t>Undergraduates</t>
        </is>
      </c>
      <c r="H21" t="inlineStr">
        <is>
          <t>Other first-year</t>
        </is>
      </c>
      <c r="I21" t="inlineStr">
        <is>
          <t>All</t>
        </is>
      </c>
      <c r="J21" t="inlineStr">
        <is>
          <t>FT</t>
        </is>
      </c>
      <c r="K21" t="inlineStr">
        <is>
          <t>Men</t>
        </is>
      </c>
      <c r="L21" t="inlineStr">
        <is>
          <t>Number</t>
        </is>
      </c>
    </row>
    <row r="22" ht="18" customHeight="1" s="44">
      <c r="A22" t="inlineStr">
        <is>
          <t>B106</t>
        </is>
      </c>
      <c r="B22" s="2" t="inlineStr">
        <is>
          <t>Other first-year, degree-seeking: women</t>
        </is>
      </c>
      <c r="C22" t="n">
        <v>0</v>
      </c>
      <c r="D22" t="inlineStr">
        <is>
          <t>Enrollment And Persistence</t>
        </is>
      </c>
      <c r="E22" t="inlineStr">
        <is>
          <t>Institutional Enrollment</t>
        </is>
      </c>
      <c r="F22" t="inlineStr">
        <is>
          <t>Degree-seeking</t>
        </is>
      </c>
      <c r="G22" t="inlineStr">
        <is>
          <t>Undergraduates</t>
        </is>
      </c>
      <c r="H22" t="inlineStr">
        <is>
          <t>Other first-year</t>
        </is>
      </c>
      <c r="I22" t="inlineStr">
        <is>
          <t>All</t>
        </is>
      </c>
      <c r="J22" t="inlineStr">
        <is>
          <t>FT</t>
        </is>
      </c>
      <c r="K22" t="inlineStr">
        <is>
          <t>Women</t>
        </is>
      </c>
      <c r="L22" t="inlineStr">
        <is>
          <t>Number</t>
        </is>
      </c>
    </row>
    <row r="23" ht="18" customHeight="1" s="44">
      <c r="A23" t="inlineStr">
        <is>
          <t>B107</t>
        </is>
      </c>
      <c r="B23" s="2" t="inlineStr">
        <is>
          <t>Other first-year, degree-seeking: another gender</t>
        </is>
      </c>
      <c r="C23" t="n">
        <v>0</v>
      </c>
      <c r="D23" t="inlineStr">
        <is>
          <t>Enrollment And Persistence</t>
        </is>
      </c>
      <c r="E23" t="inlineStr">
        <is>
          <t>Institutional Enrollment</t>
        </is>
      </c>
      <c r="F23" t="inlineStr">
        <is>
          <t>Degree-seeking</t>
        </is>
      </c>
      <c r="G23" t="inlineStr">
        <is>
          <t>Undergraduates</t>
        </is>
      </c>
      <c r="H23" t="inlineStr">
        <is>
          <t>Other first-year</t>
        </is>
      </c>
      <c r="I23" t="inlineStr">
        <is>
          <t>All</t>
        </is>
      </c>
      <c r="J23" t="inlineStr">
        <is>
          <t>FT</t>
        </is>
      </c>
      <c r="K23" t="inlineStr">
        <is>
          <t>Another Gender</t>
        </is>
      </c>
      <c r="L23" t="inlineStr">
        <is>
          <t>Number</t>
        </is>
      </c>
    </row>
    <row r="24" ht="18" customHeight="1" s="44">
      <c r="A24" t="inlineStr">
        <is>
          <t>B108</t>
        </is>
      </c>
      <c r="B24" s="2" t="inlineStr">
        <is>
          <t>Other first-year, degree-seeking:  unknown</t>
        </is>
      </c>
      <c r="C24" t="n">
        <v>0</v>
      </c>
      <c r="D24" t="inlineStr">
        <is>
          <t>Enrollment And Persistence</t>
        </is>
      </c>
      <c r="E24" t="inlineStr">
        <is>
          <t>Institutional Enrollment</t>
        </is>
      </c>
      <c r="F24" t="inlineStr">
        <is>
          <t>Degree-seeking</t>
        </is>
      </c>
      <c r="G24" t="inlineStr">
        <is>
          <t>Undergraduates</t>
        </is>
      </c>
      <c r="H24" t="inlineStr">
        <is>
          <t>Other first-year</t>
        </is>
      </c>
      <c r="I24" t="inlineStr">
        <is>
          <t>All</t>
        </is>
      </c>
      <c r="J24" t="inlineStr">
        <is>
          <t>FT</t>
        </is>
      </c>
      <c r="K24" t="inlineStr">
        <is>
          <t>Unknown</t>
        </is>
      </c>
      <c r="L24" t="inlineStr">
        <is>
          <t>Number</t>
        </is>
      </c>
    </row>
    <row r="25"/>
    <row r="26" ht="18" customHeight="1" s="44">
      <c r="A26" t="inlineStr">
        <is>
          <t>B109</t>
        </is>
      </c>
      <c r="B26" s="2" t="inlineStr">
        <is>
          <t>All other degree-seeking: men</t>
        </is>
      </c>
      <c r="C26" t="n">
        <v>12535</v>
      </c>
      <c r="D26" t="inlineStr">
        <is>
          <t>Enrollment And Persistence</t>
        </is>
      </c>
      <c r="E26" t="inlineStr">
        <is>
          <t>Institutional Enrollment</t>
        </is>
      </c>
      <c r="F26" t="inlineStr">
        <is>
          <t>Degree-seeking</t>
        </is>
      </c>
      <c r="G26" t="inlineStr">
        <is>
          <t>Undergraduates</t>
        </is>
      </c>
      <c r="H26" t="inlineStr">
        <is>
          <t>All other</t>
        </is>
      </c>
      <c r="I26" t="inlineStr">
        <is>
          <t>All</t>
        </is>
      </c>
      <c r="J26" t="inlineStr">
        <is>
          <t>FT</t>
        </is>
      </c>
      <c r="K26" t="inlineStr">
        <is>
          <t>Men</t>
        </is>
      </c>
      <c r="L26" t="inlineStr">
        <is>
          <t>Number</t>
        </is>
      </c>
    </row>
    <row r="27" ht="18" customHeight="1" s="44">
      <c r="A27" t="inlineStr">
        <is>
          <t>B110</t>
        </is>
      </c>
      <c r="B27" s="2" t="inlineStr">
        <is>
          <t>All other degree-seeking: women</t>
        </is>
      </c>
      <c r="C27" t="n">
        <v>14167</v>
      </c>
      <c r="D27" t="inlineStr">
        <is>
          <t>Enrollment And Persistence</t>
        </is>
      </c>
      <c r="E27" t="inlineStr">
        <is>
          <t>Institutional Enrollment</t>
        </is>
      </c>
      <c r="F27" t="inlineStr">
        <is>
          <t>Degree-seeking</t>
        </is>
      </c>
      <c r="G27" t="inlineStr">
        <is>
          <t>Undergraduates</t>
        </is>
      </c>
      <c r="H27" t="inlineStr">
        <is>
          <t>All other</t>
        </is>
      </c>
      <c r="I27" t="inlineStr">
        <is>
          <t>All</t>
        </is>
      </c>
      <c r="J27" t="inlineStr">
        <is>
          <t>FT</t>
        </is>
      </c>
      <c r="K27" t="inlineStr">
        <is>
          <t>Women</t>
        </is>
      </c>
      <c r="L27" t="inlineStr">
        <is>
          <t>Number</t>
        </is>
      </c>
    </row>
    <row r="28" ht="18" customHeight="1" s="44">
      <c r="A28" t="inlineStr">
        <is>
          <t>B111</t>
        </is>
      </c>
      <c r="B28" s="2" t="inlineStr">
        <is>
          <t>All other degree-seeking: another gender</t>
        </is>
      </c>
      <c r="C28" t="n">
        <v>3</v>
      </c>
      <c r="D28" t="inlineStr">
        <is>
          <t>Enrollment And Persistence</t>
        </is>
      </c>
      <c r="E28" t="inlineStr">
        <is>
          <t>Institutional Enrollment</t>
        </is>
      </c>
      <c r="F28" t="inlineStr">
        <is>
          <t>Degree-seeking</t>
        </is>
      </c>
      <c r="G28" t="inlineStr">
        <is>
          <t>Undergraduates</t>
        </is>
      </c>
      <c r="H28" t="inlineStr">
        <is>
          <t>All other</t>
        </is>
      </c>
      <c r="I28" t="inlineStr">
        <is>
          <t>All</t>
        </is>
      </c>
      <c r="J28" t="inlineStr">
        <is>
          <t>FT</t>
        </is>
      </c>
      <c r="K28" t="inlineStr">
        <is>
          <t>Another Gender</t>
        </is>
      </c>
      <c r="L28" t="inlineStr">
        <is>
          <t>Number</t>
        </is>
      </c>
    </row>
    <row r="29" ht="18" customHeight="1" s="44">
      <c r="A29" t="inlineStr">
        <is>
          <t>B112</t>
        </is>
      </c>
      <c r="B29" s="2" t="inlineStr">
        <is>
          <t>All other degree-seeking: unknown</t>
        </is>
      </c>
      <c r="D29" t="inlineStr">
        <is>
          <t>Enrollment And Persistence</t>
        </is>
      </c>
      <c r="E29" t="inlineStr">
        <is>
          <t>Institutional Enrollment</t>
        </is>
      </c>
      <c r="F29" t="inlineStr">
        <is>
          <t>Degree-seeking</t>
        </is>
      </c>
      <c r="G29" t="inlineStr">
        <is>
          <t>Undergraduates</t>
        </is>
      </c>
      <c r="H29" t="inlineStr">
        <is>
          <t>All other</t>
        </is>
      </c>
      <c r="I29" t="inlineStr">
        <is>
          <t>All</t>
        </is>
      </c>
      <c r="J29" t="inlineStr">
        <is>
          <t>FT</t>
        </is>
      </c>
      <c r="K29" t="inlineStr">
        <is>
          <t>Unknown</t>
        </is>
      </c>
      <c r="L29" t="inlineStr">
        <is>
          <t>Number</t>
        </is>
      </c>
    </row>
    <row r="30"/>
    <row r="31" ht="18" customHeight="1" s="44">
      <c r="A31" t="inlineStr">
        <is>
          <t>B113</t>
        </is>
      </c>
      <c r="B31" s="27" t="inlineStr">
        <is>
          <t>Total degree-seeking: men</t>
        </is>
      </c>
      <c r="C31">
        <f>SUM(C26,C21,C16)</f>
        <v/>
      </c>
      <c r="D31" t="inlineStr">
        <is>
          <t>Enrollment And Persistence</t>
        </is>
      </c>
      <c r="E31" t="inlineStr">
        <is>
          <t>Institutional Enrollment</t>
        </is>
      </c>
      <c r="F31" t="inlineStr">
        <is>
          <t>Degree-seeking</t>
        </is>
      </c>
      <c r="G31" t="inlineStr">
        <is>
          <t>Undergraduates</t>
        </is>
      </c>
      <c r="H31" t="inlineStr">
        <is>
          <t>Total</t>
        </is>
      </c>
      <c r="I31" t="inlineStr">
        <is>
          <t>All</t>
        </is>
      </c>
      <c r="J31" t="inlineStr">
        <is>
          <t>FT</t>
        </is>
      </c>
      <c r="K31" t="inlineStr">
        <is>
          <t>Men</t>
        </is>
      </c>
      <c r="L31" t="inlineStr">
        <is>
          <t>Number</t>
        </is>
      </c>
    </row>
    <row r="32" ht="18" customHeight="1" s="44">
      <c r="A32" t="inlineStr">
        <is>
          <t>B114</t>
        </is>
      </c>
      <c r="B32" s="27" t="inlineStr">
        <is>
          <t>Total degree-seeking: women</t>
        </is>
      </c>
      <c r="C32">
        <f>SUM(C27,C22,C17)</f>
        <v/>
      </c>
      <c r="D32" t="inlineStr">
        <is>
          <t>Enrollment And Persistence</t>
        </is>
      </c>
      <c r="E32" t="inlineStr">
        <is>
          <t>Institutional Enrollment</t>
        </is>
      </c>
      <c r="F32" t="inlineStr">
        <is>
          <t>Degree-seeking</t>
        </is>
      </c>
      <c r="G32" t="inlineStr">
        <is>
          <t>Undergraduates</t>
        </is>
      </c>
      <c r="H32" t="inlineStr">
        <is>
          <t>Total</t>
        </is>
      </c>
      <c r="I32" t="inlineStr">
        <is>
          <t>All</t>
        </is>
      </c>
      <c r="J32" t="inlineStr">
        <is>
          <t>FT</t>
        </is>
      </c>
      <c r="K32" t="inlineStr">
        <is>
          <t>Women</t>
        </is>
      </c>
      <c r="L32" t="inlineStr">
        <is>
          <t>Number</t>
        </is>
      </c>
    </row>
    <row r="33" ht="18" customHeight="1" s="44">
      <c r="A33" t="inlineStr">
        <is>
          <t>B115</t>
        </is>
      </c>
      <c r="B33" s="27" t="inlineStr">
        <is>
          <t>Total degree-seeking: another gender</t>
        </is>
      </c>
      <c r="C33">
        <f>SUM(C28,C23,C18)</f>
        <v/>
      </c>
      <c r="D33" t="inlineStr">
        <is>
          <t>Enrollment And Persistence</t>
        </is>
      </c>
      <c r="E33" t="inlineStr">
        <is>
          <t>Institutional Enrollment</t>
        </is>
      </c>
      <c r="F33" t="inlineStr">
        <is>
          <t>Degree-seeking</t>
        </is>
      </c>
      <c r="G33" t="inlineStr">
        <is>
          <t>Undergraduates</t>
        </is>
      </c>
      <c r="H33" t="inlineStr">
        <is>
          <t>Total</t>
        </is>
      </c>
      <c r="I33" t="inlineStr">
        <is>
          <t>All</t>
        </is>
      </c>
      <c r="J33" t="inlineStr">
        <is>
          <t>FT</t>
        </is>
      </c>
      <c r="K33" t="inlineStr">
        <is>
          <t>Another Gender</t>
        </is>
      </c>
      <c r="L33" t="inlineStr">
        <is>
          <t>Number</t>
        </is>
      </c>
    </row>
    <row r="34" ht="18" customHeight="1" s="44">
      <c r="A34" t="inlineStr">
        <is>
          <t>B116</t>
        </is>
      </c>
      <c r="B34" s="27" t="inlineStr">
        <is>
          <t>Total degree-seeking: unknown</t>
        </is>
      </c>
      <c r="C34">
        <f>SUM(C29,C24,C19)</f>
        <v/>
      </c>
      <c r="D34" t="inlineStr">
        <is>
          <t>Enrollment And Persistence</t>
        </is>
      </c>
      <c r="E34" t="inlineStr">
        <is>
          <t>Institutional Enrollment</t>
        </is>
      </c>
      <c r="F34" t="inlineStr">
        <is>
          <t>Degree-seeking</t>
        </is>
      </c>
      <c r="G34" t="inlineStr">
        <is>
          <t>Undergraduates</t>
        </is>
      </c>
      <c r="H34" t="inlineStr">
        <is>
          <t>Total</t>
        </is>
      </c>
      <c r="I34" t="inlineStr">
        <is>
          <t>All</t>
        </is>
      </c>
      <c r="J34" t="inlineStr">
        <is>
          <t>FT</t>
        </is>
      </c>
      <c r="K34" t="inlineStr">
        <is>
          <t>Unknown</t>
        </is>
      </c>
      <c r="L34" t="inlineStr">
        <is>
          <t>Number</t>
        </is>
      </c>
    </row>
    <row r="35"/>
    <row r="36" ht="30" customHeight="1" s="44">
      <c r="A36" t="inlineStr">
        <is>
          <t>B117</t>
        </is>
      </c>
      <c r="B36" s="2" t="inlineStr">
        <is>
          <t>All other undergraduates enrolled in credit courses: men</t>
        </is>
      </c>
      <c r="C36" t="n">
        <v>175</v>
      </c>
      <c r="D36" t="inlineStr">
        <is>
          <t>Enrollment And Persistence</t>
        </is>
      </c>
      <c r="E36" t="inlineStr">
        <is>
          <t>Institutional Enrollment</t>
        </is>
      </c>
      <c r="F36" t="inlineStr">
        <is>
          <t>Enrolled in Credit Courses</t>
        </is>
      </c>
      <c r="G36" t="inlineStr">
        <is>
          <t>Undergraduates</t>
        </is>
      </c>
      <c r="H36" t="inlineStr">
        <is>
          <t>All other</t>
        </is>
      </c>
      <c r="I36" t="inlineStr">
        <is>
          <t>All</t>
        </is>
      </c>
      <c r="J36" t="inlineStr">
        <is>
          <t>FT</t>
        </is>
      </c>
      <c r="K36" t="inlineStr">
        <is>
          <t>Men</t>
        </is>
      </c>
      <c r="L36" t="inlineStr">
        <is>
          <t>Number</t>
        </is>
      </c>
    </row>
    <row r="37" ht="30" customHeight="1" s="44">
      <c r="A37" t="inlineStr">
        <is>
          <t>B118</t>
        </is>
      </c>
      <c r="B37" s="2" t="inlineStr">
        <is>
          <t>All other undergraduates enrolled in credit courses: women</t>
        </is>
      </c>
      <c r="C37" t="n">
        <v>137</v>
      </c>
      <c r="D37" t="inlineStr">
        <is>
          <t>Enrollment And Persistence</t>
        </is>
      </c>
      <c r="E37" t="inlineStr">
        <is>
          <t>Institutional Enrollment</t>
        </is>
      </c>
      <c r="F37" t="inlineStr">
        <is>
          <t>Enrolled in Credit Courses</t>
        </is>
      </c>
      <c r="G37" t="inlineStr">
        <is>
          <t>Undergraduates</t>
        </is>
      </c>
      <c r="H37" t="inlineStr">
        <is>
          <t>All other</t>
        </is>
      </c>
      <c r="I37" t="inlineStr">
        <is>
          <t>All</t>
        </is>
      </c>
      <c r="J37" t="inlineStr">
        <is>
          <t>FT</t>
        </is>
      </c>
      <c r="K37" t="inlineStr">
        <is>
          <t>Women</t>
        </is>
      </c>
      <c r="L37" t="inlineStr">
        <is>
          <t>Number</t>
        </is>
      </c>
    </row>
    <row r="38" ht="30" customHeight="1" s="44">
      <c r="A38" t="inlineStr">
        <is>
          <t>B119</t>
        </is>
      </c>
      <c r="B38" s="2" t="inlineStr">
        <is>
          <t>All other undergraduates enrolled in credit courses: another gender</t>
        </is>
      </c>
      <c r="C38" t="n">
        <v>0</v>
      </c>
      <c r="D38" t="inlineStr">
        <is>
          <t>Enrollment And Persistence</t>
        </is>
      </c>
      <c r="E38" t="inlineStr">
        <is>
          <t>Institutional Enrollment</t>
        </is>
      </c>
      <c r="F38" t="inlineStr">
        <is>
          <t>Enrolled in Credit Courses</t>
        </is>
      </c>
      <c r="G38" t="inlineStr">
        <is>
          <t>Undergraduates</t>
        </is>
      </c>
      <c r="H38" t="inlineStr">
        <is>
          <t>All other</t>
        </is>
      </c>
      <c r="I38" t="inlineStr">
        <is>
          <t>All</t>
        </is>
      </c>
      <c r="J38" t="inlineStr">
        <is>
          <t>FT</t>
        </is>
      </c>
      <c r="K38" t="inlineStr">
        <is>
          <t>Another Gender</t>
        </is>
      </c>
      <c r="L38" t="inlineStr">
        <is>
          <t>Number</t>
        </is>
      </c>
    </row>
    <row r="39" ht="30" customHeight="1" s="44">
      <c r="A39" t="inlineStr">
        <is>
          <t>B120</t>
        </is>
      </c>
      <c r="B39" s="2" t="inlineStr">
        <is>
          <t>All other undergraduates enrolled in credit courses: unknown</t>
        </is>
      </c>
      <c r="C39" t="n">
        <v>0</v>
      </c>
      <c r="D39" t="inlineStr">
        <is>
          <t>Enrollment And Persistence</t>
        </is>
      </c>
      <c r="E39" t="inlineStr">
        <is>
          <t>Institutional Enrollment</t>
        </is>
      </c>
      <c r="F39" t="inlineStr">
        <is>
          <t>Enrolled in Credit Courses</t>
        </is>
      </c>
      <c r="G39" t="inlineStr">
        <is>
          <t>Undergraduates</t>
        </is>
      </c>
      <c r="H39" t="inlineStr">
        <is>
          <t>All other</t>
        </is>
      </c>
      <c r="I39" t="inlineStr">
        <is>
          <t>All</t>
        </is>
      </c>
      <c r="J39" t="inlineStr">
        <is>
          <t>FT</t>
        </is>
      </c>
      <c r="K39" t="inlineStr">
        <is>
          <t>Unknown</t>
        </is>
      </c>
      <c r="L39" t="inlineStr">
        <is>
          <t>Number</t>
        </is>
      </c>
    </row>
    <row r="40"/>
    <row r="41" ht="18" customHeight="1" s="44">
      <c r="A41" t="inlineStr">
        <is>
          <t>B121</t>
        </is>
      </c>
      <c r="B41" s="27" t="inlineStr">
        <is>
          <t>Total undergraduate Full-Time Students: men</t>
        </is>
      </c>
      <c r="C41">
        <f>SUM(C31,C36)</f>
        <v/>
      </c>
      <c r="D41" t="inlineStr">
        <is>
          <t>Enrollment And Persistence</t>
        </is>
      </c>
      <c r="E41" t="inlineStr">
        <is>
          <t>Institutional Enrollment</t>
        </is>
      </c>
      <c r="F41" t="inlineStr">
        <is>
          <t>All</t>
        </is>
      </c>
      <c r="G41" t="inlineStr">
        <is>
          <t>Undergraduates</t>
        </is>
      </c>
      <c r="H41" t="inlineStr">
        <is>
          <t>Total</t>
        </is>
      </c>
      <c r="I41" t="inlineStr">
        <is>
          <t>All</t>
        </is>
      </c>
      <c r="J41" t="inlineStr">
        <is>
          <t>FT</t>
        </is>
      </c>
      <c r="K41" t="inlineStr">
        <is>
          <t>Men</t>
        </is>
      </c>
      <c r="L41" t="inlineStr">
        <is>
          <t>Number</t>
        </is>
      </c>
    </row>
    <row r="42" ht="18" customHeight="1" s="44">
      <c r="A42" t="inlineStr">
        <is>
          <t>B122</t>
        </is>
      </c>
      <c r="B42" s="27" t="inlineStr">
        <is>
          <t>Total undergraduate Full-Time Students: women</t>
        </is>
      </c>
      <c r="C42">
        <f>SUM(C32,C37)</f>
        <v/>
      </c>
      <c r="D42" t="inlineStr">
        <is>
          <t>Enrollment And Persistence</t>
        </is>
      </c>
      <c r="E42" t="inlineStr">
        <is>
          <t>Institutional Enrollment</t>
        </is>
      </c>
      <c r="F42" t="inlineStr">
        <is>
          <t>All</t>
        </is>
      </c>
      <c r="G42" t="inlineStr">
        <is>
          <t>Undergraduates</t>
        </is>
      </c>
      <c r="H42" t="inlineStr">
        <is>
          <t>Total</t>
        </is>
      </c>
      <c r="I42" t="inlineStr">
        <is>
          <t>All</t>
        </is>
      </c>
      <c r="J42" t="inlineStr">
        <is>
          <t>FT</t>
        </is>
      </c>
      <c r="K42" t="inlineStr">
        <is>
          <t>Women</t>
        </is>
      </c>
      <c r="L42" t="inlineStr">
        <is>
          <t>Number</t>
        </is>
      </c>
    </row>
    <row r="43" ht="30" customHeight="1" s="44">
      <c r="A43" t="inlineStr">
        <is>
          <t>B123</t>
        </is>
      </c>
      <c r="B43" s="27" t="inlineStr">
        <is>
          <t>Total undergraduate Full-Time Students: another gender</t>
        </is>
      </c>
      <c r="C43">
        <f>SUM(C33,C38)</f>
        <v/>
      </c>
      <c r="D43" t="inlineStr">
        <is>
          <t>Enrollment And Persistence</t>
        </is>
      </c>
      <c r="E43" t="inlineStr">
        <is>
          <t>Institutional Enrollment</t>
        </is>
      </c>
      <c r="F43" t="inlineStr">
        <is>
          <t>All</t>
        </is>
      </c>
      <c r="G43" t="inlineStr">
        <is>
          <t>Undergraduates</t>
        </is>
      </c>
      <c r="H43" t="inlineStr">
        <is>
          <t>Total</t>
        </is>
      </c>
      <c r="I43" t="inlineStr">
        <is>
          <t>All</t>
        </is>
      </c>
      <c r="J43" t="inlineStr">
        <is>
          <t>FT</t>
        </is>
      </c>
      <c r="K43" t="inlineStr">
        <is>
          <t>Another Gender</t>
        </is>
      </c>
      <c r="L43" t="inlineStr">
        <is>
          <t>Number</t>
        </is>
      </c>
    </row>
    <row r="44" ht="18" customHeight="1" s="44">
      <c r="A44" t="inlineStr">
        <is>
          <t>B124</t>
        </is>
      </c>
      <c r="B44" s="27" t="inlineStr">
        <is>
          <t>Total undergraduate Full-Time Students: unknown</t>
        </is>
      </c>
      <c r="C44">
        <f>SUM(C34,C39)</f>
        <v/>
      </c>
      <c r="D44" t="inlineStr">
        <is>
          <t>Enrollment And Persistence</t>
        </is>
      </c>
      <c r="E44" t="inlineStr">
        <is>
          <t>Institutional Enrollment</t>
        </is>
      </c>
      <c r="F44" t="inlineStr">
        <is>
          <t>All</t>
        </is>
      </c>
      <c r="G44" t="inlineStr">
        <is>
          <t>Undergraduates</t>
        </is>
      </c>
      <c r="H44" t="inlineStr">
        <is>
          <t>Total</t>
        </is>
      </c>
      <c r="I44" t="inlineStr">
        <is>
          <t>All</t>
        </is>
      </c>
      <c r="J44" t="inlineStr">
        <is>
          <t>FT</t>
        </is>
      </c>
      <c r="K44" t="inlineStr">
        <is>
          <t>Unknown</t>
        </is>
      </c>
      <c r="L44" t="inlineStr">
        <is>
          <t>Number</t>
        </is>
      </c>
    </row>
    <row r="45"/>
    <row r="46" ht="18" customHeight="1" s="44"/>
    <row r="47" ht="18" customHeight="1" s="44">
      <c r="A47" t="inlineStr">
        <is>
          <t>B125</t>
        </is>
      </c>
      <c r="B47" s="2" t="inlineStr">
        <is>
          <t>Degree-seeking, first-time first-year students: men</t>
        </is>
      </c>
      <c r="C47" t="n">
        <v>11</v>
      </c>
      <c r="D47" t="inlineStr">
        <is>
          <t>Enrollment And Persistence</t>
        </is>
      </c>
      <c r="E47" t="inlineStr">
        <is>
          <t>Institutional Enrollment</t>
        </is>
      </c>
      <c r="F47" t="inlineStr">
        <is>
          <t>Degree-seeking</t>
        </is>
      </c>
      <c r="G47" t="inlineStr">
        <is>
          <t>Undergraduates</t>
        </is>
      </c>
      <c r="H47" t="inlineStr">
        <is>
          <t>First-time, first-year</t>
        </is>
      </c>
      <c r="I47" t="inlineStr">
        <is>
          <t>All</t>
        </is>
      </c>
      <c r="J47" t="inlineStr">
        <is>
          <t>PT</t>
        </is>
      </c>
      <c r="K47" t="inlineStr">
        <is>
          <t>Men</t>
        </is>
      </c>
      <c r="L47" t="inlineStr">
        <is>
          <t>Number</t>
        </is>
      </c>
    </row>
    <row r="48" ht="18" customHeight="1" s="44">
      <c r="A48" t="inlineStr">
        <is>
          <t>B126</t>
        </is>
      </c>
      <c r="B48" s="2" t="inlineStr">
        <is>
          <t>Degree-seeking, first-time first-year students: women</t>
        </is>
      </c>
      <c r="C48" t="n">
        <v>12</v>
      </c>
      <c r="D48" t="inlineStr">
        <is>
          <t>Enrollment And Persistence</t>
        </is>
      </c>
      <c r="E48" t="inlineStr">
        <is>
          <t>Institutional Enrollment</t>
        </is>
      </c>
      <c r="F48" t="inlineStr">
        <is>
          <t>Degree-seeking</t>
        </is>
      </c>
      <c r="G48" t="inlineStr">
        <is>
          <t>Undergraduates</t>
        </is>
      </c>
      <c r="H48" t="inlineStr">
        <is>
          <t>First-time, first-year</t>
        </is>
      </c>
      <c r="I48" t="inlineStr">
        <is>
          <t>All</t>
        </is>
      </c>
      <c r="J48" t="inlineStr">
        <is>
          <t>PT</t>
        </is>
      </c>
      <c r="K48" t="inlineStr">
        <is>
          <t>Women</t>
        </is>
      </c>
      <c r="L48" t="inlineStr">
        <is>
          <t>Number</t>
        </is>
      </c>
    </row>
    <row r="49" ht="30.95" customHeight="1" s="44">
      <c r="A49" t="inlineStr">
        <is>
          <t>B127</t>
        </is>
      </c>
      <c r="B49" s="2" t="inlineStr">
        <is>
          <t>Degree-seeking, first-time first-year students: another gender</t>
        </is>
      </c>
      <c r="C49" t="n">
        <v>0</v>
      </c>
      <c r="D49" t="inlineStr">
        <is>
          <t>Enrollment And Persistence</t>
        </is>
      </c>
      <c r="E49" t="inlineStr">
        <is>
          <t>Institutional Enrollment</t>
        </is>
      </c>
      <c r="F49" t="inlineStr">
        <is>
          <t>Degree-seeking</t>
        </is>
      </c>
      <c r="G49" t="inlineStr">
        <is>
          <t>Undergraduates</t>
        </is>
      </c>
      <c r="H49" t="inlineStr">
        <is>
          <t>First-time, first-year</t>
        </is>
      </c>
      <c r="I49" t="inlineStr">
        <is>
          <t>All</t>
        </is>
      </c>
      <c r="J49" t="inlineStr">
        <is>
          <t>PT</t>
        </is>
      </c>
      <c r="K49" t="inlineStr">
        <is>
          <t>Another Gender</t>
        </is>
      </c>
      <c r="L49" t="inlineStr">
        <is>
          <t>Number</t>
        </is>
      </c>
    </row>
    <row r="50" ht="32.25" customHeight="1" s="44">
      <c r="A50" t="inlineStr">
        <is>
          <t>B128</t>
        </is>
      </c>
      <c r="B50" s="2" t="inlineStr">
        <is>
          <t>Degree-seeking, first-time first-year students: unknown</t>
        </is>
      </c>
      <c r="C50" t="n">
        <v>0</v>
      </c>
      <c r="D50" t="inlineStr">
        <is>
          <t>Enrollment And Persistence</t>
        </is>
      </c>
      <c r="E50" t="inlineStr">
        <is>
          <t>Institutional Enrollment</t>
        </is>
      </c>
      <c r="F50" t="inlineStr">
        <is>
          <t>Degree-seeking</t>
        </is>
      </c>
      <c r="G50" t="inlineStr">
        <is>
          <t>Undergraduates</t>
        </is>
      </c>
      <c r="H50" t="inlineStr">
        <is>
          <t>First-time, first-year</t>
        </is>
      </c>
      <c r="I50" t="inlineStr">
        <is>
          <t>All</t>
        </is>
      </c>
      <c r="J50" t="inlineStr">
        <is>
          <t>PT</t>
        </is>
      </c>
      <c r="K50" t="inlineStr">
        <is>
          <t>Unknown</t>
        </is>
      </c>
      <c r="L50" t="inlineStr">
        <is>
          <t>Number</t>
        </is>
      </c>
    </row>
    <row r="51"/>
    <row r="52" ht="18" customHeight="1" s="44">
      <c r="A52" t="inlineStr">
        <is>
          <t>B129</t>
        </is>
      </c>
      <c r="B52" s="2" t="inlineStr">
        <is>
          <t>Other first-year, degree-seeking: men</t>
        </is>
      </c>
      <c r="C52" t="n">
        <v>0</v>
      </c>
      <c r="D52" t="inlineStr">
        <is>
          <t>Enrollment And Persistence</t>
        </is>
      </c>
      <c r="E52" t="inlineStr">
        <is>
          <t>Institutional Enrollment</t>
        </is>
      </c>
      <c r="F52" t="inlineStr">
        <is>
          <t>Degree-seeking</t>
        </is>
      </c>
      <c r="G52" t="inlineStr">
        <is>
          <t>Undergraduates</t>
        </is>
      </c>
      <c r="H52" t="inlineStr">
        <is>
          <t>Other first-year</t>
        </is>
      </c>
      <c r="I52" t="inlineStr">
        <is>
          <t>All</t>
        </is>
      </c>
      <c r="J52" t="inlineStr">
        <is>
          <t>PT</t>
        </is>
      </c>
      <c r="K52" t="inlineStr">
        <is>
          <t>Men</t>
        </is>
      </c>
      <c r="L52" t="inlineStr">
        <is>
          <t>Number</t>
        </is>
      </c>
    </row>
    <row r="53" ht="18" customHeight="1" s="44">
      <c r="A53" t="inlineStr">
        <is>
          <t>B130</t>
        </is>
      </c>
      <c r="B53" s="2" t="inlineStr">
        <is>
          <t>Other first-year, degree-seeking: women</t>
        </is>
      </c>
      <c r="C53" t="n">
        <v>0</v>
      </c>
      <c r="D53" t="inlineStr">
        <is>
          <t>Enrollment And Persistence</t>
        </is>
      </c>
      <c r="E53" t="inlineStr">
        <is>
          <t>Institutional Enrollment</t>
        </is>
      </c>
      <c r="F53" t="inlineStr">
        <is>
          <t>Degree-seeking</t>
        </is>
      </c>
      <c r="G53" t="inlineStr">
        <is>
          <t>Undergraduates</t>
        </is>
      </c>
      <c r="H53" t="inlineStr">
        <is>
          <t>Other first-year</t>
        </is>
      </c>
      <c r="I53" t="inlineStr">
        <is>
          <t>All</t>
        </is>
      </c>
      <c r="J53" t="inlineStr">
        <is>
          <t>PT</t>
        </is>
      </c>
      <c r="K53" t="inlineStr">
        <is>
          <t>Women</t>
        </is>
      </c>
      <c r="L53" t="inlineStr">
        <is>
          <t>Number</t>
        </is>
      </c>
    </row>
    <row r="54" ht="18" customHeight="1" s="44">
      <c r="A54" t="inlineStr">
        <is>
          <t>B131</t>
        </is>
      </c>
      <c r="B54" s="2" t="inlineStr">
        <is>
          <t>Other first-year, degree-seeking: another gender</t>
        </is>
      </c>
      <c r="C54" t="n">
        <v>0</v>
      </c>
      <c r="D54" t="inlineStr">
        <is>
          <t>Enrollment And Persistence</t>
        </is>
      </c>
      <c r="E54" t="inlineStr">
        <is>
          <t>Institutional Enrollment</t>
        </is>
      </c>
      <c r="F54" t="inlineStr">
        <is>
          <t>Degree-seeking</t>
        </is>
      </c>
      <c r="G54" t="inlineStr">
        <is>
          <t>Undergraduates</t>
        </is>
      </c>
      <c r="H54" t="inlineStr">
        <is>
          <t>Other first-year</t>
        </is>
      </c>
      <c r="I54" t="inlineStr">
        <is>
          <t>All</t>
        </is>
      </c>
      <c r="J54" t="inlineStr">
        <is>
          <t>PT</t>
        </is>
      </c>
      <c r="K54" t="inlineStr">
        <is>
          <t>Another Gender</t>
        </is>
      </c>
      <c r="L54" t="inlineStr">
        <is>
          <t>Number</t>
        </is>
      </c>
    </row>
    <row r="55" ht="18" customHeight="1" s="44">
      <c r="A55" t="inlineStr">
        <is>
          <t>B132</t>
        </is>
      </c>
      <c r="B55" s="2" t="inlineStr">
        <is>
          <t>Other first-year, degree-seeking: unknown</t>
        </is>
      </c>
      <c r="C55" t="n">
        <v>0</v>
      </c>
      <c r="D55" t="inlineStr">
        <is>
          <t>Enrollment And Persistence</t>
        </is>
      </c>
      <c r="E55" t="inlineStr">
        <is>
          <t>Institutional Enrollment</t>
        </is>
      </c>
      <c r="F55" t="inlineStr">
        <is>
          <t>Degree-seeking</t>
        </is>
      </c>
      <c r="G55" t="inlineStr">
        <is>
          <t>Undergraduates</t>
        </is>
      </c>
      <c r="H55" t="inlineStr">
        <is>
          <t>Other first-year</t>
        </is>
      </c>
      <c r="I55" t="inlineStr">
        <is>
          <t>All</t>
        </is>
      </c>
      <c r="J55" t="inlineStr">
        <is>
          <t>PT</t>
        </is>
      </c>
      <c r="K55" t="inlineStr">
        <is>
          <t>Unknown</t>
        </is>
      </c>
      <c r="L55" t="inlineStr">
        <is>
          <t>Number</t>
        </is>
      </c>
    </row>
    <row r="56"/>
    <row r="57" ht="18" customHeight="1" s="44">
      <c r="A57" t="inlineStr">
        <is>
          <t>B133</t>
        </is>
      </c>
      <c r="B57" s="2" t="inlineStr">
        <is>
          <t>All other degree-seeking: men</t>
        </is>
      </c>
      <c r="C57" t="n">
        <v>886</v>
      </c>
      <c r="D57" t="inlineStr">
        <is>
          <t>Enrollment And Persistence</t>
        </is>
      </c>
      <c r="E57" t="inlineStr">
        <is>
          <t>Institutional Enrollment</t>
        </is>
      </c>
      <c r="F57" t="inlineStr">
        <is>
          <t>Degree-seeking</t>
        </is>
      </c>
      <c r="G57" t="inlineStr">
        <is>
          <t>Undergraduates</t>
        </is>
      </c>
      <c r="H57" t="inlineStr">
        <is>
          <t>All other</t>
        </is>
      </c>
      <c r="I57" t="inlineStr">
        <is>
          <t>All</t>
        </is>
      </c>
      <c r="J57" t="inlineStr">
        <is>
          <t>PT</t>
        </is>
      </c>
      <c r="K57" t="inlineStr">
        <is>
          <t>Men</t>
        </is>
      </c>
      <c r="L57" t="inlineStr">
        <is>
          <t>Number</t>
        </is>
      </c>
    </row>
    <row r="58" ht="18" customHeight="1" s="44">
      <c r="A58" t="inlineStr">
        <is>
          <t>B134</t>
        </is>
      </c>
      <c r="B58" s="2" t="inlineStr">
        <is>
          <t>All other degree-seeking: women</t>
        </is>
      </c>
      <c r="C58" t="n">
        <v>797</v>
      </c>
      <c r="D58" t="inlineStr">
        <is>
          <t>Enrollment And Persistence</t>
        </is>
      </c>
      <c r="E58" t="inlineStr">
        <is>
          <t>Institutional Enrollment</t>
        </is>
      </c>
      <c r="F58" t="inlineStr">
        <is>
          <t>Degree-seeking</t>
        </is>
      </c>
      <c r="G58" t="inlineStr">
        <is>
          <t>Undergraduates</t>
        </is>
      </c>
      <c r="H58" t="inlineStr">
        <is>
          <t>All other</t>
        </is>
      </c>
      <c r="I58" t="inlineStr">
        <is>
          <t>All</t>
        </is>
      </c>
      <c r="J58" t="inlineStr">
        <is>
          <t>PT</t>
        </is>
      </c>
      <c r="K58" t="inlineStr">
        <is>
          <t>Women</t>
        </is>
      </c>
      <c r="L58" t="inlineStr">
        <is>
          <t>Number</t>
        </is>
      </c>
    </row>
    <row r="59" ht="18" customHeight="1" s="44">
      <c r="A59" t="inlineStr">
        <is>
          <t>B135</t>
        </is>
      </c>
      <c r="B59" s="2" t="inlineStr">
        <is>
          <t>All other degree-seeking: another gender</t>
        </is>
      </c>
      <c r="C59" t="n">
        <v>0</v>
      </c>
      <c r="D59" t="inlineStr">
        <is>
          <t>Enrollment And Persistence</t>
        </is>
      </c>
      <c r="E59" t="inlineStr">
        <is>
          <t>Institutional Enrollment</t>
        </is>
      </c>
      <c r="F59" t="inlineStr">
        <is>
          <t>Degree-seeking</t>
        </is>
      </c>
      <c r="G59" t="inlineStr">
        <is>
          <t>Undergraduates</t>
        </is>
      </c>
      <c r="H59" t="inlineStr">
        <is>
          <t>All other</t>
        </is>
      </c>
      <c r="I59" t="inlineStr">
        <is>
          <t>All</t>
        </is>
      </c>
      <c r="J59" t="inlineStr">
        <is>
          <t>PT</t>
        </is>
      </c>
      <c r="K59" t="inlineStr">
        <is>
          <t>Another Gender</t>
        </is>
      </c>
      <c r="L59" t="inlineStr">
        <is>
          <t>Number</t>
        </is>
      </c>
    </row>
    <row r="60" ht="18" customHeight="1" s="44">
      <c r="A60" t="inlineStr">
        <is>
          <t>B136</t>
        </is>
      </c>
      <c r="B60" s="2" t="inlineStr">
        <is>
          <t>All other degree-seeking: unknown</t>
        </is>
      </c>
      <c r="C60" t="n">
        <v>0</v>
      </c>
      <c r="D60" t="inlineStr">
        <is>
          <t>Enrollment And Persistence</t>
        </is>
      </c>
      <c r="E60" t="inlineStr">
        <is>
          <t>Institutional Enrollment</t>
        </is>
      </c>
      <c r="F60" t="inlineStr">
        <is>
          <t>Degree-seeking</t>
        </is>
      </c>
      <c r="G60" t="inlineStr">
        <is>
          <t>Undergraduates</t>
        </is>
      </c>
      <c r="H60" t="inlineStr">
        <is>
          <t>All other</t>
        </is>
      </c>
      <c r="I60" t="inlineStr">
        <is>
          <t>All</t>
        </is>
      </c>
      <c r="J60" t="inlineStr">
        <is>
          <t>PT</t>
        </is>
      </c>
      <c r="K60" t="inlineStr">
        <is>
          <t>Unknown</t>
        </is>
      </c>
      <c r="L60" t="inlineStr">
        <is>
          <t>Number</t>
        </is>
      </c>
    </row>
    <row r="61"/>
    <row r="62" ht="18" customHeight="1" s="44">
      <c r="A62" t="inlineStr">
        <is>
          <t>B137</t>
        </is>
      </c>
      <c r="B62" s="27" t="inlineStr">
        <is>
          <t>Total degree-seeking: men</t>
        </is>
      </c>
      <c r="C62">
        <f>SUM(C57,C52,C47)</f>
        <v/>
      </c>
      <c r="D62" t="inlineStr">
        <is>
          <t>Enrollment And Persistence</t>
        </is>
      </c>
      <c r="E62" t="inlineStr">
        <is>
          <t>Institutional Enrollment</t>
        </is>
      </c>
      <c r="F62" t="inlineStr">
        <is>
          <t>Degree-seeking</t>
        </is>
      </c>
      <c r="G62" t="inlineStr">
        <is>
          <t>Undergraduates</t>
        </is>
      </c>
      <c r="H62" t="inlineStr">
        <is>
          <t>Total</t>
        </is>
      </c>
      <c r="I62" t="inlineStr">
        <is>
          <t>All</t>
        </is>
      </c>
      <c r="J62" t="inlineStr">
        <is>
          <t>PT</t>
        </is>
      </c>
      <c r="K62" t="inlineStr">
        <is>
          <t>Men</t>
        </is>
      </c>
      <c r="L62" t="inlineStr">
        <is>
          <t>Number</t>
        </is>
      </c>
    </row>
    <row r="63" ht="18" customHeight="1" s="44">
      <c r="A63" t="inlineStr">
        <is>
          <t>B138</t>
        </is>
      </c>
      <c r="B63" s="27" t="inlineStr">
        <is>
          <t>Total degree-seeking: women</t>
        </is>
      </c>
      <c r="C63">
        <f>SUM(C58,C53,C48)</f>
        <v/>
      </c>
      <c r="D63" t="inlineStr">
        <is>
          <t>Enrollment And Persistence</t>
        </is>
      </c>
      <c r="E63" t="inlineStr">
        <is>
          <t>Institutional Enrollment</t>
        </is>
      </c>
      <c r="F63" t="inlineStr">
        <is>
          <t>Degree-seeking</t>
        </is>
      </c>
      <c r="G63" t="inlineStr">
        <is>
          <t>Undergraduates</t>
        </is>
      </c>
      <c r="H63" t="inlineStr">
        <is>
          <t>Total</t>
        </is>
      </c>
      <c r="I63" t="inlineStr">
        <is>
          <t>All</t>
        </is>
      </c>
      <c r="J63" t="inlineStr">
        <is>
          <t>PT</t>
        </is>
      </c>
      <c r="K63" t="inlineStr">
        <is>
          <t>Women</t>
        </is>
      </c>
      <c r="L63" t="inlineStr">
        <is>
          <t>Number</t>
        </is>
      </c>
    </row>
    <row r="64" ht="18" customHeight="1" s="44">
      <c r="A64" t="inlineStr">
        <is>
          <t>B139</t>
        </is>
      </c>
      <c r="B64" s="27" t="inlineStr">
        <is>
          <t>Total degree-seeking: another gender</t>
        </is>
      </c>
      <c r="C64">
        <f>SUM(C59,C54,C49)</f>
        <v/>
      </c>
      <c r="D64" t="inlineStr">
        <is>
          <t>Enrollment And Persistence</t>
        </is>
      </c>
      <c r="E64" t="inlineStr">
        <is>
          <t>Institutional Enrollment</t>
        </is>
      </c>
      <c r="F64" t="inlineStr">
        <is>
          <t>Degree-seeking</t>
        </is>
      </c>
      <c r="G64" t="inlineStr">
        <is>
          <t>Undergraduates</t>
        </is>
      </c>
      <c r="H64" t="inlineStr">
        <is>
          <t>Total</t>
        </is>
      </c>
      <c r="I64" t="inlineStr">
        <is>
          <t>All</t>
        </is>
      </c>
      <c r="J64" t="inlineStr">
        <is>
          <t>PT</t>
        </is>
      </c>
      <c r="K64" t="inlineStr">
        <is>
          <t>Another Gender</t>
        </is>
      </c>
      <c r="L64" t="inlineStr">
        <is>
          <t>Number</t>
        </is>
      </c>
    </row>
    <row r="65" ht="18" customHeight="1" s="44">
      <c r="A65" t="inlineStr">
        <is>
          <t>B140</t>
        </is>
      </c>
      <c r="B65" s="27" t="inlineStr">
        <is>
          <t>Total degree-seeking: unknown</t>
        </is>
      </c>
      <c r="C65">
        <f>SUM(C60,C55,C50)</f>
        <v/>
      </c>
      <c r="D65" t="inlineStr">
        <is>
          <t>Enrollment And Persistence</t>
        </is>
      </c>
      <c r="E65" t="inlineStr">
        <is>
          <t>Institutional Enrollment</t>
        </is>
      </c>
      <c r="F65" t="inlineStr">
        <is>
          <t>Degree-seeking</t>
        </is>
      </c>
      <c r="G65" t="inlineStr">
        <is>
          <t>Undergraduates</t>
        </is>
      </c>
      <c r="H65" t="inlineStr">
        <is>
          <t>Total</t>
        </is>
      </c>
      <c r="I65" t="inlineStr">
        <is>
          <t>All</t>
        </is>
      </c>
      <c r="J65" t="inlineStr">
        <is>
          <t>PT</t>
        </is>
      </c>
      <c r="K65" t="inlineStr">
        <is>
          <t>Unknown</t>
        </is>
      </c>
      <c r="L65" t="inlineStr">
        <is>
          <t>Number</t>
        </is>
      </c>
    </row>
    <row r="66"/>
    <row r="67" ht="30" customHeight="1" s="44">
      <c r="A67" t="inlineStr">
        <is>
          <t>B141</t>
        </is>
      </c>
      <c r="B67" s="2" t="inlineStr">
        <is>
          <t>All other undergraduates enrolled in credit courses: men</t>
        </is>
      </c>
      <c r="C67" t="n">
        <v>960</v>
      </c>
      <c r="D67" t="inlineStr">
        <is>
          <t>Enrollment And Persistence</t>
        </is>
      </c>
      <c r="E67" t="inlineStr">
        <is>
          <t>Institutional Enrollment</t>
        </is>
      </c>
      <c r="F67" t="inlineStr">
        <is>
          <t>Enrolled in Credit Courses</t>
        </is>
      </c>
      <c r="G67" t="inlineStr">
        <is>
          <t>Undergraduates</t>
        </is>
      </c>
      <c r="H67" t="inlineStr">
        <is>
          <t>All other undergraduates</t>
        </is>
      </c>
      <c r="I67" t="inlineStr">
        <is>
          <t>All</t>
        </is>
      </c>
      <c r="J67" t="inlineStr">
        <is>
          <t>PT</t>
        </is>
      </c>
      <c r="K67" t="inlineStr">
        <is>
          <t>Men</t>
        </is>
      </c>
      <c r="L67" t="inlineStr">
        <is>
          <t>Number</t>
        </is>
      </c>
    </row>
    <row r="68" ht="30" customHeight="1" s="44">
      <c r="A68" t="inlineStr">
        <is>
          <t>B142</t>
        </is>
      </c>
      <c r="B68" s="2" t="inlineStr">
        <is>
          <t>All other undergraduates enrolled in credit courses: women</t>
        </is>
      </c>
      <c r="C68" t="n">
        <v>907</v>
      </c>
      <c r="D68" t="inlineStr">
        <is>
          <t>Enrollment And Persistence</t>
        </is>
      </c>
      <c r="E68" t="inlineStr">
        <is>
          <t>Institutional Enrollment</t>
        </is>
      </c>
      <c r="F68" t="inlineStr">
        <is>
          <t>Enrolled in Credit Courses</t>
        </is>
      </c>
      <c r="G68" t="inlineStr">
        <is>
          <t>Undergraduates</t>
        </is>
      </c>
      <c r="H68" t="inlineStr">
        <is>
          <t>All other undergraduates</t>
        </is>
      </c>
      <c r="I68" t="inlineStr">
        <is>
          <t>All</t>
        </is>
      </c>
      <c r="J68" t="inlineStr">
        <is>
          <t>PT</t>
        </is>
      </c>
      <c r="K68" t="inlineStr">
        <is>
          <t>Women</t>
        </is>
      </c>
      <c r="L68" t="inlineStr">
        <is>
          <t>Number</t>
        </is>
      </c>
    </row>
    <row r="69" ht="30" customHeight="1" s="44">
      <c r="A69" t="inlineStr">
        <is>
          <t>B143</t>
        </is>
      </c>
      <c r="B69" s="2" t="inlineStr">
        <is>
          <t>All other undergraduates enrolled in credit courses: another gender</t>
        </is>
      </c>
      <c r="C69" t="n">
        <v>2</v>
      </c>
      <c r="D69" t="inlineStr">
        <is>
          <t>Enrollment And Persistence</t>
        </is>
      </c>
      <c r="E69" t="inlineStr">
        <is>
          <t>Institutional Enrollment</t>
        </is>
      </c>
      <c r="F69" t="inlineStr">
        <is>
          <t>Enrolled in Credit Courses</t>
        </is>
      </c>
      <c r="G69" t="inlineStr">
        <is>
          <t>Undergraduates</t>
        </is>
      </c>
      <c r="H69" t="inlineStr">
        <is>
          <t>All other undergraduates</t>
        </is>
      </c>
      <c r="I69" t="inlineStr">
        <is>
          <t>All</t>
        </is>
      </c>
      <c r="J69" t="inlineStr">
        <is>
          <t>PT</t>
        </is>
      </c>
      <c r="K69" t="inlineStr">
        <is>
          <t>Another Gender</t>
        </is>
      </c>
      <c r="L69" t="inlineStr">
        <is>
          <t>Number</t>
        </is>
      </c>
    </row>
    <row r="70" ht="30" customHeight="1" s="44">
      <c r="A70" t="inlineStr">
        <is>
          <t>B144</t>
        </is>
      </c>
      <c r="B70" s="2" t="inlineStr">
        <is>
          <t>All other undergraduates enrolled in credit courses: unknown</t>
        </is>
      </c>
      <c r="C70" t="n">
        <v>0</v>
      </c>
      <c r="D70" t="inlineStr">
        <is>
          <t>Enrollment And Persistence</t>
        </is>
      </c>
      <c r="E70" t="inlineStr">
        <is>
          <t>Institutional Enrollment</t>
        </is>
      </c>
      <c r="F70" t="inlineStr">
        <is>
          <t>Enrolled in Credit Courses</t>
        </is>
      </c>
      <c r="G70" t="inlineStr">
        <is>
          <t>Undergraduates</t>
        </is>
      </c>
      <c r="H70" t="inlineStr">
        <is>
          <t>All other undergraduates</t>
        </is>
      </c>
      <c r="I70" t="inlineStr">
        <is>
          <t>All</t>
        </is>
      </c>
      <c r="J70" t="inlineStr">
        <is>
          <t>PT</t>
        </is>
      </c>
      <c r="K70" t="inlineStr">
        <is>
          <t>Unknown</t>
        </is>
      </c>
      <c r="L70" t="inlineStr">
        <is>
          <t>Number</t>
        </is>
      </c>
    </row>
    <row r="71"/>
    <row r="72" ht="18" customHeight="1" s="44">
      <c r="A72" t="inlineStr">
        <is>
          <t>B145</t>
        </is>
      </c>
      <c r="B72" s="27" t="inlineStr">
        <is>
          <t>Total undergraduate Part-Time Students: men</t>
        </is>
      </c>
      <c r="C72">
        <f>SUM(C62,C67)</f>
        <v/>
      </c>
      <c r="D72" t="inlineStr">
        <is>
          <t>Enrollment And Persistence</t>
        </is>
      </c>
      <c r="E72" t="inlineStr">
        <is>
          <t>Institutional Enrollment</t>
        </is>
      </c>
      <c r="F72" t="inlineStr">
        <is>
          <t>All</t>
        </is>
      </c>
      <c r="G72" t="inlineStr">
        <is>
          <t>Undergraduates</t>
        </is>
      </c>
      <c r="H72" t="inlineStr">
        <is>
          <t>Total</t>
        </is>
      </c>
      <c r="I72" t="inlineStr">
        <is>
          <t>All</t>
        </is>
      </c>
      <c r="J72" t="inlineStr">
        <is>
          <t>PT</t>
        </is>
      </c>
      <c r="K72" t="inlineStr">
        <is>
          <t>Men</t>
        </is>
      </c>
      <c r="L72" t="inlineStr">
        <is>
          <t>Number</t>
        </is>
      </c>
    </row>
    <row r="73" ht="18" customHeight="1" s="44">
      <c r="A73" t="inlineStr">
        <is>
          <t>B146</t>
        </is>
      </c>
      <c r="B73" s="27" t="inlineStr">
        <is>
          <t>Total undergraduate Part-Time Students: women</t>
        </is>
      </c>
      <c r="C73">
        <f>SUM(C63,C68)</f>
        <v/>
      </c>
      <c r="D73" t="inlineStr">
        <is>
          <t>Enrollment And Persistence</t>
        </is>
      </c>
      <c r="E73" t="inlineStr">
        <is>
          <t>Institutional Enrollment</t>
        </is>
      </c>
      <c r="F73" t="inlineStr">
        <is>
          <t>All</t>
        </is>
      </c>
      <c r="G73" t="inlineStr">
        <is>
          <t>Undergraduates</t>
        </is>
      </c>
      <c r="H73" t="inlineStr">
        <is>
          <t>Total</t>
        </is>
      </c>
      <c r="I73" t="inlineStr">
        <is>
          <t>All</t>
        </is>
      </c>
      <c r="J73" t="inlineStr">
        <is>
          <t>PT</t>
        </is>
      </c>
      <c r="K73" t="inlineStr">
        <is>
          <t>Women</t>
        </is>
      </c>
      <c r="L73" t="inlineStr">
        <is>
          <t>Number</t>
        </is>
      </c>
    </row>
    <row r="74" ht="30" customHeight="1" s="44">
      <c r="A74" t="inlineStr">
        <is>
          <t>B147</t>
        </is>
      </c>
      <c r="B74" s="27" t="inlineStr">
        <is>
          <t>Total undergraduate Part-Time Students: another gender</t>
        </is>
      </c>
      <c r="C74">
        <f>SUM(C64,C69)</f>
        <v/>
      </c>
      <c r="D74" t="inlineStr">
        <is>
          <t>Enrollment And Persistence</t>
        </is>
      </c>
      <c r="E74" t="inlineStr">
        <is>
          <t>Institutional Enrollment</t>
        </is>
      </c>
      <c r="F74" t="inlineStr">
        <is>
          <t>All</t>
        </is>
      </c>
      <c r="G74" t="inlineStr">
        <is>
          <t>Undergraduates</t>
        </is>
      </c>
      <c r="H74" t="inlineStr">
        <is>
          <t>Total</t>
        </is>
      </c>
      <c r="I74" t="inlineStr">
        <is>
          <t>All</t>
        </is>
      </c>
      <c r="J74" t="inlineStr">
        <is>
          <t>PT</t>
        </is>
      </c>
      <c r="K74" t="inlineStr">
        <is>
          <t>Another Gender</t>
        </is>
      </c>
      <c r="L74" t="inlineStr">
        <is>
          <t>Number</t>
        </is>
      </c>
    </row>
    <row r="75" ht="18" customHeight="1" s="44">
      <c r="A75" t="inlineStr">
        <is>
          <t>B148</t>
        </is>
      </c>
      <c r="B75" s="27" t="inlineStr">
        <is>
          <t>Total undergraduate Part-Time Students: unknown</t>
        </is>
      </c>
      <c r="C75">
        <f>SUM(C65,C70)</f>
        <v/>
      </c>
      <c r="D75" t="inlineStr">
        <is>
          <t>Enrollment And Persistence</t>
        </is>
      </c>
      <c r="E75" t="inlineStr">
        <is>
          <t>Institutional Enrollment</t>
        </is>
      </c>
      <c r="F75" t="inlineStr">
        <is>
          <t>All</t>
        </is>
      </c>
      <c r="G75" t="inlineStr">
        <is>
          <t>Undergraduates</t>
        </is>
      </c>
      <c r="H75" t="inlineStr">
        <is>
          <t>Total</t>
        </is>
      </c>
      <c r="I75" t="inlineStr">
        <is>
          <t>All</t>
        </is>
      </c>
      <c r="J75" t="inlineStr">
        <is>
          <t>PT</t>
        </is>
      </c>
      <c r="K75" t="inlineStr">
        <is>
          <t>Unknown</t>
        </is>
      </c>
      <c r="L75" t="inlineStr">
        <is>
          <t>Number</t>
        </is>
      </c>
    </row>
    <row r="76"/>
    <row r="77" ht="18" customHeight="1" s="44"/>
    <row r="78" ht="18" customHeight="1" s="44">
      <c r="A78" t="inlineStr">
        <is>
          <t>B149</t>
        </is>
      </c>
      <c r="B78" s="27" t="inlineStr">
        <is>
          <t>Total undergraduate students: men</t>
        </is>
      </c>
      <c r="C78">
        <f>SUM(C72,C41)</f>
        <v/>
      </c>
      <c r="D78" t="inlineStr">
        <is>
          <t>Enrollment And Persistence</t>
        </is>
      </c>
      <c r="E78" t="inlineStr">
        <is>
          <t>Institutional Enrollment</t>
        </is>
      </c>
      <c r="F78" t="inlineStr">
        <is>
          <t>All</t>
        </is>
      </c>
      <c r="G78" t="inlineStr">
        <is>
          <t>Undergraduates</t>
        </is>
      </c>
      <c r="H78" t="inlineStr">
        <is>
          <t>Total understand</t>
        </is>
      </c>
      <c r="I78" t="inlineStr">
        <is>
          <t>All</t>
        </is>
      </c>
      <c r="J78" t="inlineStr">
        <is>
          <t>All</t>
        </is>
      </c>
      <c r="K78" t="inlineStr">
        <is>
          <t>Men</t>
        </is>
      </c>
      <c r="L78" t="inlineStr">
        <is>
          <t>Number</t>
        </is>
      </c>
    </row>
    <row r="79" ht="18" customHeight="1" s="44">
      <c r="A79" t="inlineStr">
        <is>
          <t>B150</t>
        </is>
      </c>
      <c r="B79" s="27" t="inlineStr">
        <is>
          <t>Total undergraduate students: women</t>
        </is>
      </c>
      <c r="C79">
        <f>SUM(C73,C42)</f>
        <v/>
      </c>
      <c r="D79" t="inlineStr">
        <is>
          <t>Enrollment And Persistence</t>
        </is>
      </c>
      <c r="E79" t="inlineStr">
        <is>
          <t>Institutional Enrollment</t>
        </is>
      </c>
      <c r="F79" t="inlineStr">
        <is>
          <t>All</t>
        </is>
      </c>
      <c r="G79" t="inlineStr">
        <is>
          <t>Undergraduates</t>
        </is>
      </c>
      <c r="H79" t="inlineStr">
        <is>
          <t>Total understand</t>
        </is>
      </c>
      <c r="I79" t="inlineStr">
        <is>
          <t>All</t>
        </is>
      </c>
      <c r="J79" t="inlineStr">
        <is>
          <t>All</t>
        </is>
      </c>
      <c r="K79" t="inlineStr">
        <is>
          <t>Women</t>
        </is>
      </c>
      <c r="L79" t="inlineStr">
        <is>
          <t>Number</t>
        </is>
      </c>
    </row>
    <row r="80" ht="18" customHeight="1" s="44">
      <c r="A80" t="inlineStr">
        <is>
          <t>B151</t>
        </is>
      </c>
      <c r="B80" s="27" t="inlineStr">
        <is>
          <t>Total undergraduate students: another gender</t>
        </is>
      </c>
      <c r="C80">
        <f>SUM(C74,C43)</f>
        <v/>
      </c>
      <c r="D80" t="inlineStr">
        <is>
          <t>Enrollment And Persistence</t>
        </is>
      </c>
      <c r="E80" t="inlineStr">
        <is>
          <t>Institutional Enrollment</t>
        </is>
      </c>
      <c r="F80" t="inlineStr">
        <is>
          <t>All</t>
        </is>
      </c>
      <c r="G80" t="inlineStr">
        <is>
          <t>Undergraduates</t>
        </is>
      </c>
      <c r="H80" t="inlineStr">
        <is>
          <t>Total understand</t>
        </is>
      </c>
      <c r="I80" t="inlineStr">
        <is>
          <t>All</t>
        </is>
      </c>
      <c r="J80" t="inlineStr">
        <is>
          <t>All</t>
        </is>
      </c>
      <c r="K80" t="inlineStr">
        <is>
          <t>Another Gender</t>
        </is>
      </c>
      <c r="L80" t="inlineStr">
        <is>
          <t>Number</t>
        </is>
      </c>
    </row>
    <row r="81" ht="18" customHeight="1" s="44">
      <c r="A81" t="inlineStr">
        <is>
          <t>B152</t>
        </is>
      </c>
      <c r="B81" s="27" t="inlineStr">
        <is>
          <t>Total undergraduate students: unknown</t>
        </is>
      </c>
      <c r="C81">
        <f>SUM(C75,C44)</f>
        <v/>
      </c>
      <c r="D81" t="inlineStr">
        <is>
          <t>Enrollment And Persistence</t>
        </is>
      </c>
      <c r="E81" t="inlineStr">
        <is>
          <t>Institutional Enrollment</t>
        </is>
      </c>
      <c r="F81" t="inlineStr">
        <is>
          <t>All</t>
        </is>
      </c>
      <c r="G81" t="inlineStr">
        <is>
          <t>Undergraduates</t>
        </is>
      </c>
      <c r="H81" t="inlineStr">
        <is>
          <t>Total understand</t>
        </is>
      </c>
      <c r="I81" t="inlineStr">
        <is>
          <t>All</t>
        </is>
      </c>
      <c r="J81" t="inlineStr">
        <is>
          <t>All</t>
        </is>
      </c>
      <c r="K81" t="inlineStr">
        <is>
          <t>Unknown</t>
        </is>
      </c>
      <c r="L81" t="inlineStr">
        <is>
          <t>Number</t>
        </is>
      </c>
    </row>
    <row r="82"/>
    <row r="83" ht="18" customHeight="1" s="44"/>
    <row r="84" ht="18" customHeight="1" s="44">
      <c r="A84" t="inlineStr">
        <is>
          <t>B153</t>
        </is>
      </c>
      <c r="B84" s="2" t="inlineStr">
        <is>
          <t>Degree-seeking, first-time: men</t>
        </is>
      </c>
      <c r="C84" t="n">
        <v>1501</v>
      </c>
      <c r="D84" t="inlineStr">
        <is>
          <t>Enrollment And Persistence</t>
        </is>
      </c>
      <c r="E84" t="inlineStr">
        <is>
          <t>Institutional Enrollment</t>
        </is>
      </c>
      <c r="F84" t="inlineStr">
        <is>
          <t>Degree-seeking</t>
        </is>
      </c>
      <c r="G84" t="inlineStr">
        <is>
          <t>Graduates</t>
        </is>
      </c>
      <c r="H84" t="inlineStr">
        <is>
          <t>First-time</t>
        </is>
      </c>
      <c r="I84" t="inlineStr">
        <is>
          <t>All</t>
        </is>
      </c>
      <c r="J84" t="inlineStr">
        <is>
          <t>FT</t>
        </is>
      </c>
      <c r="K84" t="inlineStr">
        <is>
          <t>Men</t>
        </is>
      </c>
      <c r="L84" t="inlineStr">
        <is>
          <t>Number</t>
        </is>
      </c>
    </row>
    <row r="85" ht="18" customHeight="1" s="44">
      <c r="A85" t="inlineStr">
        <is>
          <t>B154</t>
        </is>
      </c>
      <c r="B85" s="2" t="inlineStr">
        <is>
          <t>Degree-seeking, first-time: women</t>
        </is>
      </c>
      <c r="C85" t="n">
        <v>1566</v>
      </c>
      <c r="D85" t="inlineStr">
        <is>
          <t>Enrollment And Persistence</t>
        </is>
      </c>
      <c r="E85" t="inlineStr">
        <is>
          <t>Institutional Enrollment</t>
        </is>
      </c>
      <c r="F85" t="inlineStr">
        <is>
          <t>Degree-seeking</t>
        </is>
      </c>
      <c r="G85" t="inlineStr">
        <is>
          <t>Graduates</t>
        </is>
      </c>
      <c r="H85" t="inlineStr">
        <is>
          <t>First-time</t>
        </is>
      </c>
      <c r="I85" t="inlineStr">
        <is>
          <t>All</t>
        </is>
      </c>
      <c r="J85" t="inlineStr">
        <is>
          <t>FT</t>
        </is>
      </c>
      <c r="K85" t="inlineStr">
        <is>
          <t>Women</t>
        </is>
      </c>
      <c r="L85" t="inlineStr">
        <is>
          <t>Number</t>
        </is>
      </c>
    </row>
    <row r="86" ht="18" customHeight="1" s="44">
      <c r="A86" t="inlineStr">
        <is>
          <t>B155</t>
        </is>
      </c>
      <c r="B86" s="2" t="inlineStr">
        <is>
          <t>Degree-seeking, first-time: another gender</t>
        </is>
      </c>
      <c r="C86" t="n">
        <v>0</v>
      </c>
      <c r="D86" t="inlineStr">
        <is>
          <t>Enrollment And Persistence</t>
        </is>
      </c>
      <c r="E86" t="inlineStr">
        <is>
          <t>Institutional Enrollment</t>
        </is>
      </c>
      <c r="F86" t="inlineStr">
        <is>
          <t>Degree-seeking</t>
        </is>
      </c>
      <c r="G86" t="inlineStr">
        <is>
          <t>Graduates</t>
        </is>
      </c>
      <c r="H86" t="inlineStr">
        <is>
          <t>First-time</t>
        </is>
      </c>
      <c r="I86" t="inlineStr">
        <is>
          <t>All</t>
        </is>
      </c>
      <c r="J86" t="inlineStr">
        <is>
          <t>FT</t>
        </is>
      </c>
      <c r="K86" t="inlineStr">
        <is>
          <t>Another Gender</t>
        </is>
      </c>
      <c r="L86" t="inlineStr">
        <is>
          <t>Number</t>
        </is>
      </c>
    </row>
    <row r="87" ht="18" customHeight="1" s="44">
      <c r="A87" t="inlineStr">
        <is>
          <t>B156</t>
        </is>
      </c>
      <c r="B87" s="2" t="inlineStr">
        <is>
          <t>Degree-seeking, first-time: unknown</t>
        </is>
      </c>
      <c r="C87" t="n">
        <v>1</v>
      </c>
      <c r="D87" t="inlineStr">
        <is>
          <t>Enrollment And Persistence</t>
        </is>
      </c>
      <c r="E87" t="inlineStr">
        <is>
          <t>Institutional Enrollment</t>
        </is>
      </c>
      <c r="F87" t="inlineStr">
        <is>
          <t>Degree-seeking</t>
        </is>
      </c>
      <c r="G87" t="inlineStr">
        <is>
          <t>Graduates</t>
        </is>
      </c>
      <c r="H87" t="inlineStr">
        <is>
          <t>First-time</t>
        </is>
      </c>
      <c r="I87" t="inlineStr">
        <is>
          <t>All</t>
        </is>
      </c>
      <c r="J87" t="inlineStr">
        <is>
          <t>FT</t>
        </is>
      </c>
      <c r="K87" t="inlineStr">
        <is>
          <t>Unknown</t>
        </is>
      </c>
      <c r="L87" t="inlineStr">
        <is>
          <t>Number</t>
        </is>
      </c>
    </row>
    <row r="88"/>
    <row r="89" ht="18" customHeight="1" s="44">
      <c r="A89" t="inlineStr">
        <is>
          <t>B157</t>
        </is>
      </c>
      <c r="B89" s="2" t="inlineStr">
        <is>
          <t>All other degree-seeking: men</t>
        </is>
      </c>
      <c r="C89" t="n">
        <v>3538</v>
      </c>
      <c r="D89" t="inlineStr">
        <is>
          <t>Enrollment And Persistence</t>
        </is>
      </c>
      <c r="E89" t="inlineStr">
        <is>
          <t>Institutional Enrollment</t>
        </is>
      </c>
      <c r="F89" t="inlineStr">
        <is>
          <t>Degree-seeking</t>
        </is>
      </c>
      <c r="G89" t="inlineStr">
        <is>
          <t>Graduates</t>
        </is>
      </c>
      <c r="H89" t="inlineStr">
        <is>
          <t>All other</t>
        </is>
      </c>
      <c r="I89" t="inlineStr">
        <is>
          <t>All</t>
        </is>
      </c>
      <c r="J89" t="inlineStr">
        <is>
          <t>FT</t>
        </is>
      </c>
      <c r="K89" t="inlineStr">
        <is>
          <t>Men</t>
        </is>
      </c>
      <c r="L89" t="inlineStr">
        <is>
          <t>Number</t>
        </is>
      </c>
    </row>
    <row r="90" ht="18" customHeight="1" s="44">
      <c r="A90" t="inlineStr">
        <is>
          <t>B158</t>
        </is>
      </c>
      <c r="B90" s="2" t="inlineStr">
        <is>
          <t>All other degree-seeking: women</t>
        </is>
      </c>
      <c r="C90" t="n">
        <v>4206</v>
      </c>
      <c r="D90" t="inlineStr">
        <is>
          <t>Enrollment And Persistence</t>
        </is>
      </c>
      <c r="E90" t="inlineStr">
        <is>
          <t>Institutional Enrollment</t>
        </is>
      </c>
      <c r="F90" t="inlineStr">
        <is>
          <t>Degree-seeking</t>
        </is>
      </c>
      <c r="G90" t="inlineStr">
        <is>
          <t>Graduates</t>
        </is>
      </c>
      <c r="H90" t="inlineStr">
        <is>
          <t>All other</t>
        </is>
      </c>
      <c r="I90" t="inlineStr">
        <is>
          <t>All</t>
        </is>
      </c>
      <c r="J90" t="inlineStr">
        <is>
          <t>FT</t>
        </is>
      </c>
      <c r="K90" t="inlineStr">
        <is>
          <t>Women</t>
        </is>
      </c>
      <c r="L90" t="inlineStr">
        <is>
          <t>Number</t>
        </is>
      </c>
    </row>
    <row r="91" ht="18" customHeight="1" s="44">
      <c r="A91" t="inlineStr">
        <is>
          <t>B159</t>
        </is>
      </c>
      <c r="B91" s="2" t="inlineStr">
        <is>
          <t>All other degree-seeking: another gender</t>
        </is>
      </c>
      <c r="C91" t="n">
        <v>0</v>
      </c>
      <c r="D91" t="inlineStr">
        <is>
          <t>Enrollment And Persistence</t>
        </is>
      </c>
      <c r="E91" t="inlineStr">
        <is>
          <t>Institutional Enrollment</t>
        </is>
      </c>
      <c r="F91" t="inlineStr">
        <is>
          <t>Degree-seeking</t>
        </is>
      </c>
      <c r="G91" t="inlineStr">
        <is>
          <t>Graduates</t>
        </is>
      </c>
      <c r="H91" t="inlineStr">
        <is>
          <t>All other</t>
        </is>
      </c>
      <c r="I91" t="inlineStr">
        <is>
          <t>All</t>
        </is>
      </c>
      <c r="J91" t="inlineStr">
        <is>
          <t>FT</t>
        </is>
      </c>
      <c r="K91" t="inlineStr">
        <is>
          <t>Another Gender</t>
        </is>
      </c>
      <c r="L91" t="inlineStr">
        <is>
          <t>Number</t>
        </is>
      </c>
    </row>
    <row r="92" ht="18" customHeight="1" s="44">
      <c r="A92" t="inlineStr">
        <is>
          <t>B160</t>
        </is>
      </c>
      <c r="B92" s="2" t="inlineStr">
        <is>
          <t>All other degree-seeking: unknown</t>
        </is>
      </c>
      <c r="C92" t="n">
        <v>0</v>
      </c>
      <c r="D92" t="inlineStr">
        <is>
          <t>Enrollment And Persistence</t>
        </is>
      </c>
      <c r="E92" t="inlineStr">
        <is>
          <t>Institutional Enrollment</t>
        </is>
      </c>
      <c r="F92" t="inlineStr">
        <is>
          <t>Degree-seeking</t>
        </is>
      </c>
      <c r="G92" t="inlineStr">
        <is>
          <t>Graduates</t>
        </is>
      </c>
      <c r="H92" t="inlineStr">
        <is>
          <t>All other</t>
        </is>
      </c>
      <c r="I92" t="inlineStr">
        <is>
          <t>All</t>
        </is>
      </c>
      <c r="J92" t="inlineStr">
        <is>
          <t>FT</t>
        </is>
      </c>
      <c r="K92" t="inlineStr">
        <is>
          <t>Unknown</t>
        </is>
      </c>
      <c r="L92" t="inlineStr">
        <is>
          <t>Number</t>
        </is>
      </c>
    </row>
    <row r="93"/>
    <row r="94" ht="18" customHeight="1" s="44">
      <c r="A94" t="inlineStr">
        <is>
          <t>B161</t>
        </is>
      </c>
      <c r="B94" s="2" t="inlineStr">
        <is>
          <t>All other graduates enrolled in credit courses: men</t>
        </is>
      </c>
      <c r="C94" t="n">
        <v>0</v>
      </c>
      <c r="D94" t="inlineStr">
        <is>
          <t>Enrollment And Persistence</t>
        </is>
      </c>
      <c r="E94" t="inlineStr">
        <is>
          <t>Institutional Enrollment</t>
        </is>
      </c>
      <c r="F94" t="inlineStr">
        <is>
          <t>Enrolled in Credit Courses</t>
        </is>
      </c>
      <c r="G94" t="inlineStr">
        <is>
          <t>Graduates</t>
        </is>
      </c>
      <c r="H94" t="inlineStr">
        <is>
          <t>All other</t>
        </is>
      </c>
      <c r="I94" t="inlineStr">
        <is>
          <t>All</t>
        </is>
      </c>
      <c r="J94" t="inlineStr">
        <is>
          <t>FT</t>
        </is>
      </c>
      <c r="K94" t="inlineStr">
        <is>
          <t>Men</t>
        </is>
      </c>
      <c r="L94" t="inlineStr">
        <is>
          <t>Number</t>
        </is>
      </c>
    </row>
    <row r="95" ht="18" customHeight="1" s="44">
      <c r="A95" t="inlineStr">
        <is>
          <t>B162</t>
        </is>
      </c>
      <c r="B95" s="2" t="inlineStr">
        <is>
          <t>All other graduates enrolled in credit courses: women</t>
        </is>
      </c>
      <c r="C95" t="n">
        <v>0</v>
      </c>
      <c r="D95" t="inlineStr">
        <is>
          <t>Enrollment And Persistence</t>
        </is>
      </c>
      <c r="E95" t="inlineStr">
        <is>
          <t>Institutional Enrollment</t>
        </is>
      </c>
      <c r="F95" t="inlineStr">
        <is>
          <t>Enrolled in Credit Courses</t>
        </is>
      </c>
      <c r="G95" t="inlineStr">
        <is>
          <t>Graduates</t>
        </is>
      </c>
      <c r="H95" t="inlineStr">
        <is>
          <t>All other</t>
        </is>
      </c>
      <c r="I95" t="inlineStr">
        <is>
          <t>All</t>
        </is>
      </c>
      <c r="J95" t="inlineStr">
        <is>
          <t>FT</t>
        </is>
      </c>
      <c r="K95" t="inlineStr">
        <is>
          <t>Women</t>
        </is>
      </c>
      <c r="L95" t="inlineStr">
        <is>
          <t>Number</t>
        </is>
      </c>
    </row>
    <row r="96" ht="30" customHeight="1" s="44">
      <c r="A96" t="inlineStr">
        <is>
          <t>B163</t>
        </is>
      </c>
      <c r="B96" s="2" t="inlineStr">
        <is>
          <t>All other graduates enrolled in credit courses: another gender</t>
        </is>
      </c>
      <c r="C96" t="n">
        <v>0</v>
      </c>
      <c r="D96" t="inlineStr">
        <is>
          <t>Enrollment And Persistence</t>
        </is>
      </c>
      <c r="E96" t="inlineStr">
        <is>
          <t>Institutional Enrollment</t>
        </is>
      </c>
      <c r="F96" t="inlineStr">
        <is>
          <t>Enrolled in Credit Courses</t>
        </is>
      </c>
      <c r="G96" t="inlineStr">
        <is>
          <t>Graduates</t>
        </is>
      </c>
      <c r="H96" t="inlineStr">
        <is>
          <t>All other</t>
        </is>
      </c>
      <c r="I96" t="inlineStr">
        <is>
          <t>All</t>
        </is>
      </c>
      <c r="J96" t="inlineStr">
        <is>
          <t>FT</t>
        </is>
      </c>
      <c r="K96" t="inlineStr">
        <is>
          <t>Another Gender</t>
        </is>
      </c>
      <c r="L96" t="inlineStr">
        <is>
          <t>Number</t>
        </is>
      </c>
    </row>
    <row r="97" ht="18" customHeight="1" s="44">
      <c r="A97" t="inlineStr">
        <is>
          <t>B164</t>
        </is>
      </c>
      <c r="B97" s="2" t="inlineStr">
        <is>
          <t>All other graduates enrolled in credit courses: unknown</t>
        </is>
      </c>
      <c r="C97" t="n">
        <v>0</v>
      </c>
      <c r="D97" t="inlineStr">
        <is>
          <t>Enrollment And Persistence</t>
        </is>
      </c>
      <c r="E97" t="inlineStr">
        <is>
          <t>Institutional Enrollment</t>
        </is>
      </c>
      <c r="F97" t="inlineStr">
        <is>
          <t>Enrolled in Credit Courses</t>
        </is>
      </c>
      <c r="G97" t="inlineStr">
        <is>
          <t>Graduates</t>
        </is>
      </c>
      <c r="H97" t="inlineStr">
        <is>
          <t>All other</t>
        </is>
      </c>
      <c r="I97" t="inlineStr">
        <is>
          <t>All</t>
        </is>
      </c>
      <c r="J97" t="inlineStr">
        <is>
          <t>FT</t>
        </is>
      </c>
      <c r="K97" t="inlineStr">
        <is>
          <t>Unknown</t>
        </is>
      </c>
      <c r="L97" t="inlineStr">
        <is>
          <t>Number</t>
        </is>
      </c>
    </row>
    <row r="98"/>
    <row r="99" ht="18" customHeight="1" s="44">
      <c r="A99" t="inlineStr">
        <is>
          <t>B165</t>
        </is>
      </c>
      <c r="B99" s="27" t="inlineStr">
        <is>
          <t>Total graduate Full-Time Students: men</t>
        </is>
      </c>
      <c r="C99">
        <f>SUM(C94,C89,C84)</f>
        <v/>
      </c>
      <c r="D99" t="inlineStr">
        <is>
          <t>Enrollment And Persistence</t>
        </is>
      </c>
      <c r="E99" t="inlineStr">
        <is>
          <t>All</t>
        </is>
      </c>
      <c r="F99" t="inlineStr">
        <is>
          <t>Full-Time</t>
        </is>
      </c>
      <c r="G99" t="inlineStr">
        <is>
          <t>Graduates</t>
        </is>
      </c>
      <c r="H99" t="inlineStr">
        <is>
          <t>Total</t>
        </is>
      </c>
      <c r="I99" t="inlineStr">
        <is>
          <t>All</t>
        </is>
      </c>
      <c r="J99" t="inlineStr">
        <is>
          <t>FT</t>
        </is>
      </c>
      <c r="K99" t="inlineStr">
        <is>
          <t>Men</t>
        </is>
      </c>
      <c r="L99" t="inlineStr">
        <is>
          <t>Number</t>
        </is>
      </c>
    </row>
    <row r="100" ht="18" customHeight="1" s="44">
      <c r="A100" t="inlineStr">
        <is>
          <t>B166</t>
        </is>
      </c>
      <c r="B100" s="27" t="inlineStr">
        <is>
          <t>Total graduate Full-Time Students: women</t>
        </is>
      </c>
      <c r="C100">
        <f>SUM(C95,C90,C85)</f>
        <v/>
      </c>
      <c r="D100" t="inlineStr">
        <is>
          <t>Enrollment And Persistence</t>
        </is>
      </c>
      <c r="E100" t="inlineStr">
        <is>
          <t>All</t>
        </is>
      </c>
      <c r="F100" t="inlineStr">
        <is>
          <t>Full-Time</t>
        </is>
      </c>
      <c r="G100" t="inlineStr">
        <is>
          <t>Graduates</t>
        </is>
      </c>
      <c r="H100" t="inlineStr">
        <is>
          <t>Total</t>
        </is>
      </c>
      <c r="I100" t="inlineStr">
        <is>
          <t>All</t>
        </is>
      </c>
      <c r="J100" t="inlineStr">
        <is>
          <t>FT</t>
        </is>
      </c>
      <c r="K100" t="inlineStr">
        <is>
          <t>Women</t>
        </is>
      </c>
      <c r="L100" t="inlineStr">
        <is>
          <t>Number</t>
        </is>
      </c>
    </row>
    <row r="101" ht="18" customHeight="1" s="44">
      <c r="A101" t="inlineStr">
        <is>
          <t>B167</t>
        </is>
      </c>
      <c r="B101" s="27" t="inlineStr">
        <is>
          <t>Total graduate Full-Time Students: another gender</t>
        </is>
      </c>
      <c r="C101">
        <f>SUM(C96,C91,C86)</f>
        <v/>
      </c>
      <c r="D101" t="inlineStr">
        <is>
          <t>Enrollment And Persistence</t>
        </is>
      </c>
      <c r="E101" t="inlineStr">
        <is>
          <t>All</t>
        </is>
      </c>
      <c r="F101" t="inlineStr">
        <is>
          <t>Full-Time</t>
        </is>
      </c>
      <c r="G101" t="inlineStr">
        <is>
          <t>Graduates</t>
        </is>
      </c>
      <c r="H101" t="inlineStr">
        <is>
          <t>Total</t>
        </is>
      </c>
      <c r="I101" t="inlineStr">
        <is>
          <t>All</t>
        </is>
      </c>
      <c r="J101" t="inlineStr">
        <is>
          <t>FT</t>
        </is>
      </c>
      <c r="K101" t="inlineStr">
        <is>
          <t>Another Gender</t>
        </is>
      </c>
      <c r="L101" t="inlineStr">
        <is>
          <t>Number</t>
        </is>
      </c>
    </row>
    <row r="102" ht="18" customHeight="1" s="44">
      <c r="A102" t="inlineStr">
        <is>
          <t>B168</t>
        </is>
      </c>
      <c r="B102" s="27" t="inlineStr">
        <is>
          <t>Total graduate Full-Time Students: unknown</t>
        </is>
      </c>
      <c r="C102">
        <f>SUM(C97,C92,C87)</f>
        <v/>
      </c>
      <c r="D102" t="inlineStr">
        <is>
          <t>Enrollment And Persistence</t>
        </is>
      </c>
      <c r="E102" t="inlineStr">
        <is>
          <t>All</t>
        </is>
      </c>
      <c r="F102" t="inlineStr">
        <is>
          <t>Full-Time</t>
        </is>
      </c>
      <c r="G102" t="inlineStr">
        <is>
          <t>Graduates</t>
        </is>
      </c>
      <c r="H102" t="inlineStr">
        <is>
          <t>Total</t>
        </is>
      </c>
      <c r="I102" t="inlineStr">
        <is>
          <t>All</t>
        </is>
      </c>
      <c r="J102" t="inlineStr">
        <is>
          <t>FT</t>
        </is>
      </c>
      <c r="K102" t="inlineStr">
        <is>
          <t>Unknown</t>
        </is>
      </c>
      <c r="L102" t="inlineStr">
        <is>
          <t>Number</t>
        </is>
      </c>
    </row>
    <row r="103">
      <c r="B103" s="27" t="n"/>
    </row>
    <row r="104" ht="18" customHeight="1" s="44"/>
    <row r="105" ht="18" customHeight="1" s="44">
      <c r="A105" t="inlineStr">
        <is>
          <t>B169</t>
        </is>
      </c>
      <c r="B105" s="2" t="inlineStr">
        <is>
          <t>Degree-seeking, first-time: men</t>
        </is>
      </c>
      <c r="C105" t="n">
        <v>208</v>
      </c>
      <c r="D105" t="inlineStr">
        <is>
          <t>Enrollment And Persistence</t>
        </is>
      </c>
      <c r="E105" t="inlineStr">
        <is>
          <t>Institutional Enrollment</t>
        </is>
      </c>
      <c r="F105" t="inlineStr">
        <is>
          <t>Degree-seeking</t>
        </is>
      </c>
      <c r="G105" t="inlineStr">
        <is>
          <t>Graduates</t>
        </is>
      </c>
      <c r="H105" t="inlineStr">
        <is>
          <t>First-time</t>
        </is>
      </c>
      <c r="I105" t="inlineStr">
        <is>
          <t>All</t>
        </is>
      </c>
      <c r="J105" t="inlineStr">
        <is>
          <t>PT</t>
        </is>
      </c>
      <c r="K105" t="inlineStr">
        <is>
          <t>Men</t>
        </is>
      </c>
      <c r="L105" t="inlineStr">
        <is>
          <t>Number</t>
        </is>
      </c>
    </row>
    <row r="106" ht="18" customHeight="1" s="44">
      <c r="A106" t="inlineStr">
        <is>
          <t>B170</t>
        </is>
      </c>
      <c r="B106" s="2" t="inlineStr">
        <is>
          <t>Degree-seeking, first-time: women</t>
        </is>
      </c>
      <c r="C106" t="n">
        <v>160</v>
      </c>
      <c r="D106" t="inlineStr">
        <is>
          <t>Enrollment And Persistence</t>
        </is>
      </c>
      <c r="E106" t="inlineStr">
        <is>
          <t>Institutional Enrollment</t>
        </is>
      </c>
      <c r="F106" t="inlineStr">
        <is>
          <t>Degree-seeking</t>
        </is>
      </c>
      <c r="G106" t="inlineStr">
        <is>
          <t>Graduates</t>
        </is>
      </c>
      <c r="H106" t="inlineStr">
        <is>
          <t>First-time</t>
        </is>
      </c>
      <c r="I106" t="inlineStr">
        <is>
          <t>All</t>
        </is>
      </c>
      <c r="J106" t="inlineStr">
        <is>
          <t>PT</t>
        </is>
      </c>
      <c r="K106" t="inlineStr">
        <is>
          <t>Women</t>
        </is>
      </c>
      <c r="L106" t="inlineStr">
        <is>
          <t>Number</t>
        </is>
      </c>
    </row>
    <row r="107" ht="18" customHeight="1" s="44">
      <c r="A107" t="inlineStr">
        <is>
          <t>B171</t>
        </is>
      </c>
      <c r="B107" s="2" t="inlineStr">
        <is>
          <t>Degree-seeking, first-time: another gender</t>
        </is>
      </c>
      <c r="C107" t="n">
        <v>0</v>
      </c>
      <c r="D107" t="inlineStr">
        <is>
          <t>Enrollment And Persistence</t>
        </is>
      </c>
      <c r="E107" t="inlineStr">
        <is>
          <t>Institutional Enrollment</t>
        </is>
      </c>
      <c r="F107" t="inlineStr">
        <is>
          <t>Degree-seeking</t>
        </is>
      </c>
      <c r="G107" t="inlineStr">
        <is>
          <t>Graduates</t>
        </is>
      </c>
      <c r="H107" t="inlineStr">
        <is>
          <t>First-time</t>
        </is>
      </c>
      <c r="I107" t="inlineStr">
        <is>
          <t>All</t>
        </is>
      </c>
      <c r="J107" t="inlineStr">
        <is>
          <t>PT</t>
        </is>
      </c>
      <c r="K107" t="inlineStr">
        <is>
          <t>Another Gender</t>
        </is>
      </c>
      <c r="L107" t="inlineStr">
        <is>
          <t>Number</t>
        </is>
      </c>
    </row>
    <row r="108" ht="18" customHeight="1" s="44">
      <c r="A108" t="inlineStr">
        <is>
          <t>B172</t>
        </is>
      </c>
      <c r="B108" s="2" t="inlineStr">
        <is>
          <t>Degree-seeking, first-time: unknown</t>
        </is>
      </c>
      <c r="C108" t="n">
        <v>0</v>
      </c>
      <c r="D108" t="inlineStr">
        <is>
          <t>Enrollment And Persistence</t>
        </is>
      </c>
      <c r="E108" t="inlineStr">
        <is>
          <t>Institutional Enrollment</t>
        </is>
      </c>
      <c r="F108" t="inlineStr">
        <is>
          <t>Degree-seeking</t>
        </is>
      </c>
      <c r="G108" t="inlineStr">
        <is>
          <t>Graduates</t>
        </is>
      </c>
      <c r="H108" t="inlineStr">
        <is>
          <t>First-time</t>
        </is>
      </c>
      <c r="I108" t="inlineStr">
        <is>
          <t>All</t>
        </is>
      </c>
      <c r="J108" t="inlineStr">
        <is>
          <t>PT</t>
        </is>
      </c>
      <c r="K108" t="inlineStr">
        <is>
          <t>Unknown</t>
        </is>
      </c>
      <c r="L108" t="inlineStr">
        <is>
          <t>Number</t>
        </is>
      </c>
    </row>
    <row r="109"/>
    <row r="110" ht="18" customHeight="1" s="44">
      <c r="A110" t="inlineStr">
        <is>
          <t>B173</t>
        </is>
      </c>
      <c r="B110" s="2" t="inlineStr">
        <is>
          <t>All other degree-seeking: men</t>
        </is>
      </c>
      <c r="C110" t="n">
        <v>870</v>
      </c>
      <c r="D110" t="inlineStr">
        <is>
          <t>Enrollment And Persistence</t>
        </is>
      </c>
      <c r="E110" t="inlineStr">
        <is>
          <t>Institutional Enrollment</t>
        </is>
      </c>
      <c r="F110" t="inlineStr">
        <is>
          <t>Degree-seeking</t>
        </is>
      </c>
      <c r="G110" t="inlineStr">
        <is>
          <t>Graduates</t>
        </is>
      </c>
      <c r="H110" t="inlineStr">
        <is>
          <t>All other</t>
        </is>
      </c>
      <c r="I110" t="inlineStr">
        <is>
          <t>All</t>
        </is>
      </c>
      <c r="J110" t="inlineStr">
        <is>
          <t>PT</t>
        </is>
      </c>
      <c r="K110" t="inlineStr">
        <is>
          <t>Men</t>
        </is>
      </c>
      <c r="L110" t="inlineStr">
        <is>
          <t>Number</t>
        </is>
      </c>
    </row>
    <row r="111" ht="18" customHeight="1" s="44">
      <c r="A111" t="inlineStr">
        <is>
          <t>B174</t>
        </is>
      </c>
      <c r="B111" s="2" t="inlineStr">
        <is>
          <t>All other degree-seeking: women</t>
        </is>
      </c>
      <c r="C111" t="n">
        <v>964</v>
      </c>
      <c r="D111" t="inlineStr">
        <is>
          <t>Enrollment And Persistence</t>
        </is>
      </c>
      <c r="E111" t="inlineStr">
        <is>
          <t>Institutional Enrollment</t>
        </is>
      </c>
      <c r="F111" t="inlineStr">
        <is>
          <t>Degree-seeking</t>
        </is>
      </c>
      <c r="G111" t="inlineStr">
        <is>
          <t>Graduates</t>
        </is>
      </c>
      <c r="H111" t="inlineStr">
        <is>
          <t>All other</t>
        </is>
      </c>
      <c r="I111" t="inlineStr">
        <is>
          <t>All</t>
        </is>
      </c>
      <c r="J111" t="inlineStr">
        <is>
          <t>PT</t>
        </is>
      </c>
      <c r="K111" t="inlineStr">
        <is>
          <t>Women</t>
        </is>
      </c>
      <c r="L111" t="inlineStr">
        <is>
          <t>Number</t>
        </is>
      </c>
    </row>
    <row r="112" ht="18" customHeight="1" s="44">
      <c r="A112" t="inlineStr">
        <is>
          <t>B175</t>
        </is>
      </c>
      <c r="B112" s="2" t="inlineStr">
        <is>
          <t>All other degree-seeking: another gender</t>
        </is>
      </c>
      <c r="C112" t="n">
        <v>0</v>
      </c>
      <c r="D112" t="inlineStr">
        <is>
          <t>Enrollment And Persistence</t>
        </is>
      </c>
      <c r="E112" t="inlineStr">
        <is>
          <t>Institutional Enrollment</t>
        </is>
      </c>
      <c r="F112" t="inlineStr">
        <is>
          <t>Degree-seeking</t>
        </is>
      </c>
      <c r="G112" t="inlineStr">
        <is>
          <t>Graduates</t>
        </is>
      </c>
      <c r="H112" t="inlineStr">
        <is>
          <t>All other</t>
        </is>
      </c>
      <c r="I112" t="inlineStr">
        <is>
          <t>All</t>
        </is>
      </c>
      <c r="J112" t="inlineStr">
        <is>
          <t>PT</t>
        </is>
      </c>
      <c r="K112" t="inlineStr">
        <is>
          <t>Another Gender</t>
        </is>
      </c>
      <c r="L112" t="inlineStr">
        <is>
          <t>Number</t>
        </is>
      </c>
    </row>
    <row r="113" ht="18" customHeight="1" s="44">
      <c r="A113" t="inlineStr">
        <is>
          <t>B176</t>
        </is>
      </c>
      <c r="B113" s="2" t="inlineStr">
        <is>
          <t>All other degree-seeking: unknown</t>
        </is>
      </c>
      <c r="C113" t="n">
        <v>0</v>
      </c>
      <c r="D113" t="inlineStr">
        <is>
          <t>Enrollment And Persistence</t>
        </is>
      </c>
      <c r="E113" t="inlineStr">
        <is>
          <t>Institutional Enrollment</t>
        </is>
      </c>
      <c r="F113" t="inlineStr">
        <is>
          <t>Degree-seeking</t>
        </is>
      </c>
      <c r="G113" t="inlineStr">
        <is>
          <t>Graduates</t>
        </is>
      </c>
      <c r="H113" t="inlineStr">
        <is>
          <t>All other</t>
        </is>
      </c>
      <c r="I113" t="inlineStr">
        <is>
          <t>All</t>
        </is>
      </c>
      <c r="J113" t="inlineStr">
        <is>
          <t>PT</t>
        </is>
      </c>
      <c r="K113" t="inlineStr">
        <is>
          <t>Unknown</t>
        </is>
      </c>
      <c r="L113" t="inlineStr">
        <is>
          <t>Number</t>
        </is>
      </c>
    </row>
    <row r="114"/>
    <row r="115" ht="18" customHeight="1" s="44">
      <c r="A115" t="inlineStr">
        <is>
          <t>B177</t>
        </is>
      </c>
      <c r="B115" s="2" t="inlineStr">
        <is>
          <t>All other graduates enrolled in credit courses: men</t>
        </is>
      </c>
      <c r="C115" t="n">
        <v>0</v>
      </c>
      <c r="D115" t="inlineStr">
        <is>
          <t>Enrollment And Persistence</t>
        </is>
      </c>
      <c r="E115" t="inlineStr">
        <is>
          <t>Institutional Enrollment</t>
        </is>
      </c>
      <c r="F115" t="inlineStr">
        <is>
          <t>Enrolled in Credit Courses</t>
        </is>
      </c>
      <c r="G115" t="inlineStr">
        <is>
          <t>Graduates</t>
        </is>
      </c>
      <c r="H115" t="inlineStr">
        <is>
          <t>All other</t>
        </is>
      </c>
      <c r="I115" t="inlineStr">
        <is>
          <t>All</t>
        </is>
      </c>
      <c r="J115" t="inlineStr">
        <is>
          <t>PT</t>
        </is>
      </c>
      <c r="K115" t="inlineStr">
        <is>
          <t>Men</t>
        </is>
      </c>
      <c r="L115" t="inlineStr">
        <is>
          <t>Number</t>
        </is>
      </c>
    </row>
    <row r="116" ht="18" customHeight="1" s="44">
      <c r="A116" t="inlineStr">
        <is>
          <t>B178</t>
        </is>
      </c>
      <c r="B116" s="2" t="inlineStr">
        <is>
          <t>All other graduates enrolled in credit courses: women</t>
        </is>
      </c>
      <c r="C116" t="n">
        <v>0</v>
      </c>
      <c r="D116" t="inlineStr">
        <is>
          <t>Enrollment And Persistence</t>
        </is>
      </c>
      <c r="E116" t="inlineStr">
        <is>
          <t>Institutional Enrollment</t>
        </is>
      </c>
      <c r="F116" t="inlineStr">
        <is>
          <t>Enrolled in Credit Courses</t>
        </is>
      </c>
      <c r="G116" t="inlineStr">
        <is>
          <t>Graduates</t>
        </is>
      </c>
      <c r="H116" t="inlineStr">
        <is>
          <t>All other</t>
        </is>
      </c>
      <c r="I116" t="inlineStr">
        <is>
          <t>All</t>
        </is>
      </c>
      <c r="J116" t="inlineStr">
        <is>
          <t>PT</t>
        </is>
      </c>
      <c r="K116" t="inlineStr">
        <is>
          <t>Women</t>
        </is>
      </c>
      <c r="L116" t="inlineStr">
        <is>
          <t>Number</t>
        </is>
      </c>
    </row>
    <row r="117" ht="30" customHeight="1" s="44">
      <c r="A117" t="inlineStr">
        <is>
          <t>B179</t>
        </is>
      </c>
      <c r="B117" s="2" t="inlineStr">
        <is>
          <t>All other graduates enrolled in credit courses: another gender</t>
        </is>
      </c>
      <c r="C117" t="n">
        <v>0</v>
      </c>
      <c r="D117" t="inlineStr">
        <is>
          <t>Enrollment And Persistence</t>
        </is>
      </c>
      <c r="E117" t="inlineStr">
        <is>
          <t>Institutional Enrollment</t>
        </is>
      </c>
      <c r="F117" t="inlineStr">
        <is>
          <t>Enrolled in Credit Courses</t>
        </is>
      </c>
      <c r="G117" t="inlineStr">
        <is>
          <t>Graduates</t>
        </is>
      </c>
      <c r="H117" t="inlineStr">
        <is>
          <t>All other</t>
        </is>
      </c>
      <c r="I117" t="inlineStr">
        <is>
          <t>All</t>
        </is>
      </c>
      <c r="J117" t="inlineStr">
        <is>
          <t>PT</t>
        </is>
      </c>
      <c r="K117" t="inlineStr">
        <is>
          <t>Another Gender</t>
        </is>
      </c>
      <c r="L117" t="inlineStr">
        <is>
          <t>Number</t>
        </is>
      </c>
    </row>
    <row r="118" ht="29.25" customHeight="1" s="44">
      <c r="A118" t="inlineStr">
        <is>
          <t>B180</t>
        </is>
      </c>
      <c r="B118" s="2" t="inlineStr">
        <is>
          <t>All other graduates enrolled in credit courses: unknown</t>
        </is>
      </c>
      <c r="C118" t="n">
        <v>0</v>
      </c>
      <c r="D118" t="inlineStr">
        <is>
          <t>Enrollment And Persistence</t>
        </is>
      </c>
      <c r="E118" t="inlineStr">
        <is>
          <t>Institutional Enrollment</t>
        </is>
      </c>
      <c r="F118" t="inlineStr">
        <is>
          <t>Enrolled in Credit Courses</t>
        </is>
      </c>
      <c r="G118" t="inlineStr">
        <is>
          <t>Graduates</t>
        </is>
      </c>
      <c r="H118" t="inlineStr">
        <is>
          <t>All other</t>
        </is>
      </c>
      <c r="I118" t="inlineStr">
        <is>
          <t>All</t>
        </is>
      </c>
      <c r="J118" t="inlineStr">
        <is>
          <t>PT</t>
        </is>
      </c>
      <c r="K118" t="inlineStr">
        <is>
          <t>Unknown</t>
        </is>
      </c>
      <c r="L118" t="inlineStr">
        <is>
          <t>Number</t>
        </is>
      </c>
    </row>
    <row r="119"/>
    <row r="120" ht="18" customHeight="1" s="44">
      <c r="A120" t="inlineStr">
        <is>
          <t>B181</t>
        </is>
      </c>
      <c r="B120" s="27" t="inlineStr">
        <is>
          <t>Total graduate Part-Time Students: men</t>
        </is>
      </c>
      <c r="C120">
        <f>SUM(C115,C110,C105)</f>
        <v/>
      </c>
      <c r="D120" t="inlineStr">
        <is>
          <t>Enrollment And Persistence</t>
        </is>
      </c>
      <c r="E120" t="inlineStr">
        <is>
          <t>Institutional Enrollment</t>
        </is>
      </c>
      <c r="F120" t="inlineStr">
        <is>
          <t>All</t>
        </is>
      </c>
      <c r="G120" t="inlineStr">
        <is>
          <t>Graduates</t>
        </is>
      </c>
      <c r="H120" t="inlineStr">
        <is>
          <t>Total</t>
        </is>
      </c>
      <c r="I120" t="inlineStr">
        <is>
          <t>All</t>
        </is>
      </c>
      <c r="J120" t="inlineStr">
        <is>
          <t>PT</t>
        </is>
      </c>
      <c r="K120" t="inlineStr">
        <is>
          <t>Men</t>
        </is>
      </c>
      <c r="L120" t="inlineStr">
        <is>
          <t>Number</t>
        </is>
      </c>
    </row>
    <row r="121" ht="18" customHeight="1" s="44">
      <c r="A121" t="inlineStr">
        <is>
          <t>B182</t>
        </is>
      </c>
      <c r="B121" s="27" t="inlineStr">
        <is>
          <t>Total graduate Part-Time Students: women</t>
        </is>
      </c>
      <c r="C121">
        <f>SUM(C116,C111,C106)</f>
        <v/>
      </c>
      <c r="D121" t="inlineStr">
        <is>
          <t>Enrollment And Persistence</t>
        </is>
      </c>
      <c r="E121" t="inlineStr">
        <is>
          <t>Institutional Enrollment</t>
        </is>
      </c>
      <c r="F121" t="inlineStr">
        <is>
          <t>All</t>
        </is>
      </c>
      <c r="G121" t="inlineStr">
        <is>
          <t>Graduates</t>
        </is>
      </c>
      <c r="H121" t="inlineStr">
        <is>
          <t>Total</t>
        </is>
      </c>
      <c r="I121" t="inlineStr">
        <is>
          <t>All</t>
        </is>
      </c>
      <c r="J121" t="inlineStr">
        <is>
          <t>PT</t>
        </is>
      </c>
      <c r="K121" t="inlineStr">
        <is>
          <t>Women</t>
        </is>
      </c>
      <c r="L121" t="inlineStr">
        <is>
          <t>Number</t>
        </is>
      </c>
    </row>
    <row r="122" ht="18" customHeight="1" s="44">
      <c r="A122" t="inlineStr">
        <is>
          <t>B183</t>
        </is>
      </c>
      <c r="B122" s="27" t="inlineStr">
        <is>
          <t>Total graduate Part-Time Students: another gender</t>
        </is>
      </c>
      <c r="C122">
        <f>SUM(C117,C112,C107)</f>
        <v/>
      </c>
      <c r="D122" t="inlineStr">
        <is>
          <t>Enrollment And Persistence</t>
        </is>
      </c>
      <c r="E122" t="inlineStr">
        <is>
          <t>Institutional Enrollment</t>
        </is>
      </c>
      <c r="F122" t="inlineStr">
        <is>
          <t>All</t>
        </is>
      </c>
      <c r="G122" t="inlineStr">
        <is>
          <t>Graduates</t>
        </is>
      </c>
      <c r="H122" t="inlineStr">
        <is>
          <t>Total</t>
        </is>
      </c>
      <c r="I122" t="inlineStr">
        <is>
          <t>All</t>
        </is>
      </c>
      <c r="J122" t="inlineStr">
        <is>
          <t>PT</t>
        </is>
      </c>
      <c r="K122" t="inlineStr">
        <is>
          <t>Another Gender</t>
        </is>
      </c>
      <c r="L122" t="inlineStr">
        <is>
          <t>Number</t>
        </is>
      </c>
    </row>
    <row r="123" ht="18" customHeight="1" s="44">
      <c r="A123" t="inlineStr">
        <is>
          <t>B184</t>
        </is>
      </c>
      <c r="B123" s="27" t="inlineStr">
        <is>
          <t>Total graduate Part-Time Students: unknown</t>
        </is>
      </c>
      <c r="C123">
        <f>SUM(C118,C113,C108)</f>
        <v/>
      </c>
      <c r="D123" t="inlineStr">
        <is>
          <t>Enrollment And Persistence</t>
        </is>
      </c>
      <c r="E123" t="inlineStr">
        <is>
          <t>Institutional Enrollment</t>
        </is>
      </c>
      <c r="F123" t="inlineStr">
        <is>
          <t>All</t>
        </is>
      </c>
      <c r="G123" t="inlineStr">
        <is>
          <t>Graduates</t>
        </is>
      </c>
      <c r="H123" t="inlineStr">
        <is>
          <t>Total</t>
        </is>
      </c>
      <c r="I123" t="inlineStr">
        <is>
          <t>All</t>
        </is>
      </c>
      <c r="J123" t="inlineStr">
        <is>
          <t>PT</t>
        </is>
      </c>
      <c r="K123" t="inlineStr">
        <is>
          <t>Unknown</t>
        </is>
      </c>
      <c r="L123" t="inlineStr">
        <is>
          <t>Number</t>
        </is>
      </c>
    </row>
    <row r="124">
      <c r="B124" s="27" t="n"/>
    </row>
    <row r="125" ht="18" customHeight="1" s="44"/>
    <row r="126" ht="18" customHeight="1" s="44">
      <c r="A126" t="inlineStr">
        <is>
          <t>B185</t>
        </is>
      </c>
      <c r="B126" s="27" t="inlineStr">
        <is>
          <t>Total Graduate Students: men</t>
        </is>
      </c>
      <c r="C126">
        <f>SUM(C120,C99)</f>
        <v/>
      </c>
      <c r="D126" t="inlineStr">
        <is>
          <t>Enrollment And Persistence</t>
        </is>
      </c>
      <c r="E126" t="inlineStr">
        <is>
          <t>Institutional Enrollment</t>
        </is>
      </c>
      <c r="F126" t="inlineStr">
        <is>
          <t>All</t>
        </is>
      </c>
      <c r="G126" t="inlineStr">
        <is>
          <t>Graduates</t>
        </is>
      </c>
      <c r="H126" t="inlineStr">
        <is>
          <t>Total</t>
        </is>
      </c>
      <c r="I126" t="inlineStr">
        <is>
          <t>All</t>
        </is>
      </c>
      <c r="J126" t="inlineStr">
        <is>
          <t>All</t>
        </is>
      </c>
      <c r="K126" t="inlineStr">
        <is>
          <t>Men</t>
        </is>
      </c>
      <c r="L126" t="inlineStr">
        <is>
          <t>Number</t>
        </is>
      </c>
    </row>
    <row r="127" ht="18" customHeight="1" s="44">
      <c r="A127" t="inlineStr">
        <is>
          <t>B186</t>
        </is>
      </c>
      <c r="B127" s="27" t="inlineStr">
        <is>
          <t>Total Graduate Students: women</t>
        </is>
      </c>
      <c r="C127">
        <f>SUM(C121,C100)</f>
        <v/>
      </c>
      <c r="D127" t="inlineStr">
        <is>
          <t>Enrollment And Persistence</t>
        </is>
      </c>
      <c r="E127" t="inlineStr">
        <is>
          <t>Institutional Enrollment</t>
        </is>
      </c>
      <c r="F127" t="inlineStr">
        <is>
          <t>All</t>
        </is>
      </c>
      <c r="G127" t="inlineStr">
        <is>
          <t>Graduates</t>
        </is>
      </c>
      <c r="H127" t="inlineStr">
        <is>
          <t>Total</t>
        </is>
      </c>
      <c r="I127" t="inlineStr">
        <is>
          <t>All</t>
        </is>
      </c>
      <c r="J127" t="inlineStr">
        <is>
          <t>All</t>
        </is>
      </c>
      <c r="K127" t="inlineStr">
        <is>
          <t>Women</t>
        </is>
      </c>
      <c r="L127" t="inlineStr">
        <is>
          <t>Number</t>
        </is>
      </c>
    </row>
    <row r="128" ht="18" customHeight="1" s="44">
      <c r="A128" t="inlineStr">
        <is>
          <t>B187</t>
        </is>
      </c>
      <c r="B128" s="27" t="inlineStr">
        <is>
          <t>Total Graduate Students: another gender</t>
        </is>
      </c>
      <c r="C128">
        <f>SUM(C122,C101)</f>
        <v/>
      </c>
      <c r="D128" t="inlineStr">
        <is>
          <t>Enrollment And Persistence</t>
        </is>
      </c>
      <c r="E128" t="inlineStr">
        <is>
          <t>Institutional Enrollment</t>
        </is>
      </c>
      <c r="F128" t="inlineStr">
        <is>
          <t>All</t>
        </is>
      </c>
      <c r="G128" t="inlineStr">
        <is>
          <t>Graduates</t>
        </is>
      </c>
      <c r="H128" t="inlineStr">
        <is>
          <t>Total</t>
        </is>
      </c>
      <c r="I128" t="inlineStr">
        <is>
          <t>All</t>
        </is>
      </c>
      <c r="J128" t="inlineStr">
        <is>
          <t>All</t>
        </is>
      </c>
      <c r="K128" t="inlineStr">
        <is>
          <t>Another Gender</t>
        </is>
      </c>
      <c r="L128" t="inlineStr">
        <is>
          <t>Number</t>
        </is>
      </c>
    </row>
    <row r="129" ht="18" customHeight="1" s="44">
      <c r="A129" t="inlineStr">
        <is>
          <t>B188</t>
        </is>
      </c>
      <c r="B129" s="27" t="inlineStr">
        <is>
          <t>Total Graduate Students: unknown</t>
        </is>
      </c>
      <c r="C129">
        <f>SUM(C123,C102)</f>
        <v/>
      </c>
      <c r="D129" t="inlineStr">
        <is>
          <t>Enrollment And Persistence</t>
        </is>
      </c>
      <c r="E129" t="inlineStr">
        <is>
          <t>Institutional Enrollment</t>
        </is>
      </c>
      <c r="F129" t="inlineStr">
        <is>
          <t>All</t>
        </is>
      </c>
      <c r="G129" t="inlineStr">
        <is>
          <t>Graduates</t>
        </is>
      </c>
      <c r="H129" t="inlineStr">
        <is>
          <t>Total</t>
        </is>
      </c>
      <c r="I129" t="inlineStr">
        <is>
          <t>All</t>
        </is>
      </c>
      <c r="J129" t="inlineStr">
        <is>
          <t>All</t>
        </is>
      </c>
      <c r="K129" t="inlineStr">
        <is>
          <t>Unknown</t>
        </is>
      </c>
      <c r="L129" t="inlineStr">
        <is>
          <t>Number</t>
        </is>
      </c>
    </row>
    <row r="130"/>
    <row r="131" ht="18" customHeight="1" s="44"/>
    <row r="132" ht="18" customHeight="1" s="44">
      <c r="A132" t="inlineStr">
        <is>
          <t>B189</t>
        </is>
      </c>
      <c r="B132" s="27" t="inlineStr">
        <is>
          <t>Total All Students: men</t>
        </is>
      </c>
      <c r="C132">
        <f>SUM(C126,C78)</f>
        <v/>
      </c>
      <c r="D132" t="inlineStr">
        <is>
          <t>Enrollment And Persistence</t>
        </is>
      </c>
      <c r="E132" t="inlineStr">
        <is>
          <t>Institutional Enrollment</t>
        </is>
      </c>
      <c r="F132" t="inlineStr">
        <is>
          <t>All</t>
        </is>
      </c>
      <c r="G132" t="inlineStr">
        <is>
          <t>All Students</t>
        </is>
      </c>
      <c r="H132" t="inlineStr">
        <is>
          <t>Total</t>
        </is>
      </c>
      <c r="I132" t="inlineStr">
        <is>
          <t>All</t>
        </is>
      </c>
      <c r="J132" t="inlineStr">
        <is>
          <t>All</t>
        </is>
      </c>
      <c r="K132" t="inlineStr">
        <is>
          <t>Men</t>
        </is>
      </c>
      <c r="L132" t="inlineStr">
        <is>
          <t>Number</t>
        </is>
      </c>
    </row>
    <row r="133" ht="18" customHeight="1" s="44">
      <c r="A133" t="inlineStr">
        <is>
          <t>B190</t>
        </is>
      </c>
      <c r="B133" s="27" t="inlineStr">
        <is>
          <t>Total All Students: women</t>
        </is>
      </c>
      <c r="C133">
        <f>SUM(C127,C79)</f>
        <v/>
      </c>
      <c r="D133" t="inlineStr">
        <is>
          <t>Enrollment And Persistence</t>
        </is>
      </c>
      <c r="E133" t="inlineStr">
        <is>
          <t>Institutional Enrollment</t>
        </is>
      </c>
      <c r="F133" t="inlineStr">
        <is>
          <t>All</t>
        </is>
      </c>
      <c r="G133" t="inlineStr">
        <is>
          <t>All Students</t>
        </is>
      </c>
      <c r="H133" t="inlineStr">
        <is>
          <t>Total</t>
        </is>
      </c>
      <c r="I133" t="inlineStr">
        <is>
          <t>All</t>
        </is>
      </c>
      <c r="J133" t="inlineStr">
        <is>
          <t>All</t>
        </is>
      </c>
      <c r="K133" t="inlineStr">
        <is>
          <t>Women</t>
        </is>
      </c>
      <c r="L133" t="inlineStr">
        <is>
          <t>Number</t>
        </is>
      </c>
    </row>
    <row r="134" ht="18" customHeight="1" s="44">
      <c r="A134" t="inlineStr">
        <is>
          <t>B191</t>
        </is>
      </c>
      <c r="B134" s="27" t="inlineStr">
        <is>
          <t>Total All Students: another gender</t>
        </is>
      </c>
      <c r="C134">
        <f>SUM(C128,C80)</f>
        <v/>
      </c>
      <c r="D134" t="inlineStr">
        <is>
          <t>Enrollment And Persistence</t>
        </is>
      </c>
      <c r="E134" t="inlineStr">
        <is>
          <t>Institutional Enrollment</t>
        </is>
      </c>
      <c r="F134" t="inlineStr">
        <is>
          <t>All</t>
        </is>
      </c>
      <c r="G134" t="inlineStr">
        <is>
          <t>All Students</t>
        </is>
      </c>
      <c r="H134" t="inlineStr">
        <is>
          <t>Total</t>
        </is>
      </c>
      <c r="I134" t="inlineStr">
        <is>
          <t>All</t>
        </is>
      </c>
      <c r="J134" t="inlineStr">
        <is>
          <t>All</t>
        </is>
      </c>
      <c r="K134" t="inlineStr">
        <is>
          <t>Another Gender</t>
        </is>
      </c>
      <c r="L134" t="inlineStr">
        <is>
          <t>Number</t>
        </is>
      </c>
    </row>
    <row r="135" ht="18" customHeight="1" s="44">
      <c r="A135" t="inlineStr">
        <is>
          <t>B192</t>
        </is>
      </c>
      <c r="B135" s="27" t="inlineStr">
        <is>
          <t>Total All Students: unknown</t>
        </is>
      </c>
      <c r="C135">
        <f>SUM(C129,C81)</f>
        <v/>
      </c>
      <c r="D135" t="inlineStr">
        <is>
          <t>Enrollment And Persistence</t>
        </is>
      </c>
      <c r="E135" t="inlineStr">
        <is>
          <t>Institutional Enrollment</t>
        </is>
      </c>
      <c r="F135" t="inlineStr">
        <is>
          <t>All</t>
        </is>
      </c>
      <c r="G135" t="inlineStr">
        <is>
          <t>All Students</t>
        </is>
      </c>
      <c r="H135" t="inlineStr">
        <is>
          <t>Total</t>
        </is>
      </c>
      <c r="I135" t="inlineStr">
        <is>
          <t>All</t>
        </is>
      </c>
      <c r="J135" t="inlineStr">
        <is>
          <t>All</t>
        </is>
      </c>
      <c r="K135" t="inlineStr">
        <is>
          <t>Unknown</t>
        </is>
      </c>
      <c r="L135" t="inlineStr">
        <is>
          <t>Number</t>
        </is>
      </c>
    </row>
    <row r="136"/>
    <row r="137" ht="18" customHeight="1" s="44">
      <c r="A137" t="inlineStr">
        <is>
          <t>B193</t>
        </is>
      </c>
      <c r="B137" s="27" t="inlineStr">
        <is>
          <t>Total all undergraduates</t>
        </is>
      </c>
      <c r="C137">
        <f>SUM(C78:C81)</f>
        <v/>
      </c>
      <c r="D137" t="inlineStr">
        <is>
          <t>Enrollment And Persistence</t>
        </is>
      </c>
      <c r="E137" t="inlineStr">
        <is>
          <t>Institutional Enrollment</t>
        </is>
      </c>
      <c r="F137" t="inlineStr">
        <is>
          <t>All</t>
        </is>
      </c>
      <c r="G137" t="inlineStr">
        <is>
          <t>Undergraduates</t>
        </is>
      </c>
      <c r="H137" t="inlineStr">
        <is>
          <t>Total</t>
        </is>
      </c>
      <c r="I137" t="inlineStr">
        <is>
          <t>All</t>
        </is>
      </c>
      <c r="J137" t="inlineStr">
        <is>
          <t>All</t>
        </is>
      </c>
      <c r="K137" t="inlineStr">
        <is>
          <t>All</t>
        </is>
      </c>
      <c r="L137" t="inlineStr">
        <is>
          <t>Number</t>
        </is>
      </c>
    </row>
    <row r="138" ht="18" customHeight="1" s="44">
      <c r="A138" t="inlineStr">
        <is>
          <t>B194</t>
        </is>
      </c>
      <c r="B138" s="27" t="inlineStr">
        <is>
          <t>Total all graduate</t>
        </is>
      </c>
      <c r="C138">
        <f>SUM(C126:C129)</f>
        <v/>
      </c>
      <c r="D138" t="inlineStr">
        <is>
          <t>Enrollment And Persistence</t>
        </is>
      </c>
      <c r="E138" t="inlineStr">
        <is>
          <t>Institutional Enrollment</t>
        </is>
      </c>
      <c r="F138" t="inlineStr">
        <is>
          <t>All</t>
        </is>
      </c>
      <c r="G138" t="inlineStr">
        <is>
          <t>Graduates</t>
        </is>
      </c>
      <c r="H138" t="inlineStr">
        <is>
          <t>Total</t>
        </is>
      </c>
      <c r="I138" t="inlineStr">
        <is>
          <t>All</t>
        </is>
      </c>
      <c r="J138" t="inlineStr">
        <is>
          <t>All</t>
        </is>
      </c>
      <c r="K138" t="inlineStr">
        <is>
          <t>All</t>
        </is>
      </c>
      <c r="L138" t="inlineStr">
        <is>
          <t>Number</t>
        </is>
      </c>
    </row>
    <row r="139" ht="18" customHeight="1" s="44">
      <c r="A139" t="inlineStr">
        <is>
          <t>B195</t>
        </is>
      </c>
      <c r="B139" s="27" t="inlineStr">
        <is>
          <t>Grand Total All Students</t>
        </is>
      </c>
      <c r="C139">
        <f>SUM(C137:C138)</f>
        <v/>
      </c>
      <c r="D139" t="inlineStr">
        <is>
          <t>Enrollment And Persistence</t>
        </is>
      </c>
      <c r="E139" t="inlineStr">
        <is>
          <t>Institutional Enrollment</t>
        </is>
      </c>
      <c r="F139" t="inlineStr">
        <is>
          <t>All</t>
        </is>
      </c>
      <c r="G139" t="inlineStr">
        <is>
          <t>All Students</t>
        </is>
      </c>
      <c r="H139" t="inlineStr">
        <is>
          <t>Total</t>
        </is>
      </c>
      <c r="I139" t="inlineStr">
        <is>
          <t>All</t>
        </is>
      </c>
      <c r="J139" t="inlineStr">
        <is>
          <t>All</t>
        </is>
      </c>
      <c r="K139" t="inlineStr">
        <is>
          <t>All</t>
        </is>
      </c>
      <c r="L139" t="inlineStr">
        <is>
          <t>Number</t>
        </is>
      </c>
    </row>
    <row r="140"/>
    <row r="141"/>
    <row r="142"/>
    <row r="143"/>
    <row r="144"/>
    <row r="145"/>
    <row r="146"/>
    <row r="147"/>
    <row r="148"/>
    <row r="149"/>
    <row r="150"/>
    <row r="151"/>
    <row r="152"/>
    <row r="153"/>
    <row r="154"/>
    <row r="155"/>
    <row r="156"/>
    <row r="157"/>
    <row r="158"/>
    <row r="159"/>
    <row r="160"/>
    <row r="161"/>
    <row r="162"/>
    <row r="163"/>
    <row r="164"/>
    <row r="165"/>
    <row r="166"/>
    <row r="167"/>
    <row r="168"/>
    <row r="169" ht="18" customHeight="1" s="44"/>
    <row r="170" ht="18" customHeight="1" s="44">
      <c r="A170" t="inlineStr">
        <is>
          <t>B201</t>
        </is>
      </c>
      <c r="B170" s="2" t="inlineStr">
        <is>
          <t>Nonresidents</t>
        </is>
      </c>
      <c r="C170" t="n">
        <v>688</v>
      </c>
      <c r="D170" t="inlineStr">
        <is>
          <t>Enrollment And Persistence</t>
        </is>
      </c>
      <c r="E170" t="inlineStr">
        <is>
          <t>Enrollment by Racial/Ethnic Category</t>
        </is>
      </c>
      <c r="F170" t="inlineStr">
        <is>
          <t>Degree-seeking</t>
        </is>
      </c>
      <c r="G170" t="inlineStr">
        <is>
          <t>Undergraduates</t>
        </is>
      </c>
      <c r="H170" t="inlineStr">
        <is>
          <t>First-time, first-year</t>
        </is>
      </c>
      <c r="I170" t="inlineStr">
        <is>
          <t>Nonresidents</t>
        </is>
      </c>
      <c r="J170" t="inlineStr">
        <is>
          <t>All</t>
        </is>
      </c>
      <c r="K170" t="inlineStr">
        <is>
          <t>All</t>
        </is>
      </c>
      <c r="L170" t="inlineStr">
        <is>
          <t>Number</t>
        </is>
      </c>
    </row>
    <row r="171" ht="18" customHeight="1" s="44">
      <c r="A171" t="inlineStr">
        <is>
          <t>B202</t>
        </is>
      </c>
      <c r="B171" s="2" t="inlineStr">
        <is>
          <t>Hispanic/Latino</t>
        </is>
      </c>
      <c r="C171" t="n">
        <v>721</v>
      </c>
      <c r="D171" t="inlineStr">
        <is>
          <t>Enrollment And Persistence</t>
        </is>
      </c>
      <c r="E171" t="inlineStr">
        <is>
          <t>Enrollment by Racial/Ethnic Category</t>
        </is>
      </c>
      <c r="F171" t="inlineStr">
        <is>
          <t>Degree-seeking</t>
        </is>
      </c>
      <c r="G171" t="inlineStr">
        <is>
          <t>Undergraduates</t>
        </is>
      </c>
      <c r="H171" t="inlineStr">
        <is>
          <t>First-time, first-year</t>
        </is>
      </c>
      <c r="I171" t="inlineStr">
        <is>
          <t>Domestic</t>
        </is>
      </c>
      <c r="J171" t="inlineStr">
        <is>
          <t>All</t>
        </is>
      </c>
      <c r="K171" t="inlineStr">
        <is>
          <t>All</t>
        </is>
      </c>
      <c r="L171" t="inlineStr">
        <is>
          <t>Number</t>
        </is>
      </c>
    </row>
    <row r="172" ht="18" customHeight="1" s="44">
      <c r="A172" t="inlineStr">
        <is>
          <t>B203</t>
        </is>
      </c>
      <c r="B172" s="2" t="inlineStr">
        <is>
          <t>Black or African American, non-Hispanic</t>
        </is>
      </c>
      <c r="C172" t="n">
        <v>180</v>
      </c>
      <c r="D172" t="inlineStr">
        <is>
          <t>Enrollment And Persistence</t>
        </is>
      </c>
      <c r="E172" t="inlineStr">
        <is>
          <t>Enrollment by Racial/Ethnic Category</t>
        </is>
      </c>
      <c r="F172" t="inlineStr">
        <is>
          <t>Degree-seeking</t>
        </is>
      </c>
      <c r="G172" t="inlineStr">
        <is>
          <t>Undergraduates</t>
        </is>
      </c>
      <c r="H172" t="inlineStr">
        <is>
          <t>First-time, first-year</t>
        </is>
      </c>
      <c r="I172" t="inlineStr">
        <is>
          <t>Domestic</t>
        </is>
      </c>
      <c r="J172" t="inlineStr">
        <is>
          <t>All</t>
        </is>
      </c>
      <c r="K172" t="inlineStr">
        <is>
          <t>All</t>
        </is>
      </c>
      <c r="L172" t="inlineStr">
        <is>
          <t>Number</t>
        </is>
      </c>
    </row>
    <row r="173" ht="18" customHeight="1" s="44">
      <c r="A173" t="inlineStr">
        <is>
          <t>B204</t>
        </is>
      </c>
      <c r="B173" s="2" t="inlineStr">
        <is>
          <t>White, non-Hispanic</t>
        </is>
      </c>
      <c r="C173" t="n">
        <v>5143</v>
      </c>
      <c r="D173" t="inlineStr">
        <is>
          <t>Enrollment And Persistence</t>
        </is>
      </c>
      <c r="E173" t="inlineStr">
        <is>
          <t>Enrollment by Racial/Ethnic Category</t>
        </is>
      </c>
      <c r="F173" t="inlineStr">
        <is>
          <t>Degree-seeking</t>
        </is>
      </c>
      <c r="G173" t="inlineStr">
        <is>
          <t>Undergraduates</t>
        </is>
      </c>
      <c r="H173" t="inlineStr">
        <is>
          <t>First-time, first-year</t>
        </is>
      </c>
      <c r="I173" t="inlineStr">
        <is>
          <t>Domestic</t>
        </is>
      </c>
      <c r="J173" t="inlineStr">
        <is>
          <t>All</t>
        </is>
      </c>
      <c r="K173" t="inlineStr">
        <is>
          <t>All</t>
        </is>
      </c>
      <c r="L173" t="inlineStr">
        <is>
          <t>Number</t>
        </is>
      </c>
    </row>
    <row r="174" ht="18" customHeight="1" s="44">
      <c r="A174" t="inlineStr">
        <is>
          <t>B205</t>
        </is>
      </c>
      <c r="B174" s="2" t="inlineStr">
        <is>
          <t>American Indian or Alaska Native, non-Hispanic</t>
        </is>
      </c>
      <c r="C174" t="n">
        <v>13</v>
      </c>
      <c r="D174" t="inlineStr">
        <is>
          <t>Enrollment And Persistence</t>
        </is>
      </c>
      <c r="E174" t="inlineStr">
        <is>
          <t>Enrollment by Racial/Ethnic Category</t>
        </is>
      </c>
      <c r="F174" t="inlineStr">
        <is>
          <t>Degree-seeking</t>
        </is>
      </c>
      <c r="G174" t="inlineStr">
        <is>
          <t>Undergraduates</t>
        </is>
      </c>
      <c r="H174" t="inlineStr">
        <is>
          <t>First-time, first-year</t>
        </is>
      </c>
      <c r="I174" t="inlineStr">
        <is>
          <t>Domestic</t>
        </is>
      </c>
      <c r="J174" t="inlineStr">
        <is>
          <t>All</t>
        </is>
      </c>
      <c r="K174" t="inlineStr">
        <is>
          <t>All</t>
        </is>
      </c>
      <c r="L174" t="inlineStr">
        <is>
          <t>Number</t>
        </is>
      </c>
    </row>
    <row r="175" ht="18" customHeight="1" s="44">
      <c r="A175" t="inlineStr">
        <is>
          <t>B206</t>
        </is>
      </c>
      <c r="B175" s="2" t="inlineStr">
        <is>
          <t>Asian, non-Hispanic</t>
        </is>
      </c>
      <c r="C175" t="n">
        <v>1001</v>
      </c>
      <c r="D175" t="inlineStr">
        <is>
          <t>Enrollment And Persistence</t>
        </is>
      </c>
      <c r="E175" t="inlineStr">
        <is>
          <t>Enrollment by Racial/Ethnic Category</t>
        </is>
      </c>
      <c r="F175" t="inlineStr">
        <is>
          <t>Degree-seeking</t>
        </is>
      </c>
      <c r="G175" t="inlineStr">
        <is>
          <t>Undergraduates</t>
        </is>
      </c>
      <c r="H175" t="inlineStr">
        <is>
          <t>First-time, first-year</t>
        </is>
      </c>
      <c r="I175" t="inlineStr">
        <is>
          <t>Domestic</t>
        </is>
      </c>
      <c r="J175" t="inlineStr">
        <is>
          <t>All</t>
        </is>
      </c>
      <c r="K175" t="inlineStr">
        <is>
          <t>All</t>
        </is>
      </c>
      <c r="L175" t="inlineStr">
        <is>
          <t>Number</t>
        </is>
      </c>
    </row>
    <row r="176" ht="18" customHeight="1" s="44">
      <c r="A176" t="inlineStr">
        <is>
          <t>B207</t>
        </is>
      </c>
      <c r="B176" t="inlineStr">
        <is>
          <t>Native Hawaiian or other Pacific Islander, non-Hispanic</t>
        </is>
      </c>
      <c r="C176" t="n">
        <v>2</v>
      </c>
      <c r="D176" t="inlineStr">
        <is>
          <t>Enrollment And Persistence</t>
        </is>
      </c>
      <c r="E176" t="inlineStr">
        <is>
          <t>Enrollment by Racial/Ethnic Category</t>
        </is>
      </c>
      <c r="F176" t="inlineStr">
        <is>
          <t>Degree-seeking</t>
        </is>
      </c>
      <c r="G176" t="inlineStr">
        <is>
          <t>Undergraduates</t>
        </is>
      </c>
      <c r="H176" t="inlineStr">
        <is>
          <t>First-time, first-year</t>
        </is>
      </c>
      <c r="I176" t="inlineStr">
        <is>
          <t>Domestic</t>
        </is>
      </c>
      <c r="J176" t="inlineStr">
        <is>
          <t>All</t>
        </is>
      </c>
      <c r="K176" t="inlineStr">
        <is>
          <t>All</t>
        </is>
      </c>
      <c r="L176" t="inlineStr">
        <is>
          <t>Number</t>
        </is>
      </c>
    </row>
    <row r="177" ht="18" customHeight="1" s="44">
      <c r="A177" t="inlineStr">
        <is>
          <t>B208</t>
        </is>
      </c>
      <c r="B177" s="2" t="inlineStr">
        <is>
          <t>Two or more races, non-Hispanic</t>
        </is>
      </c>
      <c r="C177" t="n">
        <v>404</v>
      </c>
      <c r="D177" t="inlineStr">
        <is>
          <t>Enrollment And Persistence</t>
        </is>
      </c>
      <c r="E177" t="inlineStr">
        <is>
          <t>Enrollment by Racial/Ethnic Category</t>
        </is>
      </c>
      <c r="F177" t="inlineStr">
        <is>
          <t>Degree-seeking</t>
        </is>
      </c>
      <c r="G177" t="inlineStr">
        <is>
          <t>Undergraduates</t>
        </is>
      </c>
      <c r="H177" t="inlineStr">
        <is>
          <t>First-time, first-year</t>
        </is>
      </c>
      <c r="I177" t="inlineStr">
        <is>
          <t>Domestic</t>
        </is>
      </c>
      <c r="J177" t="inlineStr">
        <is>
          <t>All</t>
        </is>
      </c>
      <c r="K177" t="inlineStr">
        <is>
          <t>All</t>
        </is>
      </c>
      <c r="L177" t="inlineStr">
        <is>
          <t>Number</t>
        </is>
      </c>
    </row>
    <row r="178" ht="18" customHeight="1" s="44">
      <c r="A178" t="inlineStr">
        <is>
          <t>B209</t>
        </is>
      </c>
      <c r="B178" s="2" t="inlineStr">
        <is>
          <t>Race and/or ethnicity unknown</t>
        </is>
      </c>
      <c r="C178" t="n">
        <v>362</v>
      </c>
      <c r="D178" t="inlineStr">
        <is>
          <t>Enrollment And Persistence</t>
        </is>
      </c>
      <c r="E178" t="inlineStr">
        <is>
          <t>Enrollment by Racial/Ethnic Category</t>
        </is>
      </c>
      <c r="F178" t="inlineStr">
        <is>
          <t>Degree-seeking</t>
        </is>
      </c>
      <c r="G178" t="inlineStr">
        <is>
          <t>Undergraduates</t>
        </is>
      </c>
      <c r="H178" t="inlineStr">
        <is>
          <t>First-time, first-year</t>
        </is>
      </c>
      <c r="I178" t="inlineStr">
        <is>
          <t>Domestic</t>
        </is>
      </c>
      <c r="J178" t="inlineStr">
        <is>
          <t>All</t>
        </is>
      </c>
      <c r="K178" t="inlineStr">
        <is>
          <t>All</t>
        </is>
      </c>
      <c r="L178" t="inlineStr">
        <is>
          <t>Number</t>
        </is>
      </c>
    </row>
    <row r="179" ht="18" customHeight="1" s="44">
      <c r="A179" t="inlineStr">
        <is>
          <t>B210</t>
        </is>
      </c>
      <c r="B179" s="2" t="inlineStr">
        <is>
          <t>TOTAL</t>
        </is>
      </c>
      <c r="C179">
        <f>SUM(C170:C178)</f>
        <v/>
      </c>
      <c r="D179" t="inlineStr">
        <is>
          <t>Enrollment And Persistence</t>
        </is>
      </c>
      <c r="E179" t="inlineStr">
        <is>
          <t>Enrollment by Racial/Ethnic Category</t>
        </is>
      </c>
      <c r="F179" t="inlineStr">
        <is>
          <t>Degree-seeking</t>
        </is>
      </c>
      <c r="G179" t="inlineStr">
        <is>
          <t>Undergraduates</t>
        </is>
      </c>
      <c r="H179" t="inlineStr">
        <is>
          <t>First-time, first-year</t>
        </is>
      </c>
      <c r="I179" t="inlineStr">
        <is>
          <t>Domestic</t>
        </is>
      </c>
      <c r="J179" t="inlineStr">
        <is>
          <t>All</t>
        </is>
      </c>
      <c r="K179" t="inlineStr">
        <is>
          <t>All</t>
        </is>
      </c>
      <c r="L179" t="inlineStr">
        <is>
          <t>Number</t>
        </is>
      </c>
    </row>
    <row r="180"/>
    <row r="181" ht="36.6" customHeight="1" s="44"/>
    <row r="182" ht="18" customHeight="1" s="44">
      <c r="A182" t="inlineStr">
        <is>
          <t>B211</t>
        </is>
      </c>
      <c r="B182" s="2" t="inlineStr">
        <is>
          <t>Nonresidents</t>
        </is>
      </c>
      <c r="C182" t="n">
        <v>3782</v>
      </c>
      <c r="D182" t="inlineStr">
        <is>
          <t>Enrollment And Persistence</t>
        </is>
      </c>
      <c r="E182" t="inlineStr">
        <is>
          <t>Enrollment by Racial/Ethnic Category</t>
        </is>
      </c>
      <c r="F182" t="inlineStr">
        <is>
          <t>Degree-seeking</t>
        </is>
      </c>
      <c r="G182" t="inlineStr">
        <is>
          <t>Undergraduates</t>
        </is>
      </c>
      <c r="H182" t="inlineStr">
        <is>
          <t>All</t>
        </is>
      </c>
      <c r="I182" t="inlineStr">
        <is>
          <t>Nonresidents</t>
        </is>
      </c>
      <c r="J182" t="inlineStr">
        <is>
          <t>All</t>
        </is>
      </c>
      <c r="K182" t="inlineStr">
        <is>
          <t>All</t>
        </is>
      </c>
      <c r="L182" t="inlineStr">
        <is>
          <t>Number</t>
        </is>
      </c>
    </row>
    <row r="183" ht="18" customHeight="1" s="44">
      <c r="A183" t="inlineStr">
        <is>
          <t>B212</t>
        </is>
      </c>
      <c r="B183" s="2" t="inlineStr">
        <is>
          <t>Hispanic/Latino</t>
        </is>
      </c>
      <c r="C183" t="n">
        <v>3143</v>
      </c>
      <c r="D183" t="inlineStr">
        <is>
          <t>Enrollment And Persistence</t>
        </is>
      </c>
      <c r="E183" t="inlineStr">
        <is>
          <t>Enrollment by Racial/Ethnic Category</t>
        </is>
      </c>
      <c r="F183" t="inlineStr">
        <is>
          <t>Degree-seeking</t>
        </is>
      </c>
      <c r="G183" t="inlineStr">
        <is>
          <t>Undergraduates</t>
        </is>
      </c>
      <c r="H183" t="inlineStr">
        <is>
          <t>All</t>
        </is>
      </c>
      <c r="I183" t="inlineStr">
        <is>
          <t>Domestic</t>
        </is>
      </c>
      <c r="J183" t="inlineStr">
        <is>
          <t>All</t>
        </is>
      </c>
      <c r="K183" t="inlineStr">
        <is>
          <t>All</t>
        </is>
      </c>
      <c r="L183" t="inlineStr">
        <is>
          <t>Number</t>
        </is>
      </c>
    </row>
    <row r="184" ht="18" customHeight="1" s="44">
      <c r="A184" t="inlineStr">
        <is>
          <t>B213</t>
        </is>
      </c>
      <c r="B184" s="2" t="inlineStr">
        <is>
          <t>Black or African American, non-Hispanic</t>
        </is>
      </c>
      <c r="C184" t="n">
        <v>913</v>
      </c>
      <c r="D184" t="inlineStr">
        <is>
          <t>Enrollment And Persistence</t>
        </is>
      </c>
      <c r="E184" t="inlineStr">
        <is>
          <t>Enrollment by Racial/Ethnic Category</t>
        </is>
      </c>
      <c r="F184" t="inlineStr">
        <is>
          <t>Degree-seeking</t>
        </is>
      </c>
      <c r="G184" t="inlineStr">
        <is>
          <t>Undergraduates</t>
        </is>
      </c>
      <c r="H184" t="inlineStr">
        <is>
          <t>All</t>
        </is>
      </c>
      <c r="I184" t="inlineStr">
        <is>
          <t>Domestic</t>
        </is>
      </c>
      <c r="J184" t="inlineStr">
        <is>
          <t>All</t>
        </is>
      </c>
      <c r="K184" t="inlineStr">
        <is>
          <t>All</t>
        </is>
      </c>
      <c r="L184" t="inlineStr">
        <is>
          <t>Number</t>
        </is>
      </c>
    </row>
    <row r="185" ht="18" customHeight="1" s="44">
      <c r="A185" t="inlineStr">
        <is>
          <t>B214</t>
        </is>
      </c>
      <c r="B185" s="2" t="inlineStr">
        <is>
          <t>White, non-Hispanic</t>
        </is>
      </c>
      <c r="C185" t="n">
        <v>21812</v>
      </c>
      <c r="D185" t="inlineStr">
        <is>
          <t>Enrollment And Persistence</t>
        </is>
      </c>
      <c r="E185" t="inlineStr">
        <is>
          <t>Enrollment by Racial/Ethnic Category</t>
        </is>
      </c>
      <c r="F185" t="inlineStr">
        <is>
          <t>Degree-seeking</t>
        </is>
      </c>
      <c r="G185" t="inlineStr">
        <is>
          <t>Undergraduates</t>
        </is>
      </c>
      <c r="H185" t="inlineStr">
        <is>
          <t>All</t>
        </is>
      </c>
      <c r="I185" t="inlineStr">
        <is>
          <t>Domestic</t>
        </is>
      </c>
      <c r="J185" t="inlineStr">
        <is>
          <t>All</t>
        </is>
      </c>
      <c r="K185" t="inlineStr">
        <is>
          <t>All</t>
        </is>
      </c>
      <c r="L185" t="inlineStr">
        <is>
          <t>Number</t>
        </is>
      </c>
    </row>
    <row r="186" ht="18" customHeight="1" s="44">
      <c r="A186" t="inlineStr">
        <is>
          <t>B215</t>
        </is>
      </c>
      <c r="B186" s="2" t="inlineStr">
        <is>
          <t>American Indian or Alaska Native, non-Hispanic</t>
        </is>
      </c>
      <c r="C186" t="n">
        <v>82</v>
      </c>
      <c r="D186" t="inlineStr">
        <is>
          <t>Enrollment And Persistence</t>
        </is>
      </c>
      <c r="E186" t="inlineStr">
        <is>
          <t>Enrollment by Racial/Ethnic Category</t>
        </is>
      </c>
      <c r="F186" t="inlineStr">
        <is>
          <t>Degree-seeking</t>
        </is>
      </c>
      <c r="G186" t="inlineStr">
        <is>
          <t>Undergraduates</t>
        </is>
      </c>
      <c r="H186" t="inlineStr">
        <is>
          <t>All</t>
        </is>
      </c>
      <c r="I186" t="inlineStr">
        <is>
          <t>Domestic</t>
        </is>
      </c>
      <c r="J186" t="inlineStr">
        <is>
          <t>All</t>
        </is>
      </c>
      <c r="K186" t="inlineStr">
        <is>
          <t>All</t>
        </is>
      </c>
      <c r="L186" t="inlineStr">
        <is>
          <t>Number</t>
        </is>
      </c>
    </row>
    <row r="187" ht="18" customHeight="1" s="44">
      <c r="A187" t="inlineStr">
        <is>
          <t>B216</t>
        </is>
      </c>
      <c r="B187" s="2" t="inlineStr">
        <is>
          <t>Asian, non-Hispanic</t>
        </is>
      </c>
      <c r="C187" t="n">
        <v>4042</v>
      </c>
      <c r="D187" t="inlineStr">
        <is>
          <t>Enrollment And Persistence</t>
        </is>
      </c>
      <c r="E187" t="inlineStr">
        <is>
          <t>Enrollment by Racial/Ethnic Category</t>
        </is>
      </c>
      <c r="F187" t="inlineStr">
        <is>
          <t>Degree-seeking</t>
        </is>
      </c>
      <c r="G187" t="inlineStr">
        <is>
          <t>Undergraduates</t>
        </is>
      </c>
      <c r="H187" t="inlineStr">
        <is>
          <t>All</t>
        </is>
      </c>
      <c r="I187" t="inlineStr">
        <is>
          <t>Domestic</t>
        </is>
      </c>
      <c r="J187" t="inlineStr">
        <is>
          <t>All</t>
        </is>
      </c>
      <c r="K187" t="inlineStr">
        <is>
          <t>All</t>
        </is>
      </c>
      <c r="L187" t="inlineStr">
        <is>
          <t>Number</t>
        </is>
      </c>
    </row>
    <row r="188" ht="18" customHeight="1" s="44">
      <c r="A188" t="inlineStr">
        <is>
          <t>B217</t>
        </is>
      </c>
      <c r="B188" t="inlineStr">
        <is>
          <t>Native Hawaiian or other Pacific Islander, non-Hispanic</t>
        </is>
      </c>
      <c r="C188" t="n">
        <v>18</v>
      </c>
      <c r="D188" t="inlineStr">
        <is>
          <t>Enrollment And Persistence</t>
        </is>
      </c>
      <c r="E188" t="inlineStr">
        <is>
          <t>Enrollment by Racial/Ethnic Category</t>
        </is>
      </c>
      <c r="F188" t="inlineStr">
        <is>
          <t>Degree-seeking</t>
        </is>
      </c>
      <c r="G188" t="inlineStr">
        <is>
          <t>Undergraduates</t>
        </is>
      </c>
      <c r="H188" t="inlineStr">
        <is>
          <t>All</t>
        </is>
      </c>
      <c r="I188" t="inlineStr">
        <is>
          <t>Domestic</t>
        </is>
      </c>
      <c r="J188" t="inlineStr">
        <is>
          <t>All</t>
        </is>
      </c>
      <c r="K188" t="inlineStr">
        <is>
          <t>All</t>
        </is>
      </c>
      <c r="L188" t="inlineStr">
        <is>
          <t>Number</t>
        </is>
      </c>
    </row>
    <row r="189" ht="18" customHeight="1" s="44">
      <c r="A189" t="inlineStr">
        <is>
          <t>B218</t>
        </is>
      </c>
      <c r="B189" s="2" t="inlineStr">
        <is>
          <t>Two or more races, non-Hispanic</t>
        </is>
      </c>
      <c r="C189" t="n">
        <v>1815</v>
      </c>
      <c r="D189" t="inlineStr">
        <is>
          <t>Enrollment And Persistence</t>
        </is>
      </c>
      <c r="E189" t="inlineStr">
        <is>
          <t>Enrollment by Racial/Ethnic Category</t>
        </is>
      </c>
      <c r="F189" t="inlineStr">
        <is>
          <t>Degree-seeking</t>
        </is>
      </c>
      <c r="G189" t="inlineStr">
        <is>
          <t>Undergraduates</t>
        </is>
      </c>
      <c r="H189" t="inlineStr">
        <is>
          <t>All</t>
        </is>
      </c>
      <c r="I189" t="inlineStr">
        <is>
          <t>Domestic</t>
        </is>
      </c>
      <c r="J189" t="inlineStr">
        <is>
          <t>All</t>
        </is>
      </c>
      <c r="K189" t="inlineStr">
        <is>
          <t>All</t>
        </is>
      </c>
      <c r="L189" t="inlineStr">
        <is>
          <t>Number</t>
        </is>
      </c>
    </row>
    <row r="190" ht="18" customHeight="1" s="44">
      <c r="A190" t="inlineStr">
        <is>
          <t>B219</t>
        </is>
      </c>
      <c r="B190" s="2" t="inlineStr">
        <is>
          <t>Race and/or ethnicity unknown</t>
        </is>
      </c>
      <c r="C190" t="n">
        <v>1295</v>
      </c>
      <c r="D190" t="inlineStr">
        <is>
          <t>Enrollment And Persistence</t>
        </is>
      </c>
      <c r="E190" t="inlineStr">
        <is>
          <t>Enrollment by Racial/Ethnic Category</t>
        </is>
      </c>
      <c r="F190" t="inlineStr">
        <is>
          <t>Degree-seeking</t>
        </is>
      </c>
      <c r="G190" t="inlineStr">
        <is>
          <t>Undergraduates</t>
        </is>
      </c>
      <c r="H190" t="inlineStr">
        <is>
          <t>All</t>
        </is>
      </c>
      <c r="I190" t="inlineStr">
        <is>
          <t>Domestic</t>
        </is>
      </c>
      <c r="J190" t="inlineStr">
        <is>
          <t>All</t>
        </is>
      </c>
      <c r="K190" t="inlineStr">
        <is>
          <t>All</t>
        </is>
      </c>
      <c r="L190" t="inlineStr">
        <is>
          <t>Number</t>
        </is>
      </c>
    </row>
    <row r="191" ht="18" customHeight="1" s="44">
      <c r="A191" t="inlineStr">
        <is>
          <t>B220</t>
        </is>
      </c>
      <c r="B191" s="2" t="inlineStr">
        <is>
          <t>TOTAL</t>
        </is>
      </c>
      <c r="C191">
        <f>SUM(C182:C190)</f>
        <v/>
      </c>
      <c r="D191" t="inlineStr">
        <is>
          <t>Enrollment And Persistence</t>
        </is>
      </c>
      <c r="E191" t="inlineStr">
        <is>
          <t>Enrollment by Racial/Ethnic Category</t>
        </is>
      </c>
      <c r="F191" t="inlineStr">
        <is>
          <t>Degree-seeking</t>
        </is>
      </c>
      <c r="G191" t="inlineStr">
        <is>
          <t>Undergraduates</t>
        </is>
      </c>
      <c r="H191" t="inlineStr">
        <is>
          <t>All</t>
        </is>
      </c>
      <c r="I191" t="inlineStr">
        <is>
          <t>Domestic</t>
        </is>
      </c>
      <c r="J191" t="inlineStr">
        <is>
          <t>All</t>
        </is>
      </c>
      <c r="K191" t="inlineStr">
        <is>
          <t>All</t>
        </is>
      </c>
      <c r="L191" t="inlineStr">
        <is>
          <t>Number</t>
        </is>
      </c>
    </row>
    <row r="192"/>
    <row r="193" ht="36.6" customHeight="1" s="44"/>
    <row r="194" ht="18" customHeight="1" s="44">
      <c r="A194" t="inlineStr">
        <is>
          <t>B221</t>
        </is>
      </c>
      <c r="B194" s="2" t="inlineStr">
        <is>
          <t>Nonresidents</t>
        </is>
      </c>
      <c r="C194" t="n">
        <v>4103</v>
      </c>
      <c r="D194" t="inlineStr">
        <is>
          <t>Enrollment And Persistence</t>
        </is>
      </c>
      <c r="E194" t="inlineStr">
        <is>
          <t>Enrollment by Racial/Ethnic Category</t>
        </is>
      </c>
      <c r="F194" t="inlineStr">
        <is>
          <t>All</t>
        </is>
      </c>
      <c r="G194" t="inlineStr">
        <is>
          <t>Undergraduates</t>
        </is>
      </c>
      <c r="H194" t="inlineStr">
        <is>
          <t>All</t>
        </is>
      </c>
      <c r="I194" t="inlineStr">
        <is>
          <t>Nonresidents</t>
        </is>
      </c>
      <c r="J194" t="inlineStr">
        <is>
          <t>All</t>
        </is>
      </c>
      <c r="K194" t="inlineStr">
        <is>
          <t>All</t>
        </is>
      </c>
      <c r="L194" t="inlineStr">
        <is>
          <t>Number</t>
        </is>
      </c>
    </row>
    <row r="195" ht="18" customHeight="1" s="44">
      <c r="A195" t="inlineStr">
        <is>
          <t>B222</t>
        </is>
      </c>
      <c r="B195" s="2" t="inlineStr">
        <is>
          <t>Hispanic/Latino</t>
        </is>
      </c>
      <c r="C195" t="n">
        <v>3225</v>
      </c>
      <c r="D195" t="inlineStr">
        <is>
          <t>Enrollment And Persistence</t>
        </is>
      </c>
      <c r="E195" t="inlineStr">
        <is>
          <t>Enrollment by Racial/Ethnic Category</t>
        </is>
      </c>
      <c r="F195" t="inlineStr">
        <is>
          <t>All</t>
        </is>
      </c>
      <c r="G195" t="inlineStr">
        <is>
          <t>Undergraduates</t>
        </is>
      </c>
      <c r="H195" t="inlineStr">
        <is>
          <t>All</t>
        </is>
      </c>
      <c r="I195" t="inlineStr">
        <is>
          <t>Domestic</t>
        </is>
      </c>
      <c r="J195" t="inlineStr">
        <is>
          <t>All</t>
        </is>
      </c>
      <c r="K195" t="inlineStr">
        <is>
          <t>All</t>
        </is>
      </c>
      <c r="L195" t="inlineStr">
        <is>
          <t>Number</t>
        </is>
      </c>
    </row>
    <row r="196" ht="18" customHeight="1" s="44">
      <c r="A196" t="inlineStr">
        <is>
          <t>B223</t>
        </is>
      </c>
      <c r="B196" s="2" t="inlineStr">
        <is>
          <t>Black or African American, non-Hispanic</t>
        </is>
      </c>
      <c r="C196" t="n">
        <v>1002</v>
      </c>
      <c r="D196" t="inlineStr">
        <is>
          <t>Enrollment And Persistence</t>
        </is>
      </c>
      <c r="E196" t="inlineStr">
        <is>
          <t>Enrollment by Racial/Ethnic Category</t>
        </is>
      </c>
      <c r="F196" t="inlineStr">
        <is>
          <t>All</t>
        </is>
      </c>
      <c r="G196" t="inlineStr">
        <is>
          <t>Undergraduates</t>
        </is>
      </c>
      <c r="H196" t="inlineStr">
        <is>
          <t>All</t>
        </is>
      </c>
      <c r="I196" t="inlineStr">
        <is>
          <t>Domestic</t>
        </is>
      </c>
      <c r="J196" t="inlineStr">
        <is>
          <t>All</t>
        </is>
      </c>
      <c r="K196" t="inlineStr">
        <is>
          <t>All</t>
        </is>
      </c>
      <c r="L196" t="inlineStr">
        <is>
          <t>Number</t>
        </is>
      </c>
    </row>
    <row r="197" ht="18" customHeight="1" s="44">
      <c r="A197" t="inlineStr">
        <is>
          <t>B224</t>
        </is>
      </c>
      <c r="B197" s="2" t="inlineStr">
        <is>
          <t>White, non-Hispanic</t>
        </is>
      </c>
      <c r="C197" t="n">
        <v>23198</v>
      </c>
      <c r="D197" t="inlineStr">
        <is>
          <t>Enrollment And Persistence</t>
        </is>
      </c>
      <c r="E197" t="inlineStr">
        <is>
          <t>Enrollment by Racial/Ethnic Category</t>
        </is>
      </c>
      <c r="F197" t="inlineStr">
        <is>
          <t>All</t>
        </is>
      </c>
      <c r="G197" t="inlineStr">
        <is>
          <t>Undergraduates</t>
        </is>
      </c>
      <c r="H197" t="inlineStr">
        <is>
          <t>All</t>
        </is>
      </c>
      <c r="I197" t="inlineStr">
        <is>
          <t>Domestic</t>
        </is>
      </c>
      <c r="J197" t="inlineStr">
        <is>
          <t>All</t>
        </is>
      </c>
      <c r="K197" t="inlineStr">
        <is>
          <t>All</t>
        </is>
      </c>
      <c r="L197" t="inlineStr">
        <is>
          <t>Number</t>
        </is>
      </c>
    </row>
    <row r="198" ht="18" customHeight="1" s="44">
      <c r="A198" t="inlineStr">
        <is>
          <t>B225</t>
        </is>
      </c>
      <c r="B198" s="2" t="inlineStr">
        <is>
          <t>American Indian or Alaska Native, non-Hispanic</t>
        </is>
      </c>
      <c r="C198" t="n">
        <v>93</v>
      </c>
      <c r="D198" t="inlineStr">
        <is>
          <t>Enrollment And Persistence</t>
        </is>
      </c>
      <c r="E198" t="inlineStr">
        <is>
          <t>Enrollment by Racial/Ethnic Category</t>
        </is>
      </c>
      <c r="F198" t="inlineStr">
        <is>
          <t>All</t>
        </is>
      </c>
      <c r="G198" t="inlineStr">
        <is>
          <t>Undergraduates</t>
        </is>
      </c>
      <c r="H198" t="inlineStr">
        <is>
          <t>All</t>
        </is>
      </c>
      <c r="I198" t="inlineStr">
        <is>
          <t>Domestic</t>
        </is>
      </c>
      <c r="J198" t="inlineStr">
        <is>
          <t>All</t>
        </is>
      </c>
      <c r="K198" t="inlineStr">
        <is>
          <t>All</t>
        </is>
      </c>
      <c r="L198" t="inlineStr">
        <is>
          <t>Number</t>
        </is>
      </c>
    </row>
    <row r="199" ht="18" customHeight="1" s="44">
      <c r="A199" t="inlineStr">
        <is>
          <t>B226</t>
        </is>
      </c>
      <c r="B199" s="2" t="inlineStr">
        <is>
          <t>Asian, non-Hispanic</t>
        </is>
      </c>
      <c r="C199" t="n">
        <v>4151</v>
      </c>
      <c r="D199" t="inlineStr">
        <is>
          <t>Enrollment And Persistence</t>
        </is>
      </c>
      <c r="E199" t="inlineStr">
        <is>
          <t>Enrollment by Racial/Ethnic Category</t>
        </is>
      </c>
      <c r="F199" t="inlineStr">
        <is>
          <t>All</t>
        </is>
      </c>
      <c r="G199" t="inlineStr">
        <is>
          <t>Undergraduates</t>
        </is>
      </c>
      <c r="H199" t="inlineStr">
        <is>
          <t>All</t>
        </is>
      </c>
      <c r="I199" t="inlineStr">
        <is>
          <t>Domestic</t>
        </is>
      </c>
      <c r="J199" t="inlineStr">
        <is>
          <t>All</t>
        </is>
      </c>
      <c r="K199" t="inlineStr">
        <is>
          <t>All</t>
        </is>
      </c>
      <c r="L199" t="inlineStr">
        <is>
          <t>Number</t>
        </is>
      </c>
    </row>
    <row r="200" ht="18" customHeight="1" s="44">
      <c r="A200" t="inlineStr">
        <is>
          <t>B227</t>
        </is>
      </c>
      <c r="B200" t="inlineStr">
        <is>
          <t>Native Hawaiian or other Pacific Islander, non-Hispanic</t>
        </is>
      </c>
      <c r="C200" t="n">
        <v>20</v>
      </c>
      <c r="D200" t="inlineStr">
        <is>
          <t>Enrollment And Persistence</t>
        </is>
      </c>
      <c r="E200" t="inlineStr">
        <is>
          <t>Enrollment by Racial/Ethnic Category</t>
        </is>
      </c>
      <c r="F200" t="inlineStr">
        <is>
          <t>All</t>
        </is>
      </c>
      <c r="G200" t="inlineStr">
        <is>
          <t>Undergraduates</t>
        </is>
      </c>
      <c r="H200" t="inlineStr">
        <is>
          <t>All</t>
        </is>
      </c>
      <c r="I200" t="inlineStr">
        <is>
          <t>Domestic</t>
        </is>
      </c>
      <c r="J200" t="inlineStr">
        <is>
          <t>All</t>
        </is>
      </c>
      <c r="K200" t="inlineStr">
        <is>
          <t>All</t>
        </is>
      </c>
      <c r="L200" t="inlineStr">
        <is>
          <t>Number</t>
        </is>
      </c>
    </row>
    <row r="201" ht="18" customHeight="1" s="44">
      <c r="A201" t="inlineStr">
        <is>
          <t>B228</t>
        </is>
      </c>
      <c r="B201" s="2" t="inlineStr">
        <is>
          <t>Two or more races, non-Hispanic</t>
        </is>
      </c>
      <c r="C201" t="n">
        <v>1880</v>
      </c>
      <c r="D201" t="inlineStr">
        <is>
          <t>Enrollment And Persistence</t>
        </is>
      </c>
      <c r="E201" t="inlineStr">
        <is>
          <t>Enrollment by Racial/Ethnic Category</t>
        </is>
      </c>
      <c r="F201" t="inlineStr">
        <is>
          <t>All</t>
        </is>
      </c>
      <c r="G201" t="inlineStr">
        <is>
          <t>Undergraduates</t>
        </is>
      </c>
      <c r="H201" t="inlineStr">
        <is>
          <t>All</t>
        </is>
      </c>
      <c r="I201" t="inlineStr">
        <is>
          <t>Domestic</t>
        </is>
      </c>
      <c r="J201" t="inlineStr">
        <is>
          <t>All</t>
        </is>
      </c>
      <c r="K201" t="inlineStr">
        <is>
          <t>All</t>
        </is>
      </c>
      <c r="L201" t="inlineStr">
        <is>
          <t>Number</t>
        </is>
      </c>
    </row>
    <row r="202" ht="18" customHeight="1" s="44">
      <c r="A202" t="inlineStr">
        <is>
          <t>B229</t>
        </is>
      </c>
      <c r="B202" s="2" t="inlineStr">
        <is>
          <t>Race and/or ethnicity unknown</t>
        </is>
      </c>
      <c r="C202" t="n">
        <v>1411</v>
      </c>
      <c r="D202" t="inlineStr">
        <is>
          <t>Enrollment And Persistence</t>
        </is>
      </c>
      <c r="E202" t="inlineStr">
        <is>
          <t>Enrollment by Racial/Ethnic Category</t>
        </is>
      </c>
      <c r="F202" t="inlineStr">
        <is>
          <t>All</t>
        </is>
      </c>
      <c r="G202" t="inlineStr">
        <is>
          <t>Undergraduates</t>
        </is>
      </c>
      <c r="H202" t="inlineStr">
        <is>
          <t>All</t>
        </is>
      </c>
      <c r="I202" t="inlineStr">
        <is>
          <t>Domestic</t>
        </is>
      </c>
      <c r="J202" t="inlineStr">
        <is>
          <t>All</t>
        </is>
      </c>
      <c r="K202" t="inlineStr">
        <is>
          <t>All</t>
        </is>
      </c>
      <c r="L202" t="inlineStr">
        <is>
          <t>Number</t>
        </is>
      </c>
    </row>
    <row r="203" ht="18" customHeight="1" s="44">
      <c r="A203" t="inlineStr">
        <is>
          <t>B230</t>
        </is>
      </c>
      <c r="B203" s="2" t="inlineStr">
        <is>
          <t>TOTAL</t>
        </is>
      </c>
      <c r="C203">
        <f>SUM(C194:C202)</f>
        <v/>
      </c>
      <c r="D203" t="inlineStr">
        <is>
          <t>Enrollment And Persistence</t>
        </is>
      </c>
      <c r="E203" t="inlineStr">
        <is>
          <t>Enrollment by Racial/Ethnic Category</t>
        </is>
      </c>
      <c r="F203" t="inlineStr">
        <is>
          <t>All</t>
        </is>
      </c>
      <c r="G203" t="inlineStr">
        <is>
          <t>Undergraduates</t>
        </is>
      </c>
      <c r="H203" t="inlineStr">
        <is>
          <t>All</t>
        </is>
      </c>
      <c r="I203" t="inlineStr">
        <is>
          <t>Domestic</t>
        </is>
      </c>
      <c r="J203" t="inlineStr">
        <is>
          <t>All</t>
        </is>
      </c>
      <c r="K203" t="inlineStr">
        <is>
          <t>All</t>
        </is>
      </c>
      <c r="L203" t="inlineStr">
        <is>
          <t>Number</t>
        </is>
      </c>
    </row>
    <row r="204"/>
    <row r="205"/>
    <row r="206"/>
    <row r="207"/>
    <row r="208"/>
    <row r="209" ht="42.95" customHeight="1" s="44"/>
    <row r="210" ht="18" customHeight="1" s="44">
      <c r="A210" t="inlineStr">
        <is>
          <t>B301</t>
        </is>
      </c>
      <c r="B210" s="2" t="inlineStr">
        <is>
          <t>Certificate/diploma</t>
        </is>
      </c>
      <c r="C210" t="n">
        <v>4273</v>
      </c>
      <c r="D210" t="inlineStr">
        <is>
          <t>Enrollment And Persistence</t>
        </is>
      </c>
      <c r="E210" t="inlineStr">
        <is>
          <t>Persistence</t>
        </is>
      </c>
      <c r="F210" t="inlineStr">
        <is>
          <t>All</t>
        </is>
      </c>
      <c r="G210" t="inlineStr">
        <is>
          <t>All</t>
        </is>
      </c>
      <c r="H210" t="inlineStr">
        <is>
          <t>All</t>
        </is>
      </c>
      <c r="I210" t="inlineStr">
        <is>
          <t>All</t>
        </is>
      </c>
      <c r="J210" t="inlineStr">
        <is>
          <t>All</t>
        </is>
      </c>
      <c r="K210" t="inlineStr">
        <is>
          <t>All</t>
        </is>
      </c>
      <c r="L210" t="inlineStr">
        <is>
          <t>Number</t>
        </is>
      </c>
    </row>
    <row r="211" ht="18" customHeight="1" s="44">
      <c r="A211" t="inlineStr">
        <is>
          <t>B302</t>
        </is>
      </c>
      <c r="B211" s="2" t="inlineStr">
        <is>
          <t>Associate degrees</t>
        </is>
      </c>
      <c r="C211" t="n">
        <v>0</v>
      </c>
      <c r="D211" t="inlineStr">
        <is>
          <t>Enrollment And Persistence</t>
        </is>
      </c>
      <c r="E211" t="inlineStr">
        <is>
          <t>Persistence</t>
        </is>
      </c>
      <c r="F211" t="inlineStr">
        <is>
          <t>All</t>
        </is>
      </c>
      <c r="G211" t="inlineStr">
        <is>
          <t>All</t>
        </is>
      </c>
      <c r="H211" t="inlineStr">
        <is>
          <t>All</t>
        </is>
      </c>
      <c r="I211" t="inlineStr">
        <is>
          <t>All</t>
        </is>
      </c>
      <c r="J211" t="inlineStr">
        <is>
          <t>All</t>
        </is>
      </c>
      <c r="K211" t="inlineStr">
        <is>
          <t>All</t>
        </is>
      </c>
      <c r="L211" t="inlineStr">
        <is>
          <t>Number</t>
        </is>
      </c>
    </row>
    <row r="212" ht="18" customHeight="1" s="44">
      <c r="A212" t="inlineStr">
        <is>
          <t>B303</t>
        </is>
      </c>
      <c r="B212" s="2" t="inlineStr">
        <is>
          <t>Bachelor's degrees</t>
        </is>
      </c>
      <c r="C212" t="n">
        <v>8269</v>
      </c>
      <c r="D212" t="inlineStr">
        <is>
          <t>Enrollment And Persistence</t>
        </is>
      </c>
      <c r="E212" t="inlineStr">
        <is>
          <t>Persistence</t>
        </is>
      </c>
      <c r="F212" t="inlineStr">
        <is>
          <t>All</t>
        </is>
      </c>
      <c r="G212" t="inlineStr">
        <is>
          <t>All</t>
        </is>
      </c>
      <c r="H212" t="inlineStr">
        <is>
          <t>All</t>
        </is>
      </c>
      <c r="I212" t="inlineStr">
        <is>
          <t>All</t>
        </is>
      </c>
      <c r="J212" t="inlineStr">
        <is>
          <t>All</t>
        </is>
      </c>
      <c r="K212" t="inlineStr">
        <is>
          <t>All</t>
        </is>
      </c>
      <c r="L212" t="inlineStr">
        <is>
          <t>Number</t>
        </is>
      </c>
    </row>
    <row r="213" ht="18" customHeight="1" s="44">
      <c r="A213" t="inlineStr">
        <is>
          <t>B304</t>
        </is>
      </c>
      <c r="B213" s="2" t="inlineStr">
        <is>
          <t>Postbachelor's certificates</t>
        </is>
      </c>
      <c r="C213" t="n">
        <v>130</v>
      </c>
      <c r="D213" t="inlineStr">
        <is>
          <t>Enrollment And Persistence</t>
        </is>
      </c>
      <c r="E213" t="inlineStr">
        <is>
          <t>Persistence</t>
        </is>
      </c>
      <c r="F213" t="inlineStr">
        <is>
          <t>All</t>
        </is>
      </c>
      <c r="G213" t="inlineStr">
        <is>
          <t>All</t>
        </is>
      </c>
      <c r="H213" t="inlineStr">
        <is>
          <t>All</t>
        </is>
      </c>
      <c r="I213" t="inlineStr">
        <is>
          <t>All</t>
        </is>
      </c>
      <c r="J213" t="inlineStr">
        <is>
          <t>All</t>
        </is>
      </c>
      <c r="K213" t="inlineStr">
        <is>
          <t>All</t>
        </is>
      </c>
      <c r="L213" t="inlineStr">
        <is>
          <t>Number</t>
        </is>
      </c>
    </row>
    <row r="214" ht="18" customHeight="1" s="44">
      <c r="A214" t="inlineStr">
        <is>
          <t>B305</t>
        </is>
      </c>
      <c r="B214" s="2" t="inlineStr">
        <is>
          <t>Master's degrees</t>
        </is>
      </c>
      <c r="C214" t="n">
        <v>2786</v>
      </c>
      <c r="D214" t="inlineStr">
        <is>
          <t>Enrollment And Persistence</t>
        </is>
      </c>
      <c r="E214" t="inlineStr">
        <is>
          <t>Persistence</t>
        </is>
      </c>
      <c r="F214" t="inlineStr">
        <is>
          <t>All</t>
        </is>
      </c>
      <c r="G214" t="inlineStr">
        <is>
          <t>All</t>
        </is>
      </c>
      <c r="H214" t="inlineStr">
        <is>
          <t>All</t>
        </is>
      </c>
      <c r="I214" t="inlineStr">
        <is>
          <t>All</t>
        </is>
      </c>
      <c r="J214" t="inlineStr">
        <is>
          <t>All</t>
        </is>
      </c>
      <c r="K214" t="inlineStr">
        <is>
          <t>All</t>
        </is>
      </c>
      <c r="L214" t="inlineStr">
        <is>
          <t>Number</t>
        </is>
      </c>
    </row>
    <row r="215" ht="18" customHeight="1" s="44">
      <c r="A215" t="inlineStr">
        <is>
          <t>B306</t>
        </is>
      </c>
      <c r="B215" s="2" t="inlineStr">
        <is>
          <t>Post-Master's certificates</t>
        </is>
      </c>
      <c r="C215" t="n">
        <v>0</v>
      </c>
      <c r="D215" t="inlineStr">
        <is>
          <t>Enrollment And Persistence</t>
        </is>
      </c>
      <c r="E215" t="inlineStr">
        <is>
          <t>Persistence</t>
        </is>
      </c>
      <c r="F215" t="inlineStr">
        <is>
          <t>All</t>
        </is>
      </c>
      <c r="G215" t="inlineStr">
        <is>
          <t>All</t>
        </is>
      </c>
      <c r="H215" t="inlineStr">
        <is>
          <t>All</t>
        </is>
      </c>
      <c r="I215" t="inlineStr">
        <is>
          <t>All</t>
        </is>
      </c>
      <c r="J215" t="inlineStr">
        <is>
          <t>All</t>
        </is>
      </c>
      <c r="K215" t="inlineStr">
        <is>
          <t>All</t>
        </is>
      </c>
      <c r="L215" t="inlineStr">
        <is>
          <t>Number</t>
        </is>
      </c>
    </row>
    <row r="216" ht="18" customHeight="1" s="44">
      <c r="A216" t="inlineStr">
        <is>
          <t>B307</t>
        </is>
      </c>
      <c r="B216" s="2" t="inlineStr">
        <is>
          <t>Doctoral degrees – research/scholarship</t>
        </is>
      </c>
      <c r="C216" t="n">
        <v>854</v>
      </c>
      <c r="D216" t="inlineStr">
        <is>
          <t>Enrollment And Persistence</t>
        </is>
      </c>
      <c r="E216" t="inlineStr">
        <is>
          <t>Persistence</t>
        </is>
      </c>
      <c r="F216" t="inlineStr">
        <is>
          <t>All</t>
        </is>
      </c>
      <c r="G216" t="inlineStr">
        <is>
          <t>All</t>
        </is>
      </c>
      <c r="H216" t="inlineStr">
        <is>
          <t>All</t>
        </is>
      </c>
      <c r="I216" t="inlineStr">
        <is>
          <t>All</t>
        </is>
      </c>
      <c r="J216" t="inlineStr">
        <is>
          <t>All</t>
        </is>
      </c>
      <c r="K216" t="inlineStr">
        <is>
          <t>All</t>
        </is>
      </c>
      <c r="L216" t="inlineStr">
        <is>
          <t>Number</t>
        </is>
      </c>
    </row>
    <row r="217" ht="18" customHeight="1" s="44">
      <c r="A217" t="inlineStr">
        <is>
          <t>B308</t>
        </is>
      </c>
      <c r="B217" s="2" t="inlineStr">
        <is>
          <t>Doctoral degrees – professional practice</t>
        </is>
      </c>
      <c r="C217" t="n">
        <v>735</v>
      </c>
      <c r="D217" t="inlineStr">
        <is>
          <t>Enrollment And Persistence</t>
        </is>
      </c>
      <c r="E217" t="inlineStr">
        <is>
          <t>Persistence</t>
        </is>
      </c>
      <c r="F217" t="inlineStr">
        <is>
          <t>All</t>
        </is>
      </c>
      <c r="G217" t="inlineStr">
        <is>
          <t>All</t>
        </is>
      </c>
      <c r="H217" t="inlineStr">
        <is>
          <t>All</t>
        </is>
      </c>
      <c r="I217" t="inlineStr">
        <is>
          <t>All</t>
        </is>
      </c>
      <c r="J217" t="inlineStr">
        <is>
          <t>All</t>
        </is>
      </c>
      <c r="K217" t="inlineStr">
        <is>
          <t>All</t>
        </is>
      </c>
      <c r="L217" t="inlineStr">
        <is>
          <t>Number</t>
        </is>
      </c>
    </row>
    <row r="218" ht="18" customHeight="1" s="44">
      <c r="A218" t="inlineStr">
        <is>
          <t>B309</t>
        </is>
      </c>
      <c r="B218" s="2" t="inlineStr">
        <is>
          <t>Doctoral degrees – other</t>
        </is>
      </c>
      <c r="C218" t="n">
        <v>0</v>
      </c>
      <c r="D218" t="inlineStr">
        <is>
          <t>Enrollment And Persistence</t>
        </is>
      </c>
      <c r="E218" t="inlineStr">
        <is>
          <t>Persistence</t>
        </is>
      </c>
      <c r="F218" t="inlineStr">
        <is>
          <t>All</t>
        </is>
      </c>
      <c r="G218" t="inlineStr">
        <is>
          <t>All</t>
        </is>
      </c>
      <c r="H218" t="inlineStr">
        <is>
          <t>All</t>
        </is>
      </c>
      <c r="I218" t="inlineStr">
        <is>
          <t>All</t>
        </is>
      </c>
      <c r="J218" t="inlineStr">
        <is>
          <t>All</t>
        </is>
      </c>
      <c r="K218" t="inlineStr">
        <is>
          <t>All</t>
        </is>
      </c>
      <c r="L218" t="inlineStr">
        <is>
          <t>Number</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ht="42" customHeight="1" s="44"/>
    <row r="255" ht="18" customHeight="1" s="44">
      <c r="A255" t="inlineStr">
        <is>
          <t>B401</t>
        </is>
      </c>
      <c r="B255" s="2" t="inlineStr">
        <is>
          <t>Recipients of a Federal Pell Grant</t>
        </is>
      </c>
      <c r="C255" t="n">
        <v>924</v>
      </c>
      <c r="D255" t="inlineStr">
        <is>
          <t>Enrollment And Persistence</t>
        </is>
      </c>
      <c r="E255" t="inlineStr">
        <is>
          <t>Graduation Rates</t>
        </is>
      </c>
      <c r="F255" t="inlineStr">
        <is>
          <t>Four Year</t>
        </is>
      </c>
      <c r="G255" t="inlineStr">
        <is>
          <t>Initial Cohort</t>
        </is>
      </c>
      <c r="H255" t="inlineStr">
        <is>
          <t>Current Cohort</t>
        </is>
      </c>
      <c r="I255" t="inlineStr">
        <is>
          <t>All</t>
        </is>
      </c>
      <c r="J255" t="inlineStr">
        <is>
          <t>All</t>
        </is>
      </c>
      <c r="K255" t="inlineStr">
        <is>
          <t>All</t>
        </is>
      </c>
      <c r="L255" t="inlineStr">
        <is>
          <t>Number</t>
        </is>
      </c>
    </row>
    <row r="256" ht="30" customHeight="1" s="44">
      <c r="A256" t="inlineStr">
        <is>
          <t>B402</t>
        </is>
      </c>
      <c r="B256" s="2" t="inlineStr">
        <is>
          <t>Recipients of a Subsidized Stafford Loan who did not receive a Pell Grant</t>
        </is>
      </c>
      <c r="C256" t="n">
        <v>1122</v>
      </c>
      <c r="D256" t="inlineStr">
        <is>
          <t>Enrollment And Persistence</t>
        </is>
      </c>
      <c r="E256" t="inlineStr">
        <is>
          <t>Graduation Rates</t>
        </is>
      </c>
      <c r="F256" t="inlineStr">
        <is>
          <t>Four Year</t>
        </is>
      </c>
      <c r="G256" t="inlineStr">
        <is>
          <t>Initial Cohort</t>
        </is>
      </c>
      <c r="H256" t="inlineStr">
        <is>
          <t>Current Cohort</t>
        </is>
      </c>
      <c r="I256" t="inlineStr">
        <is>
          <t>All</t>
        </is>
      </c>
      <c r="J256" t="inlineStr">
        <is>
          <t>All</t>
        </is>
      </c>
      <c r="K256" t="inlineStr">
        <is>
          <t>All</t>
        </is>
      </c>
      <c r="L256" t="inlineStr">
        <is>
          <t>Number</t>
        </is>
      </c>
    </row>
    <row r="257" ht="30" customHeight="1" s="44">
      <c r="A257" t="inlineStr">
        <is>
          <t>B403</t>
        </is>
      </c>
      <c r="B257" s="2" t="inlineStr">
        <is>
          <t>Students who did not receive either a Pell Grant or a subsidized Stafford Loan</t>
        </is>
      </c>
      <c r="C257" t="n">
        <v>4816</v>
      </c>
      <c r="D257" t="inlineStr">
        <is>
          <t>Enrollment And Persistence</t>
        </is>
      </c>
      <c r="E257" t="inlineStr">
        <is>
          <t>Graduation Rates</t>
        </is>
      </c>
      <c r="F257" t="inlineStr">
        <is>
          <t>Four Year</t>
        </is>
      </c>
      <c r="G257" t="inlineStr">
        <is>
          <t>Initial Cohort</t>
        </is>
      </c>
      <c r="H257" t="inlineStr">
        <is>
          <t>Current Cohort</t>
        </is>
      </c>
      <c r="I257" t="inlineStr">
        <is>
          <t>All</t>
        </is>
      </c>
      <c r="J257" t="inlineStr">
        <is>
          <t>All</t>
        </is>
      </c>
      <c r="K257" t="inlineStr">
        <is>
          <t>All</t>
        </is>
      </c>
      <c r="L257" t="inlineStr">
        <is>
          <t>Number</t>
        </is>
      </c>
    </row>
    <row r="258" ht="18" customHeight="1" s="44">
      <c r="A258" t="inlineStr">
        <is>
          <t>B404</t>
        </is>
      </c>
      <c r="B258" s="2" t="inlineStr">
        <is>
          <t xml:space="preserve">Total </t>
        </is>
      </c>
      <c r="C258">
        <f>SUM(C255:C257)</f>
        <v/>
      </c>
      <c r="D258" t="inlineStr">
        <is>
          <t>Enrollment And Persistence</t>
        </is>
      </c>
      <c r="E258" t="inlineStr">
        <is>
          <t>Graduation Rates</t>
        </is>
      </c>
      <c r="F258" t="inlineStr">
        <is>
          <t>Four Year</t>
        </is>
      </c>
      <c r="G258" t="inlineStr">
        <is>
          <t>Initial Cohort</t>
        </is>
      </c>
      <c r="H258" t="inlineStr">
        <is>
          <t>Current Cohort</t>
        </is>
      </c>
      <c r="I258" t="inlineStr">
        <is>
          <t>All</t>
        </is>
      </c>
      <c r="J258" t="inlineStr">
        <is>
          <t>All</t>
        </is>
      </c>
      <c r="K258" t="inlineStr">
        <is>
          <t>All</t>
        </is>
      </c>
      <c r="L258" t="inlineStr">
        <is>
          <t>Number</t>
        </is>
      </c>
    </row>
    <row r="259"/>
    <row r="260" ht="114" customHeight="1" s="44"/>
    <row r="261" ht="18" customHeight="1" s="44">
      <c r="A261" t="inlineStr">
        <is>
          <t>B405</t>
        </is>
      </c>
      <c r="B261" s="2" t="inlineStr">
        <is>
          <t>Recipients of a Federal Pell Grant</t>
        </is>
      </c>
      <c r="C261" t="n">
        <v>0</v>
      </c>
      <c r="D261" t="inlineStr">
        <is>
          <t>Enrollment And Persistence</t>
        </is>
      </c>
      <c r="E261" t="inlineStr">
        <is>
          <t>Graduation Rates</t>
        </is>
      </c>
      <c r="F261" t="inlineStr">
        <is>
          <t>Four Year</t>
        </is>
      </c>
      <c r="G261" t="inlineStr">
        <is>
          <t>Did Not Persist</t>
        </is>
      </c>
      <c r="H261" t="inlineStr">
        <is>
          <t>Current Cohort</t>
        </is>
      </c>
      <c r="I261" t="inlineStr">
        <is>
          <t>All</t>
        </is>
      </c>
      <c r="J261" t="inlineStr">
        <is>
          <t>All</t>
        </is>
      </c>
      <c r="K261" t="inlineStr">
        <is>
          <t>All</t>
        </is>
      </c>
      <c r="L261" t="inlineStr">
        <is>
          <t>Number</t>
        </is>
      </c>
    </row>
    <row r="262" ht="30" customHeight="1" s="44">
      <c r="A262" t="inlineStr">
        <is>
          <t>B406</t>
        </is>
      </c>
      <c r="B262" s="2" t="inlineStr">
        <is>
          <t>Recipients of a Subsidized Stafford Loan who did not receive a Pell Grant</t>
        </is>
      </c>
      <c r="C262" t="n">
        <v>0</v>
      </c>
      <c r="D262" t="inlineStr">
        <is>
          <t>Enrollment And Persistence</t>
        </is>
      </c>
      <c r="E262" t="inlineStr">
        <is>
          <t>Graduation Rates</t>
        </is>
      </c>
      <c r="F262" t="inlineStr">
        <is>
          <t>Four Year</t>
        </is>
      </c>
      <c r="G262" t="inlineStr">
        <is>
          <t>Did Not Persist</t>
        </is>
      </c>
      <c r="H262" t="inlineStr">
        <is>
          <t>Current Cohort</t>
        </is>
      </c>
      <c r="I262" t="inlineStr">
        <is>
          <t>All</t>
        </is>
      </c>
      <c r="J262" t="inlineStr">
        <is>
          <t>All</t>
        </is>
      </c>
      <c r="K262" t="inlineStr">
        <is>
          <t>All</t>
        </is>
      </c>
      <c r="L262" t="inlineStr">
        <is>
          <t>Number</t>
        </is>
      </c>
    </row>
    <row r="263" ht="30" customHeight="1" s="44">
      <c r="A263" t="inlineStr">
        <is>
          <t>B407</t>
        </is>
      </c>
      <c r="B263" s="2" t="inlineStr">
        <is>
          <t>Students who did not receive either a Pell Grant or a subsidized Stafford Loan</t>
        </is>
      </c>
      <c r="C263" t="n">
        <v>0</v>
      </c>
      <c r="D263" t="inlineStr">
        <is>
          <t>Enrollment And Persistence</t>
        </is>
      </c>
      <c r="E263" t="inlineStr">
        <is>
          <t>Graduation Rates</t>
        </is>
      </c>
      <c r="F263" t="inlineStr">
        <is>
          <t>Four Year</t>
        </is>
      </c>
      <c r="G263" t="inlineStr">
        <is>
          <t>Did Not Persist</t>
        </is>
      </c>
      <c r="H263" t="inlineStr">
        <is>
          <t>Current Cohort</t>
        </is>
      </c>
      <c r="I263" t="inlineStr">
        <is>
          <t>All</t>
        </is>
      </c>
      <c r="J263" t="inlineStr">
        <is>
          <t>All</t>
        </is>
      </c>
      <c r="K263" t="inlineStr">
        <is>
          <t>All</t>
        </is>
      </c>
      <c r="L263" t="inlineStr">
        <is>
          <t>Number</t>
        </is>
      </c>
    </row>
    <row r="264" ht="18" customHeight="1" s="44">
      <c r="A264" t="inlineStr">
        <is>
          <t>B408</t>
        </is>
      </c>
      <c r="B264" s="2" t="inlineStr">
        <is>
          <t xml:space="preserve">Total </t>
        </is>
      </c>
      <c r="C264">
        <f>SUM(C261:C263)</f>
        <v/>
      </c>
      <c r="D264" t="inlineStr">
        <is>
          <t>Enrollment And Persistence</t>
        </is>
      </c>
      <c r="E264" t="inlineStr">
        <is>
          <t>Graduation Rates</t>
        </is>
      </c>
      <c r="F264" t="inlineStr">
        <is>
          <t>Four Year</t>
        </is>
      </c>
      <c r="G264" t="inlineStr">
        <is>
          <t>Did Not Persist</t>
        </is>
      </c>
      <c r="H264" t="inlineStr">
        <is>
          <t>Current Cohort</t>
        </is>
      </c>
      <c r="I264" t="inlineStr">
        <is>
          <t>All</t>
        </is>
      </c>
      <c r="J264" t="inlineStr">
        <is>
          <t>All</t>
        </is>
      </c>
      <c r="K264" t="inlineStr">
        <is>
          <t>All</t>
        </is>
      </c>
      <c r="L264" t="inlineStr">
        <is>
          <t>Number</t>
        </is>
      </c>
    </row>
    <row r="265"/>
    <row r="266" ht="42" customHeight="1" s="44"/>
    <row r="267" ht="18" customHeight="1" s="44">
      <c r="A267" t="inlineStr">
        <is>
          <t>B409</t>
        </is>
      </c>
      <c r="B267" s="2" t="inlineStr">
        <is>
          <t>Recipients of a Federal Pell Grant</t>
        </is>
      </c>
      <c r="C267" t="n">
        <v>924</v>
      </c>
      <c r="D267" t="inlineStr">
        <is>
          <t>Enrollment And Persistence</t>
        </is>
      </c>
      <c r="E267" t="inlineStr">
        <is>
          <t>Graduation Rates</t>
        </is>
      </c>
      <c r="F267" t="inlineStr">
        <is>
          <t>Four Year</t>
        </is>
      </c>
      <c r="G267" t="inlineStr">
        <is>
          <t>Final Cohort</t>
        </is>
      </c>
      <c r="H267" t="inlineStr">
        <is>
          <t>Current Cohort</t>
        </is>
      </c>
      <c r="I267" t="inlineStr">
        <is>
          <t>All</t>
        </is>
      </c>
      <c r="J267" t="inlineStr">
        <is>
          <t>All</t>
        </is>
      </c>
      <c r="K267" t="inlineStr">
        <is>
          <t>All</t>
        </is>
      </c>
      <c r="L267" t="inlineStr">
        <is>
          <t>Number</t>
        </is>
      </c>
    </row>
    <row r="268" ht="30" customHeight="1" s="44">
      <c r="A268" t="inlineStr">
        <is>
          <t>B410</t>
        </is>
      </c>
      <c r="B268" s="2" t="inlineStr">
        <is>
          <t>Recipients of a Subsidized Stafford Loan who did not receive a Pell Grant</t>
        </is>
      </c>
      <c r="C268">
        <f>C256-C262</f>
        <v/>
      </c>
      <c r="D268" t="inlineStr">
        <is>
          <t>Enrollment And Persistence</t>
        </is>
      </c>
      <c r="E268" t="inlineStr">
        <is>
          <t>Graduation Rates</t>
        </is>
      </c>
      <c r="F268" t="inlineStr">
        <is>
          <t>Four Year</t>
        </is>
      </c>
      <c r="G268" t="inlineStr">
        <is>
          <t>Final Cohort</t>
        </is>
      </c>
      <c r="H268" t="inlineStr">
        <is>
          <t>Current Cohort</t>
        </is>
      </c>
      <c r="I268" t="inlineStr">
        <is>
          <t>All</t>
        </is>
      </c>
      <c r="J268" t="inlineStr">
        <is>
          <t>All</t>
        </is>
      </c>
      <c r="K268" t="inlineStr">
        <is>
          <t>All</t>
        </is>
      </c>
      <c r="L268" t="inlineStr">
        <is>
          <t>Number</t>
        </is>
      </c>
    </row>
    <row r="269" ht="30" customHeight="1" s="44">
      <c r="A269" t="inlineStr">
        <is>
          <t>B411</t>
        </is>
      </c>
      <c r="B269" s="2" t="inlineStr">
        <is>
          <t>Students who did not receive either a Pell Grant or a subsidized Stafford Loan</t>
        </is>
      </c>
      <c r="C269">
        <f>C257-C263</f>
        <v/>
      </c>
      <c r="D269" t="inlineStr">
        <is>
          <t>Enrollment And Persistence</t>
        </is>
      </c>
      <c r="E269" t="inlineStr">
        <is>
          <t>Graduation Rates</t>
        </is>
      </c>
      <c r="F269" t="inlineStr">
        <is>
          <t>Four Year</t>
        </is>
      </c>
      <c r="G269" t="inlineStr">
        <is>
          <t>Final Cohort</t>
        </is>
      </c>
      <c r="H269" t="inlineStr">
        <is>
          <t>Current Cohort</t>
        </is>
      </c>
      <c r="I269" t="inlineStr">
        <is>
          <t>All</t>
        </is>
      </c>
      <c r="J269" t="inlineStr">
        <is>
          <t>All</t>
        </is>
      </c>
      <c r="K269" t="inlineStr">
        <is>
          <t>All</t>
        </is>
      </c>
      <c r="L269" t="inlineStr">
        <is>
          <t>Number</t>
        </is>
      </c>
    </row>
    <row r="270" ht="18" customHeight="1" s="44">
      <c r="A270" t="inlineStr">
        <is>
          <t>B412</t>
        </is>
      </c>
      <c r="B270" s="2" t="inlineStr">
        <is>
          <t xml:space="preserve">Total </t>
        </is>
      </c>
      <c r="C270">
        <f>SUM(C267:C269)</f>
        <v/>
      </c>
      <c r="D270" t="inlineStr">
        <is>
          <t>Enrollment And Persistence</t>
        </is>
      </c>
      <c r="E270" t="inlineStr">
        <is>
          <t>Graduation Rates</t>
        </is>
      </c>
      <c r="F270" t="inlineStr">
        <is>
          <t>Four Year</t>
        </is>
      </c>
      <c r="G270" t="inlineStr">
        <is>
          <t>Final Cohort</t>
        </is>
      </c>
      <c r="H270" t="inlineStr">
        <is>
          <t>Current Cohort</t>
        </is>
      </c>
      <c r="I270" t="inlineStr">
        <is>
          <t>All</t>
        </is>
      </c>
      <c r="J270" t="inlineStr">
        <is>
          <t>All</t>
        </is>
      </c>
      <c r="K270" t="inlineStr">
        <is>
          <t>All</t>
        </is>
      </c>
      <c r="L270" t="inlineStr">
        <is>
          <t>Number</t>
        </is>
      </c>
    </row>
    <row r="271"/>
    <row r="272" ht="42" customHeight="1" s="44"/>
    <row r="273" ht="18" customHeight="1" s="44">
      <c r="A273" t="inlineStr">
        <is>
          <t>B413</t>
        </is>
      </c>
      <c r="B273" s="2" t="inlineStr">
        <is>
          <t>Recipients of a Federal Pell Grant</t>
        </is>
      </c>
      <c r="C273" t="n">
        <v>639</v>
      </c>
      <c r="D273" t="inlineStr">
        <is>
          <t>Enrollment And Persistence</t>
        </is>
      </c>
      <c r="E273" t="inlineStr">
        <is>
          <t>Graduation Rates</t>
        </is>
      </c>
      <c r="F273" t="inlineStr">
        <is>
          <t>Four Year</t>
        </is>
      </c>
      <c r="G273" t="inlineStr">
        <is>
          <t>Completers Less Than Four</t>
        </is>
      </c>
      <c r="H273" t="inlineStr">
        <is>
          <t>Current Cohort</t>
        </is>
      </c>
      <c r="I273" t="inlineStr">
        <is>
          <t>All</t>
        </is>
      </c>
      <c r="J273" t="inlineStr">
        <is>
          <t>All</t>
        </is>
      </c>
      <c r="K273" t="inlineStr">
        <is>
          <t>All</t>
        </is>
      </c>
      <c r="L273" t="inlineStr">
        <is>
          <t>Number</t>
        </is>
      </c>
    </row>
    <row r="274" ht="30" customHeight="1" s="44">
      <c r="A274" t="inlineStr">
        <is>
          <t>B414</t>
        </is>
      </c>
      <c r="B274" s="2" t="inlineStr">
        <is>
          <t>Recipients of a Subsidized Stafford Loan who did not receive a Pell Grant</t>
        </is>
      </c>
      <c r="C274" t="n">
        <v>827</v>
      </c>
      <c r="D274" t="inlineStr">
        <is>
          <t>Enrollment And Persistence</t>
        </is>
      </c>
      <c r="E274" t="inlineStr">
        <is>
          <t>Graduation Rates</t>
        </is>
      </c>
      <c r="F274" t="inlineStr">
        <is>
          <t>Four Year</t>
        </is>
      </c>
      <c r="G274" t="inlineStr">
        <is>
          <t>Completers Less Than Four</t>
        </is>
      </c>
      <c r="H274" t="inlineStr">
        <is>
          <t>Current Cohort</t>
        </is>
      </c>
      <c r="I274" t="inlineStr">
        <is>
          <t>All</t>
        </is>
      </c>
      <c r="J274" t="inlineStr">
        <is>
          <t>All</t>
        </is>
      </c>
      <c r="K274" t="inlineStr">
        <is>
          <t>All</t>
        </is>
      </c>
      <c r="L274" t="inlineStr">
        <is>
          <t>Number</t>
        </is>
      </c>
    </row>
    <row r="275" ht="30" customHeight="1" s="44">
      <c r="A275" t="inlineStr">
        <is>
          <t>B415</t>
        </is>
      </c>
      <c r="B275" s="2" t="inlineStr">
        <is>
          <t>Students who did not receive either a Pell Grant or a subsidized Stafford Loan</t>
        </is>
      </c>
      <c r="C275" t="n">
        <v>3684</v>
      </c>
      <c r="D275" t="inlineStr">
        <is>
          <t>Enrollment And Persistence</t>
        </is>
      </c>
      <c r="E275" t="inlineStr">
        <is>
          <t>Graduation Rates</t>
        </is>
      </c>
      <c r="F275" t="inlineStr">
        <is>
          <t>Four Year</t>
        </is>
      </c>
      <c r="G275" t="inlineStr">
        <is>
          <t>Completers Less Than Four</t>
        </is>
      </c>
      <c r="H275" t="inlineStr">
        <is>
          <t>Current Cohort</t>
        </is>
      </c>
      <c r="I275" t="inlineStr">
        <is>
          <t>All</t>
        </is>
      </c>
      <c r="J275" t="inlineStr">
        <is>
          <t>All</t>
        </is>
      </c>
      <c r="K275" t="inlineStr">
        <is>
          <t>All</t>
        </is>
      </c>
      <c r="L275" t="inlineStr">
        <is>
          <t>Number</t>
        </is>
      </c>
    </row>
    <row r="276" ht="18" customHeight="1" s="44">
      <c r="A276" t="inlineStr">
        <is>
          <t>B416</t>
        </is>
      </c>
      <c r="B276" s="2" t="inlineStr">
        <is>
          <t xml:space="preserve">Total </t>
        </is>
      </c>
      <c r="C276">
        <f>SUM(C273:C275)</f>
        <v/>
      </c>
      <c r="D276" t="inlineStr">
        <is>
          <t>Enrollment And Persistence</t>
        </is>
      </c>
      <c r="E276" t="inlineStr">
        <is>
          <t>Graduation Rates</t>
        </is>
      </c>
      <c r="F276" t="inlineStr">
        <is>
          <t>Four Year</t>
        </is>
      </c>
      <c r="G276" t="inlineStr">
        <is>
          <t>Completers Less Than Four</t>
        </is>
      </c>
      <c r="H276" t="inlineStr">
        <is>
          <t>Current Cohort</t>
        </is>
      </c>
      <c r="I276" t="inlineStr">
        <is>
          <t>All</t>
        </is>
      </c>
      <c r="J276" t="inlineStr">
        <is>
          <t>All</t>
        </is>
      </c>
      <c r="K276" t="inlineStr">
        <is>
          <t>All</t>
        </is>
      </c>
      <c r="L276" t="inlineStr">
        <is>
          <t>Number</t>
        </is>
      </c>
    </row>
    <row r="277"/>
    <row r="278" ht="48.95" customHeight="1" s="44"/>
    <row r="279" ht="18" customHeight="1" s="44">
      <c r="A279" t="inlineStr">
        <is>
          <t>B417</t>
        </is>
      </c>
      <c r="B279" s="2" t="inlineStr">
        <is>
          <t>Recipients of a Federal Pell Grant</t>
        </is>
      </c>
      <c r="C279" t="n">
        <v>131</v>
      </c>
      <c r="D279" t="inlineStr">
        <is>
          <t>Enrollment And Persistence</t>
        </is>
      </c>
      <c r="E279" t="inlineStr">
        <is>
          <t>Graduation Rates</t>
        </is>
      </c>
      <c r="F279" t="inlineStr">
        <is>
          <t>Four Year</t>
        </is>
      </c>
      <c r="G279" t="inlineStr">
        <is>
          <t>Completers Less Than Five</t>
        </is>
      </c>
      <c r="H279" t="inlineStr">
        <is>
          <t>Current Cohort</t>
        </is>
      </c>
      <c r="I279" t="inlineStr">
        <is>
          <t>All</t>
        </is>
      </c>
      <c r="J279" t="inlineStr">
        <is>
          <t>All</t>
        </is>
      </c>
      <c r="K279" t="inlineStr">
        <is>
          <t>All</t>
        </is>
      </c>
      <c r="L279" t="inlineStr">
        <is>
          <t>Number</t>
        </is>
      </c>
    </row>
    <row r="280" ht="30" customHeight="1" s="44">
      <c r="A280" t="inlineStr">
        <is>
          <t>B418</t>
        </is>
      </c>
      <c r="B280" s="2" t="inlineStr">
        <is>
          <t>Recipients of a Subsidized Stafford Loan who did not receive a Pell Grant</t>
        </is>
      </c>
      <c r="C280" t="n">
        <v>147</v>
      </c>
      <c r="D280" t="inlineStr">
        <is>
          <t>Enrollment And Persistence</t>
        </is>
      </c>
      <c r="E280" t="inlineStr">
        <is>
          <t>Graduation Rates</t>
        </is>
      </c>
      <c r="F280" t="inlineStr">
        <is>
          <t>Four Year</t>
        </is>
      </c>
      <c r="G280" t="inlineStr">
        <is>
          <t>Completers Less Than Five</t>
        </is>
      </c>
      <c r="H280" t="inlineStr">
        <is>
          <t>Current Cohort</t>
        </is>
      </c>
      <c r="I280" t="inlineStr">
        <is>
          <t>All</t>
        </is>
      </c>
      <c r="J280" t="inlineStr">
        <is>
          <t>All</t>
        </is>
      </c>
      <c r="K280" t="inlineStr">
        <is>
          <t>All</t>
        </is>
      </c>
      <c r="L280" t="inlineStr">
        <is>
          <t>Number</t>
        </is>
      </c>
    </row>
    <row r="281" ht="30" customHeight="1" s="44">
      <c r="A281" t="inlineStr">
        <is>
          <t>B419</t>
        </is>
      </c>
      <c r="B281" s="2" t="inlineStr">
        <is>
          <t>Students who did not receive either a Pell Grant or a subsidized Stafford Loan</t>
        </is>
      </c>
      <c r="C281" t="n">
        <v>597</v>
      </c>
      <c r="D281" t="inlineStr">
        <is>
          <t>Enrollment And Persistence</t>
        </is>
      </c>
      <c r="E281" t="inlineStr">
        <is>
          <t>Graduation Rates</t>
        </is>
      </c>
      <c r="F281" t="inlineStr">
        <is>
          <t>Four Year</t>
        </is>
      </c>
      <c r="G281" t="inlineStr">
        <is>
          <t>Completers Less Than Five</t>
        </is>
      </c>
      <c r="H281" t="inlineStr">
        <is>
          <t>Current Cohort</t>
        </is>
      </c>
      <c r="I281" t="inlineStr">
        <is>
          <t>All</t>
        </is>
      </c>
      <c r="J281" t="inlineStr">
        <is>
          <t>All</t>
        </is>
      </c>
      <c r="K281" t="inlineStr">
        <is>
          <t>All</t>
        </is>
      </c>
      <c r="L281" t="inlineStr">
        <is>
          <t>Number</t>
        </is>
      </c>
    </row>
    <row r="282" ht="18" customHeight="1" s="44">
      <c r="A282" t="inlineStr">
        <is>
          <t>B420</t>
        </is>
      </c>
      <c r="B282" s="2" t="inlineStr">
        <is>
          <t xml:space="preserve">Total </t>
        </is>
      </c>
      <c r="C282">
        <f>SUM(C279:C281)</f>
        <v/>
      </c>
      <c r="D282" t="inlineStr">
        <is>
          <t>Enrollment And Persistence</t>
        </is>
      </c>
      <c r="E282" t="inlineStr">
        <is>
          <t>Graduation Rates</t>
        </is>
      </c>
      <c r="F282" t="inlineStr">
        <is>
          <t>Four Year</t>
        </is>
      </c>
      <c r="G282" t="inlineStr">
        <is>
          <t>Completers Less Than Five</t>
        </is>
      </c>
      <c r="H282" t="inlineStr">
        <is>
          <t>Current Cohort</t>
        </is>
      </c>
      <c r="I282" t="inlineStr">
        <is>
          <t>All</t>
        </is>
      </c>
      <c r="J282" t="inlineStr">
        <is>
          <t>All</t>
        </is>
      </c>
      <c r="K282" t="inlineStr">
        <is>
          <t>All</t>
        </is>
      </c>
      <c r="L282" t="inlineStr">
        <is>
          <t>Number</t>
        </is>
      </c>
    </row>
    <row r="283"/>
    <row r="284" ht="58.5" customHeight="1" s="44"/>
    <row r="285" ht="18" customHeight="1" s="44">
      <c r="A285" t="inlineStr">
        <is>
          <t>B421</t>
        </is>
      </c>
      <c r="B285" s="2" t="inlineStr">
        <is>
          <t>Recipients of a Federal Pell Grant</t>
        </is>
      </c>
      <c r="C285" t="n">
        <v>27</v>
      </c>
      <c r="D285" t="inlineStr">
        <is>
          <t>Enrollment And Persistence</t>
        </is>
      </c>
      <c r="E285" t="inlineStr">
        <is>
          <t>Graduation Rates</t>
        </is>
      </c>
      <c r="F285" t="inlineStr">
        <is>
          <t>Four Year</t>
        </is>
      </c>
      <c r="G285" t="inlineStr">
        <is>
          <t>Completers Less Than Six</t>
        </is>
      </c>
      <c r="H285" t="inlineStr">
        <is>
          <t>Current Cohort</t>
        </is>
      </c>
      <c r="I285" t="inlineStr">
        <is>
          <t>All</t>
        </is>
      </c>
      <c r="J285" t="inlineStr">
        <is>
          <t>All</t>
        </is>
      </c>
      <c r="K285" t="inlineStr">
        <is>
          <t>All</t>
        </is>
      </c>
      <c r="L285" t="inlineStr">
        <is>
          <t>Number</t>
        </is>
      </c>
    </row>
    <row r="286" ht="30" customHeight="1" s="44">
      <c r="A286" t="inlineStr">
        <is>
          <t>B422</t>
        </is>
      </c>
      <c r="B286" s="2" t="inlineStr">
        <is>
          <t>Recipients of a Subsidized Stafford Loan who did not receive a Pell Grant</t>
        </is>
      </c>
      <c r="C286" t="n">
        <v>12</v>
      </c>
      <c r="D286" t="inlineStr">
        <is>
          <t>Enrollment And Persistence</t>
        </is>
      </c>
      <c r="E286" t="inlineStr">
        <is>
          <t>Graduation Rates</t>
        </is>
      </c>
      <c r="F286" t="inlineStr">
        <is>
          <t>Four Year</t>
        </is>
      </c>
      <c r="G286" t="inlineStr">
        <is>
          <t>Completers Less Than Six</t>
        </is>
      </c>
      <c r="H286" t="inlineStr">
        <is>
          <t>Current Cohort</t>
        </is>
      </c>
      <c r="I286" t="inlineStr">
        <is>
          <t>All</t>
        </is>
      </c>
      <c r="J286" t="inlineStr">
        <is>
          <t>All</t>
        </is>
      </c>
      <c r="K286" t="inlineStr">
        <is>
          <t>All</t>
        </is>
      </c>
      <c r="L286" t="inlineStr">
        <is>
          <t>Number</t>
        </is>
      </c>
    </row>
    <row r="287" ht="30" customHeight="1" s="44">
      <c r="A287" t="inlineStr">
        <is>
          <t>B423</t>
        </is>
      </c>
      <c r="B287" s="2" t="inlineStr">
        <is>
          <t>Students who did not receive either a Pell Grant or a subsidized Stafford Loan</t>
        </is>
      </c>
      <c r="C287" t="n">
        <v>78</v>
      </c>
      <c r="D287" t="inlineStr">
        <is>
          <t>Enrollment And Persistence</t>
        </is>
      </c>
      <c r="E287" t="inlineStr">
        <is>
          <t>Graduation Rates</t>
        </is>
      </c>
      <c r="F287" t="inlineStr">
        <is>
          <t>Four Year</t>
        </is>
      </c>
      <c r="G287" t="inlineStr">
        <is>
          <t>Completers Less Than Six</t>
        </is>
      </c>
      <c r="H287" t="inlineStr">
        <is>
          <t>Current Cohort</t>
        </is>
      </c>
      <c r="I287" t="inlineStr">
        <is>
          <t>All</t>
        </is>
      </c>
      <c r="J287" t="inlineStr">
        <is>
          <t>All</t>
        </is>
      </c>
      <c r="K287" t="inlineStr">
        <is>
          <t>All</t>
        </is>
      </c>
      <c r="L287" t="inlineStr">
        <is>
          <t>Number</t>
        </is>
      </c>
    </row>
    <row r="288" ht="18" customHeight="1" s="44">
      <c r="A288" t="inlineStr">
        <is>
          <t>B424</t>
        </is>
      </c>
      <c r="B288" s="2" t="inlineStr">
        <is>
          <t xml:space="preserve">Total </t>
        </is>
      </c>
      <c r="C288">
        <f>SUM(C285:C287)</f>
        <v/>
      </c>
      <c r="D288" t="inlineStr">
        <is>
          <t>Enrollment And Persistence</t>
        </is>
      </c>
      <c r="E288" t="inlineStr">
        <is>
          <t>Graduation Rates</t>
        </is>
      </c>
      <c r="F288" t="inlineStr">
        <is>
          <t>Four Year</t>
        </is>
      </c>
      <c r="G288" t="inlineStr">
        <is>
          <t>Completers Less Than Six</t>
        </is>
      </c>
      <c r="H288" t="inlineStr">
        <is>
          <t>Current Cohort</t>
        </is>
      </c>
      <c r="I288" t="inlineStr">
        <is>
          <t>All</t>
        </is>
      </c>
      <c r="J288" t="inlineStr">
        <is>
          <t>All</t>
        </is>
      </c>
      <c r="K288" t="inlineStr">
        <is>
          <t>All</t>
        </is>
      </c>
      <c r="L288" t="inlineStr">
        <is>
          <t>Number</t>
        </is>
      </c>
    </row>
    <row r="289"/>
    <row r="290" ht="48.95" customHeight="1" s="44"/>
    <row r="291" ht="18" customHeight="1" s="44">
      <c r="A291" t="inlineStr">
        <is>
          <t>B425</t>
        </is>
      </c>
      <c r="B291" s="2" t="inlineStr">
        <is>
          <t>Recipients of a Federal Pell Grant</t>
        </is>
      </c>
      <c r="C291">
        <f>SUM(C285,C279,C273)</f>
        <v/>
      </c>
      <c r="D291" t="inlineStr">
        <is>
          <t>Enrollment And Persistence</t>
        </is>
      </c>
      <c r="E291" t="inlineStr">
        <is>
          <t>Graduation Rates</t>
        </is>
      </c>
      <c r="F291" t="inlineStr">
        <is>
          <t>Four Year</t>
        </is>
      </c>
      <c r="G291" t="inlineStr">
        <is>
          <t>Completers Total</t>
        </is>
      </c>
      <c r="H291" t="inlineStr">
        <is>
          <t>Current Cohort</t>
        </is>
      </c>
      <c r="I291" t="inlineStr">
        <is>
          <t>All</t>
        </is>
      </c>
      <c r="J291" t="inlineStr">
        <is>
          <t>All</t>
        </is>
      </c>
      <c r="K291" t="inlineStr">
        <is>
          <t>All</t>
        </is>
      </c>
      <c r="L291" t="inlineStr">
        <is>
          <t>Number</t>
        </is>
      </c>
    </row>
    <row r="292" ht="30" customHeight="1" s="44">
      <c r="A292" t="inlineStr">
        <is>
          <t>B426</t>
        </is>
      </c>
      <c r="B292" s="2" t="inlineStr">
        <is>
          <t>Recipients of a Subsidized Stafford Loan who did not receive a Pell Grant</t>
        </is>
      </c>
      <c r="C292">
        <f>SUM(C286,C280,C274)</f>
        <v/>
      </c>
      <c r="D292" t="inlineStr">
        <is>
          <t>Enrollment And Persistence</t>
        </is>
      </c>
      <c r="E292" t="inlineStr">
        <is>
          <t>Graduation Rates</t>
        </is>
      </c>
      <c r="F292" t="inlineStr">
        <is>
          <t>Four Year</t>
        </is>
      </c>
      <c r="G292" t="inlineStr">
        <is>
          <t>Completers Total</t>
        </is>
      </c>
      <c r="H292" t="inlineStr">
        <is>
          <t>Current Cohort</t>
        </is>
      </c>
      <c r="I292" t="inlineStr">
        <is>
          <t>All</t>
        </is>
      </c>
      <c r="J292" t="inlineStr">
        <is>
          <t>All</t>
        </is>
      </c>
      <c r="K292" t="inlineStr">
        <is>
          <t>All</t>
        </is>
      </c>
      <c r="L292" t="inlineStr">
        <is>
          <t>Number</t>
        </is>
      </c>
    </row>
    <row r="293" ht="30" customHeight="1" s="44">
      <c r="A293" t="inlineStr">
        <is>
          <t>B427</t>
        </is>
      </c>
      <c r="B293" s="2" t="inlineStr">
        <is>
          <t>Students who did not receive either a Pell Grant or a subsidized Stafford Loan</t>
        </is>
      </c>
      <c r="C293">
        <f>SUM(C287,C281,C275)</f>
        <v/>
      </c>
      <c r="D293" t="inlineStr">
        <is>
          <t>Enrollment And Persistence</t>
        </is>
      </c>
      <c r="E293" t="inlineStr">
        <is>
          <t>Graduation Rates</t>
        </is>
      </c>
      <c r="F293" t="inlineStr">
        <is>
          <t>Four Year</t>
        </is>
      </c>
      <c r="G293" t="inlineStr">
        <is>
          <t>Completers Total</t>
        </is>
      </c>
      <c r="H293" t="inlineStr">
        <is>
          <t>Current Cohort</t>
        </is>
      </c>
      <c r="I293" t="inlineStr">
        <is>
          <t>All</t>
        </is>
      </c>
      <c r="J293" t="inlineStr">
        <is>
          <t>All</t>
        </is>
      </c>
      <c r="K293" t="inlineStr">
        <is>
          <t>All</t>
        </is>
      </c>
      <c r="L293" t="inlineStr">
        <is>
          <t>Number</t>
        </is>
      </c>
    </row>
    <row r="294" ht="18" customHeight="1" s="44">
      <c r="A294" t="inlineStr">
        <is>
          <t>B428</t>
        </is>
      </c>
      <c r="B294" s="2" t="inlineStr">
        <is>
          <t xml:space="preserve">Total </t>
        </is>
      </c>
      <c r="C294">
        <f>SUM(C291:C293)</f>
        <v/>
      </c>
      <c r="D294" t="inlineStr">
        <is>
          <t>Enrollment And Persistence</t>
        </is>
      </c>
      <c r="E294" t="inlineStr">
        <is>
          <t>Graduation Rates</t>
        </is>
      </c>
      <c r="F294" t="inlineStr">
        <is>
          <t>Four Year</t>
        </is>
      </c>
      <c r="G294" t="inlineStr">
        <is>
          <t>Completers Total</t>
        </is>
      </c>
      <c r="H294" t="inlineStr">
        <is>
          <t>Current Cohort</t>
        </is>
      </c>
      <c r="I294" t="inlineStr">
        <is>
          <t>All</t>
        </is>
      </c>
      <c r="J294" t="inlineStr">
        <is>
          <t>All</t>
        </is>
      </c>
      <c r="K294" t="inlineStr">
        <is>
          <t>All</t>
        </is>
      </c>
      <c r="L294" t="inlineStr">
        <is>
          <t>Number</t>
        </is>
      </c>
    </row>
    <row r="295"/>
    <row r="296" ht="48.95" customHeight="1" s="44"/>
    <row r="297" ht="18" customHeight="1" s="44">
      <c r="A297" t="inlineStr">
        <is>
          <t>B429</t>
        </is>
      </c>
      <c r="B297" s="2" t="inlineStr">
        <is>
          <t>Recipients of a Federal Pell Grant</t>
        </is>
      </c>
      <c r="C297" s="42">
        <f>C291/C267</f>
        <v/>
      </c>
      <c r="D297" t="inlineStr">
        <is>
          <t>Enrollment And Persistence</t>
        </is>
      </c>
      <c r="E297" t="inlineStr">
        <is>
          <t>Graduation Rates</t>
        </is>
      </c>
      <c r="F297" t="inlineStr">
        <is>
          <t>Four Year</t>
        </is>
      </c>
      <c r="G297" t="inlineStr">
        <is>
          <t>Six Year Grad Rate</t>
        </is>
      </c>
      <c r="H297" t="inlineStr">
        <is>
          <t>Current Cohort</t>
        </is>
      </c>
      <c r="I297" t="inlineStr">
        <is>
          <t>All</t>
        </is>
      </c>
      <c r="J297" t="inlineStr">
        <is>
          <t>All</t>
        </is>
      </c>
      <c r="K297" t="inlineStr">
        <is>
          <t>All</t>
        </is>
      </c>
      <c r="L297" t="inlineStr">
        <is>
          <t>Whole Number or Round to Nearest Tenths</t>
        </is>
      </c>
    </row>
    <row r="298" ht="30" customHeight="1" s="44">
      <c r="A298" t="inlineStr">
        <is>
          <t>B430</t>
        </is>
      </c>
      <c r="B298" s="2" t="inlineStr">
        <is>
          <t>Recipients of a Subsidized Stafford Loan who did not receive a Pell Grant</t>
        </is>
      </c>
      <c r="C298" s="42">
        <f>C292/C268</f>
        <v/>
      </c>
      <c r="D298" t="inlineStr">
        <is>
          <t>Enrollment And Persistence</t>
        </is>
      </c>
      <c r="E298" t="inlineStr">
        <is>
          <t>Graduation Rates</t>
        </is>
      </c>
      <c r="F298" t="inlineStr">
        <is>
          <t>Four Year</t>
        </is>
      </c>
      <c r="G298" t="inlineStr">
        <is>
          <t>Six Year Grad Rate</t>
        </is>
      </c>
      <c r="H298" t="inlineStr">
        <is>
          <t>Current Cohort</t>
        </is>
      </c>
      <c r="I298" t="inlineStr">
        <is>
          <t>All</t>
        </is>
      </c>
      <c r="J298" t="inlineStr">
        <is>
          <t>All</t>
        </is>
      </c>
      <c r="K298" t="inlineStr">
        <is>
          <t>All</t>
        </is>
      </c>
      <c r="L298" t="inlineStr">
        <is>
          <t>Whole Number or Round to Nearest Tenths</t>
        </is>
      </c>
    </row>
    <row r="299" ht="30" customHeight="1" s="44">
      <c r="A299" t="inlineStr">
        <is>
          <t>B431</t>
        </is>
      </c>
      <c r="B299" s="2" t="inlineStr">
        <is>
          <t>Students who did not receive either a Pell Grant or a subsidized Stafford Loan</t>
        </is>
      </c>
      <c r="C299" s="42">
        <f>C293/C269</f>
        <v/>
      </c>
      <c r="D299" t="inlineStr">
        <is>
          <t>Enrollment And Persistence</t>
        </is>
      </c>
      <c r="E299" t="inlineStr">
        <is>
          <t>Graduation Rates</t>
        </is>
      </c>
      <c r="F299" t="inlineStr">
        <is>
          <t>Four Year</t>
        </is>
      </c>
      <c r="G299" t="inlineStr">
        <is>
          <t>Six Year Grad Rate</t>
        </is>
      </c>
      <c r="H299" t="inlineStr">
        <is>
          <t>Current Cohort</t>
        </is>
      </c>
      <c r="I299" t="inlineStr">
        <is>
          <t>All</t>
        </is>
      </c>
      <c r="J299" t="inlineStr">
        <is>
          <t>All</t>
        </is>
      </c>
      <c r="K299" t="inlineStr">
        <is>
          <t>All</t>
        </is>
      </c>
      <c r="L299" t="inlineStr">
        <is>
          <t>Whole Number or Round to Nearest Tenths</t>
        </is>
      </c>
    </row>
    <row r="300" ht="18" customHeight="1" s="44">
      <c r="A300" t="inlineStr">
        <is>
          <t>B432</t>
        </is>
      </c>
      <c r="B300" s="2" t="inlineStr">
        <is>
          <t xml:space="preserve">Total </t>
        </is>
      </c>
      <c r="C300" s="42">
        <f>C294/C270</f>
        <v/>
      </c>
      <c r="D300" t="inlineStr">
        <is>
          <t>Enrollment And Persistence</t>
        </is>
      </c>
      <c r="E300" t="inlineStr">
        <is>
          <t>Graduation Rates</t>
        </is>
      </c>
      <c r="F300" t="inlineStr">
        <is>
          <t>Four Year</t>
        </is>
      </c>
      <c r="G300" t="inlineStr">
        <is>
          <t>Six Year Grad Rate</t>
        </is>
      </c>
      <c r="H300" t="inlineStr">
        <is>
          <t>Current Cohort</t>
        </is>
      </c>
      <c r="I300" t="inlineStr">
        <is>
          <t>All</t>
        </is>
      </c>
      <c r="J300" t="inlineStr">
        <is>
          <t>All</t>
        </is>
      </c>
      <c r="K300" t="inlineStr">
        <is>
          <t>All</t>
        </is>
      </c>
      <c r="L300" t="inlineStr">
        <is>
          <t>Whole Number or Round to Nearest Tenths</t>
        </is>
      </c>
    </row>
    <row r="301"/>
    <row r="302"/>
    <row r="303"/>
    <row r="304"/>
    <row r="305"/>
    <row r="306"/>
    <row r="307" ht="42" customHeight="1" s="44"/>
    <row r="308" ht="18" customHeight="1" s="44">
      <c r="A308" t="inlineStr">
        <is>
          <t>B501</t>
        </is>
      </c>
      <c r="B308" s="2" t="inlineStr">
        <is>
          <t>Recipients of a Federal Pell Grant</t>
        </is>
      </c>
      <c r="C308" t="n">
        <v>946</v>
      </c>
      <c r="D308" t="inlineStr">
        <is>
          <t>Enrollment And Persistence</t>
        </is>
      </c>
      <c r="E308" t="inlineStr">
        <is>
          <t>Graduation Rates</t>
        </is>
      </c>
      <c r="F308" t="inlineStr">
        <is>
          <t>Four Year</t>
        </is>
      </c>
      <c r="G308" t="inlineStr">
        <is>
          <t>Initial Cohort</t>
        </is>
      </c>
      <c r="H308" t="inlineStr">
        <is>
          <t>Previous Cohort</t>
        </is>
      </c>
      <c r="I308" t="inlineStr">
        <is>
          <t>All</t>
        </is>
      </c>
      <c r="J308" t="inlineStr">
        <is>
          <t>All</t>
        </is>
      </c>
      <c r="K308" t="inlineStr">
        <is>
          <t>All</t>
        </is>
      </c>
      <c r="L308" t="inlineStr">
        <is>
          <t>Number</t>
        </is>
      </c>
    </row>
    <row r="309" ht="30" customHeight="1" s="44">
      <c r="A309" t="inlineStr">
        <is>
          <t>B502</t>
        </is>
      </c>
      <c r="B309" s="2" t="inlineStr">
        <is>
          <t>Recipients of a Subsidized Stafford Loan who did not receive a Pell Grant</t>
        </is>
      </c>
      <c r="C309" t="n">
        <v>1117</v>
      </c>
      <c r="D309" t="inlineStr">
        <is>
          <t>Enrollment And Persistence</t>
        </is>
      </c>
      <c r="E309" t="inlineStr">
        <is>
          <t>Graduation Rates</t>
        </is>
      </c>
      <c r="F309" t="inlineStr">
        <is>
          <t>Four Year</t>
        </is>
      </c>
      <c r="G309" t="inlineStr">
        <is>
          <t>Initial Cohort</t>
        </is>
      </c>
      <c r="H309" t="inlineStr">
        <is>
          <t>Previous Cohort</t>
        </is>
      </c>
      <c r="I309" t="inlineStr">
        <is>
          <t>All</t>
        </is>
      </c>
      <c r="J309" t="inlineStr">
        <is>
          <t>All</t>
        </is>
      </c>
      <c r="K309" t="inlineStr">
        <is>
          <t>All</t>
        </is>
      </c>
      <c r="L309" t="inlineStr">
        <is>
          <t>Number</t>
        </is>
      </c>
    </row>
    <row r="310" ht="30" customHeight="1" s="44">
      <c r="A310" t="inlineStr">
        <is>
          <t>B503</t>
        </is>
      </c>
      <c r="B310" s="2" t="inlineStr">
        <is>
          <t>Students who did not receive either a Pell Grant or a subsidized Stafford Loan</t>
        </is>
      </c>
      <c r="C310" t="n">
        <v>4547</v>
      </c>
      <c r="D310" t="inlineStr">
        <is>
          <t>Enrollment And Persistence</t>
        </is>
      </c>
      <c r="E310" t="inlineStr">
        <is>
          <t>Graduation Rates</t>
        </is>
      </c>
      <c r="F310" t="inlineStr">
        <is>
          <t>Four Year</t>
        </is>
      </c>
      <c r="G310" t="inlineStr">
        <is>
          <t>Initial Cohort</t>
        </is>
      </c>
      <c r="H310" t="inlineStr">
        <is>
          <t>Previous Cohort</t>
        </is>
      </c>
      <c r="I310" t="inlineStr">
        <is>
          <t>All</t>
        </is>
      </c>
      <c r="J310" t="inlineStr">
        <is>
          <t>All</t>
        </is>
      </c>
      <c r="K310" t="inlineStr">
        <is>
          <t>All</t>
        </is>
      </c>
      <c r="L310" t="inlineStr">
        <is>
          <t>Number</t>
        </is>
      </c>
    </row>
    <row r="311" ht="18" customHeight="1" s="44">
      <c r="A311" t="inlineStr">
        <is>
          <t>B504</t>
        </is>
      </c>
      <c r="B311" s="2" t="inlineStr">
        <is>
          <t xml:space="preserve">Total </t>
        </is>
      </c>
      <c r="C311">
        <f>SUM(C308:C310)</f>
        <v/>
      </c>
      <c r="D311" t="inlineStr">
        <is>
          <t>Enrollment And Persistence</t>
        </is>
      </c>
      <c r="E311" t="inlineStr">
        <is>
          <t>Graduation Rates</t>
        </is>
      </c>
      <c r="F311" t="inlineStr">
        <is>
          <t>Four Year</t>
        </is>
      </c>
      <c r="G311" t="inlineStr">
        <is>
          <t>Initial Cohort</t>
        </is>
      </c>
      <c r="H311" t="inlineStr">
        <is>
          <t>Previous Cohort</t>
        </is>
      </c>
      <c r="I311" t="inlineStr">
        <is>
          <t>All</t>
        </is>
      </c>
      <c r="J311" t="inlineStr">
        <is>
          <t>All</t>
        </is>
      </c>
      <c r="K311" t="inlineStr">
        <is>
          <t>All</t>
        </is>
      </c>
      <c r="L311" t="inlineStr">
        <is>
          <t>Number</t>
        </is>
      </c>
    </row>
    <row r="312"/>
    <row r="313" ht="117.95" customHeight="1" s="44"/>
    <row r="314" ht="18" customHeight="1" s="44">
      <c r="A314" t="inlineStr">
        <is>
          <t>B505</t>
        </is>
      </c>
      <c r="B314" s="2" t="inlineStr">
        <is>
          <t>Recipients of a Federal Pell Grant</t>
        </is>
      </c>
      <c r="C314" t="n">
        <v>0</v>
      </c>
      <c r="D314" t="inlineStr">
        <is>
          <t>Enrollment And Persistence</t>
        </is>
      </c>
      <c r="E314" t="inlineStr">
        <is>
          <t>Graduation Rates</t>
        </is>
      </c>
      <c r="F314" t="inlineStr">
        <is>
          <t>Four Year</t>
        </is>
      </c>
      <c r="G314" t="inlineStr">
        <is>
          <t>Did Not Persist</t>
        </is>
      </c>
      <c r="H314" t="inlineStr">
        <is>
          <t>Previous Cohort</t>
        </is>
      </c>
      <c r="I314" t="inlineStr">
        <is>
          <t>All</t>
        </is>
      </c>
      <c r="J314" t="inlineStr">
        <is>
          <t>All</t>
        </is>
      </c>
      <c r="K314" t="inlineStr">
        <is>
          <t>All</t>
        </is>
      </c>
      <c r="L314" t="inlineStr">
        <is>
          <t>Number</t>
        </is>
      </c>
    </row>
    <row r="315" ht="30" customHeight="1" s="44">
      <c r="A315" t="inlineStr">
        <is>
          <t>B506</t>
        </is>
      </c>
      <c r="B315" s="2" t="inlineStr">
        <is>
          <t>Recipients of a Subsidized Stafford Loan who did not receive a Pell Grant</t>
        </is>
      </c>
      <c r="C315" t="n">
        <v>0</v>
      </c>
      <c r="D315" t="inlineStr">
        <is>
          <t>Enrollment And Persistence</t>
        </is>
      </c>
      <c r="E315" t="inlineStr">
        <is>
          <t>Graduation Rates</t>
        </is>
      </c>
      <c r="F315" t="inlineStr">
        <is>
          <t>Four Year</t>
        </is>
      </c>
      <c r="G315" t="inlineStr">
        <is>
          <t>Did Not Persist</t>
        </is>
      </c>
      <c r="H315" t="inlineStr">
        <is>
          <t>Previous Cohort</t>
        </is>
      </c>
      <c r="I315" t="inlineStr">
        <is>
          <t>All</t>
        </is>
      </c>
      <c r="J315" t="inlineStr">
        <is>
          <t>All</t>
        </is>
      </c>
      <c r="K315" t="inlineStr">
        <is>
          <t>All</t>
        </is>
      </c>
      <c r="L315" t="inlineStr">
        <is>
          <t>Number</t>
        </is>
      </c>
    </row>
    <row r="316" ht="30" customHeight="1" s="44">
      <c r="A316" t="inlineStr">
        <is>
          <t>B507</t>
        </is>
      </c>
      <c r="B316" s="2" t="inlineStr">
        <is>
          <t>Students who did not receive either a Pell Grant or a subsidized Stafford Loan</t>
        </is>
      </c>
      <c r="C316" t="n">
        <v>0</v>
      </c>
      <c r="D316" t="inlineStr">
        <is>
          <t>Enrollment And Persistence</t>
        </is>
      </c>
      <c r="E316" t="inlineStr">
        <is>
          <t>Graduation Rates</t>
        </is>
      </c>
      <c r="F316" t="inlineStr">
        <is>
          <t>Four Year</t>
        </is>
      </c>
      <c r="G316" t="inlineStr">
        <is>
          <t>Did Not Persist</t>
        </is>
      </c>
      <c r="H316" t="inlineStr">
        <is>
          <t>Previous Cohort</t>
        </is>
      </c>
      <c r="I316" t="inlineStr">
        <is>
          <t>All</t>
        </is>
      </c>
      <c r="J316" t="inlineStr">
        <is>
          <t>All</t>
        </is>
      </c>
      <c r="K316" t="inlineStr">
        <is>
          <t>All</t>
        </is>
      </c>
      <c r="L316" t="inlineStr">
        <is>
          <t>Number</t>
        </is>
      </c>
    </row>
    <row r="317" ht="18" customHeight="1" s="44">
      <c r="A317" t="inlineStr">
        <is>
          <t>B508</t>
        </is>
      </c>
      <c r="B317" s="2" t="inlineStr">
        <is>
          <t xml:space="preserve">Total </t>
        </is>
      </c>
      <c r="C317">
        <f>SUM(C314:C316)</f>
        <v/>
      </c>
      <c r="D317" t="inlineStr">
        <is>
          <t>Enrollment And Persistence</t>
        </is>
      </c>
      <c r="E317" t="inlineStr">
        <is>
          <t>Graduation Rates</t>
        </is>
      </c>
      <c r="F317" t="inlineStr">
        <is>
          <t>Four Year</t>
        </is>
      </c>
      <c r="G317" t="inlineStr">
        <is>
          <t>Did Not Persist</t>
        </is>
      </c>
      <c r="H317" t="inlineStr">
        <is>
          <t>Previous Cohort</t>
        </is>
      </c>
      <c r="I317" t="inlineStr">
        <is>
          <t>All</t>
        </is>
      </c>
      <c r="J317" t="inlineStr">
        <is>
          <t>All</t>
        </is>
      </c>
      <c r="K317" t="inlineStr">
        <is>
          <t>All</t>
        </is>
      </c>
      <c r="L317" t="inlineStr">
        <is>
          <t>Number</t>
        </is>
      </c>
    </row>
    <row r="318"/>
    <row r="319" ht="42" customHeight="1" s="44"/>
    <row r="320" ht="18" customHeight="1" s="44">
      <c r="A320" t="inlineStr">
        <is>
          <t>B509</t>
        </is>
      </c>
      <c r="B320" s="2" t="inlineStr">
        <is>
          <t>Recipients of a Federal Pell Grant</t>
        </is>
      </c>
      <c r="C320">
        <f>C308-C314</f>
        <v/>
      </c>
      <c r="D320" t="inlineStr">
        <is>
          <t>Enrollment And Persistence</t>
        </is>
      </c>
      <c r="E320" t="inlineStr">
        <is>
          <t>Graduation Rates</t>
        </is>
      </c>
      <c r="F320" t="inlineStr">
        <is>
          <t>Four Year</t>
        </is>
      </c>
      <c r="G320" t="inlineStr">
        <is>
          <t>Final Cohort</t>
        </is>
      </c>
      <c r="H320" t="inlineStr">
        <is>
          <t>Previous Cohort</t>
        </is>
      </c>
      <c r="I320" t="inlineStr">
        <is>
          <t>All</t>
        </is>
      </c>
      <c r="J320" t="inlineStr">
        <is>
          <t>All</t>
        </is>
      </c>
      <c r="K320" t="inlineStr">
        <is>
          <t>All</t>
        </is>
      </c>
      <c r="L320" t="inlineStr">
        <is>
          <t>Number</t>
        </is>
      </c>
    </row>
    <row r="321" ht="30" customHeight="1" s="44">
      <c r="A321" t="inlineStr">
        <is>
          <t>B510</t>
        </is>
      </c>
      <c r="B321" s="2" t="inlineStr">
        <is>
          <t>Recipients of a Subsidized Stafford Loan who did not receive a Pell Grant</t>
        </is>
      </c>
      <c r="C321">
        <f>C309-C315</f>
        <v/>
      </c>
      <c r="D321" t="inlineStr">
        <is>
          <t>Enrollment And Persistence</t>
        </is>
      </c>
      <c r="E321" t="inlineStr">
        <is>
          <t>Graduation Rates</t>
        </is>
      </c>
      <c r="F321" t="inlineStr">
        <is>
          <t>Four Year</t>
        </is>
      </c>
      <c r="G321" t="inlineStr">
        <is>
          <t>Final Cohort</t>
        </is>
      </c>
      <c r="H321" t="inlineStr">
        <is>
          <t>Previous Cohort</t>
        </is>
      </c>
      <c r="I321" t="inlineStr">
        <is>
          <t>All</t>
        </is>
      </c>
      <c r="J321" t="inlineStr">
        <is>
          <t>All</t>
        </is>
      </c>
      <c r="K321" t="inlineStr">
        <is>
          <t>All</t>
        </is>
      </c>
      <c r="L321" t="inlineStr">
        <is>
          <t>Number</t>
        </is>
      </c>
    </row>
    <row r="322" ht="30" customHeight="1" s="44">
      <c r="A322" t="inlineStr">
        <is>
          <t>B511</t>
        </is>
      </c>
      <c r="B322" s="2" t="inlineStr">
        <is>
          <t>Students who did not receive either a Pell Grant or a subsidized Stafford Loan</t>
        </is>
      </c>
      <c r="C322">
        <f>C310-C316</f>
        <v/>
      </c>
      <c r="D322" t="inlineStr">
        <is>
          <t>Enrollment And Persistence</t>
        </is>
      </c>
      <c r="E322" t="inlineStr">
        <is>
          <t>Graduation Rates</t>
        </is>
      </c>
      <c r="F322" t="inlineStr">
        <is>
          <t>Four Year</t>
        </is>
      </c>
      <c r="G322" t="inlineStr">
        <is>
          <t>Final Cohort</t>
        </is>
      </c>
      <c r="H322" t="inlineStr">
        <is>
          <t>Previous Cohort</t>
        </is>
      </c>
      <c r="I322" t="inlineStr">
        <is>
          <t>All</t>
        </is>
      </c>
      <c r="J322" t="inlineStr">
        <is>
          <t>All</t>
        </is>
      </c>
      <c r="K322" t="inlineStr">
        <is>
          <t>All</t>
        </is>
      </c>
      <c r="L322" t="inlineStr">
        <is>
          <t>Number</t>
        </is>
      </c>
    </row>
    <row r="323" ht="18" customHeight="1" s="44">
      <c r="A323" t="inlineStr">
        <is>
          <t>B512</t>
        </is>
      </c>
      <c r="B323" s="2" t="inlineStr">
        <is>
          <t xml:space="preserve">Total </t>
        </is>
      </c>
      <c r="C323">
        <f>SUM(C320:C322)</f>
        <v/>
      </c>
      <c r="D323" t="inlineStr">
        <is>
          <t>Enrollment And Persistence</t>
        </is>
      </c>
      <c r="E323" t="inlineStr">
        <is>
          <t>Graduation Rates</t>
        </is>
      </c>
      <c r="F323" t="inlineStr">
        <is>
          <t>Four Year</t>
        </is>
      </c>
      <c r="G323" t="inlineStr">
        <is>
          <t>Final Cohort</t>
        </is>
      </c>
      <c r="H323" t="inlineStr">
        <is>
          <t>Previous Cohort</t>
        </is>
      </c>
      <c r="I323" t="inlineStr">
        <is>
          <t>All</t>
        </is>
      </c>
      <c r="J323" t="inlineStr">
        <is>
          <t>All</t>
        </is>
      </c>
      <c r="K323" t="inlineStr">
        <is>
          <t>All</t>
        </is>
      </c>
      <c r="L323" t="inlineStr">
        <is>
          <t>Number</t>
        </is>
      </c>
    </row>
    <row r="324"/>
    <row r="325" ht="42" customHeight="1" s="44"/>
    <row r="326" ht="18" customHeight="1" s="44">
      <c r="A326" t="inlineStr">
        <is>
          <t>B513</t>
        </is>
      </c>
      <c r="B326" s="2" t="inlineStr">
        <is>
          <t>Recipients of a Federal Pell Grant</t>
        </is>
      </c>
      <c r="C326" t="n">
        <v>587</v>
      </c>
      <c r="D326" t="inlineStr">
        <is>
          <t>Enrollment And Persistence</t>
        </is>
      </c>
      <c r="E326" t="inlineStr">
        <is>
          <t>Graduation Rates</t>
        </is>
      </c>
      <c r="F326" t="inlineStr">
        <is>
          <t>Four Year</t>
        </is>
      </c>
      <c r="G326" t="inlineStr">
        <is>
          <t>Completers Less Than Four</t>
        </is>
      </c>
      <c r="H326" t="inlineStr">
        <is>
          <t>Previous Cohort</t>
        </is>
      </c>
      <c r="I326" t="inlineStr">
        <is>
          <t>All</t>
        </is>
      </c>
      <c r="J326" t="inlineStr">
        <is>
          <t>All</t>
        </is>
      </c>
      <c r="K326" t="inlineStr">
        <is>
          <t>All</t>
        </is>
      </c>
      <c r="L326" t="inlineStr">
        <is>
          <t>Number</t>
        </is>
      </c>
    </row>
    <row r="327" ht="30" customHeight="1" s="44">
      <c r="A327" t="inlineStr">
        <is>
          <t>B514</t>
        </is>
      </c>
      <c r="B327" s="2" t="inlineStr">
        <is>
          <t>Recipients of a Subsidized Stafford Loan who did not receive a Pell Grant</t>
        </is>
      </c>
      <c r="C327" t="n">
        <v>785</v>
      </c>
      <c r="D327" t="inlineStr">
        <is>
          <t>Enrollment And Persistence</t>
        </is>
      </c>
      <c r="E327" t="inlineStr">
        <is>
          <t>Graduation Rates</t>
        </is>
      </c>
      <c r="F327" t="inlineStr">
        <is>
          <t>Four Year</t>
        </is>
      </c>
      <c r="G327" t="inlineStr">
        <is>
          <t>Completers Less Than Four</t>
        </is>
      </c>
      <c r="H327" t="inlineStr">
        <is>
          <t>Previous Cohort</t>
        </is>
      </c>
      <c r="I327" t="inlineStr">
        <is>
          <t>All</t>
        </is>
      </c>
      <c r="J327" t="inlineStr">
        <is>
          <t>All</t>
        </is>
      </c>
      <c r="K327" t="inlineStr">
        <is>
          <t>All</t>
        </is>
      </c>
      <c r="L327" t="inlineStr">
        <is>
          <t>Number</t>
        </is>
      </c>
    </row>
    <row r="328" ht="30" customHeight="1" s="44">
      <c r="A328" t="inlineStr">
        <is>
          <t>B515</t>
        </is>
      </c>
      <c r="B328" s="2" t="inlineStr">
        <is>
          <t>Students who did not receive either a Pell Grant or a subsidized Stafford Loan</t>
        </is>
      </c>
      <c r="C328" t="n">
        <v>3470</v>
      </c>
      <c r="D328" t="inlineStr">
        <is>
          <t>Enrollment And Persistence</t>
        </is>
      </c>
      <c r="E328" t="inlineStr">
        <is>
          <t>Graduation Rates</t>
        </is>
      </c>
      <c r="F328" t="inlineStr">
        <is>
          <t>Four Year</t>
        </is>
      </c>
      <c r="G328" t="inlineStr">
        <is>
          <t>Completers Less Than Four</t>
        </is>
      </c>
      <c r="H328" t="inlineStr">
        <is>
          <t>Previous Cohort</t>
        </is>
      </c>
      <c r="I328" t="inlineStr">
        <is>
          <t>All</t>
        </is>
      </c>
      <c r="J328" t="inlineStr">
        <is>
          <t>All</t>
        </is>
      </c>
      <c r="K328" t="inlineStr">
        <is>
          <t>All</t>
        </is>
      </c>
      <c r="L328" t="inlineStr">
        <is>
          <t>Number</t>
        </is>
      </c>
    </row>
    <row r="329" ht="18" customHeight="1" s="44">
      <c r="A329" t="inlineStr">
        <is>
          <t>B516</t>
        </is>
      </c>
      <c r="B329" s="2" t="inlineStr">
        <is>
          <t xml:space="preserve">Total </t>
        </is>
      </c>
      <c r="C329">
        <f>SUM(C326:C328)</f>
        <v/>
      </c>
      <c r="D329" t="inlineStr">
        <is>
          <t>Enrollment And Persistence</t>
        </is>
      </c>
      <c r="E329" t="inlineStr">
        <is>
          <t>Graduation Rates</t>
        </is>
      </c>
      <c r="F329" t="inlineStr">
        <is>
          <t>Four Year</t>
        </is>
      </c>
      <c r="G329" t="inlineStr">
        <is>
          <t>Completers Less Than Four</t>
        </is>
      </c>
      <c r="H329" t="inlineStr">
        <is>
          <t>Previous Cohort</t>
        </is>
      </c>
      <c r="I329" t="inlineStr">
        <is>
          <t>All</t>
        </is>
      </c>
      <c r="J329" t="inlineStr">
        <is>
          <t>All</t>
        </is>
      </c>
      <c r="K329" t="inlineStr">
        <is>
          <t>All</t>
        </is>
      </c>
      <c r="L329" t="inlineStr">
        <is>
          <t>Number</t>
        </is>
      </c>
    </row>
    <row r="330"/>
    <row r="331" ht="48.95" customHeight="1" s="44"/>
    <row r="332" ht="18" customHeight="1" s="44">
      <c r="A332" t="inlineStr">
        <is>
          <t>B517</t>
        </is>
      </c>
      <c r="B332" s="2" t="inlineStr">
        <is>
          <t>Recipients of a Federal Pell Grant</t>
        </is>
      </c>
      <c r="C332" t="n">
        <v>180</v>
      </c>
      <c r="D332" t="inlineStr">
        <is>
          <t>Enrollment And Persistence</t>
        </is>
      </c>
      <c r="E332" t="inlineStr">
        <is>
          <t>Graduation Rates</t>
        </is>
      </c>
      <c r="F332" t="inlineStr">
        <is>
          <t>Four Year</t>
        </is>
      </c>
      <c r="G332" t="inlineStr">
        <is>
          <t>Completers Less Than Five</t>
        </is>
      </c>
      <c r="H332" t="inlineStr">
        <is>
          <t>Previous Cohort</t>
        </is>
      </c>
      <c r="I332" t="inlineStr">
        <is>
          <t>All</t>
        </is>
      </c>
      <c r="J332" t="inlineStr">
        <is>
          <t>All</t>
        </is>
      </c>
      <c r="K332" t="inlineStr">
        <is>
          <t>All</t>
        </is>
      </c>
      <c r="L332" t="inlineStr">
        <is>
          <t>Number</t>
        </is>
      </c>
    </row>
    <row r="333" ht="30" customHeight="1" s="44">
      <c r="A333" t="inlineStr">
        <is>
          <t>B518</t>
        </is>
      </c>
      <c r="B333" s="2" t="inlineStr">
        <is>
          <t>Recipients of a Subsidized Stafford Loan who did not receive a Pell Grant</t>
        </is>
      </c>
      <c r="C333" t="n">
        <v>168</v>
      </c>
      <c r="D333" t="inlineStr">
        <is>
          <t>Enrollment And Persistence</t>
        </is>
      </c>
      <c r="E333" t="inlineStr">
        <is>
          <t>Graduation Rates</t>
        </is>
      </c>
      <c r="F333" t="inlineStr">
        <is>
          <t>Four Year</t>
        </is>
      </c>
      <c r="G333" t="inlineStr">
        <is>
          <t>Completers Less Than Five</t>
        </is>
      </c>
      <c r="H333" t="inlineStr">
        <is>
          <t>Previous Cohort</t>
        </is>
      </c>
      <c r="I333" t="inlineStr">
        <is>
          <t>All</t>
        </is>
      </c>
      <c r="J333" t="inlineStr">
        <is>
          <t>All</t>
        </is>
      </c>
      <c r="K333" t="inlineStr">
        <is>
          <t>All</t>
        </is>
      </c>
      <c r="L333" t="inlineStr">
        <is>
          <t>Number</t>
        </is>
      </c>
    </row>
    <row r="334" ht="30" customHeight="1" s="44">
      <c r="A334" t="inlineStr">
        <is>
          <t>B519</t>
        </is>
      </c>
      <c r="B334" s="2" t="inlineStr">
        <is>
          <t>Students who did not receive either a Pell Grant or a subsidized Stafford Loan</t>
        </is>
      </c>
      <c r="C334" t="n">
        <v>601</v>
      </c>
      <c r="D334" t="inlineStr">
        <is>
          <t>Enrollment And Persistence</t>
        </is>
      </c>
      <c r="E334" t="inlineStr">
        <is>
          <t>Graduation Rates</t>
        </is>
      </c>
      <c r="F334" t="inlineStr">
        <is>
          <t>Four Year</t>
        </is>
      </c>
      <c r="G334" t="inlineStr">
        <is>
          <t>Completers Less Than Five</t>
        </is>
      </c>
      <c r="H334" t="inlineStr">
        <is>
          <t>Previous Cohort</t>
        </is>
      </c>
      <c r="I334" t="inlineStr">
        <is>
          <t>All</t>
        </is>
      </c>
      <c r="J334" t="inlineStr">
        <is>
          <t>All</t>
        </is>
      </c>
      <c r="K334" t="inlineStr">
        <is>
          <t>All</t>
        </is>
      </c>
      <c r="L334" t="inlineStr">
        <is>
          <t>Number</t>
        </is>
      </c>
    </row>
    <row r="335" ht="18" customHeight="1" s="44">
      <c r="A335" t="inlineStr">
        <is>
          <t>B520</t>
        </is>
      </c>
      <c r="B335" s="2" t="inlineStr">
        <is>
          <t xml:space="preserve">Total </t>
        </is>
      </c>
      <c r="C335">
        <f>SUM(C332:C334)</f>
        <v/>
      </c>
      <c r="D335" t="inlineStr">
        <is>
          <t>Enrollment And Persistence</t>
        </is>
      </c>
      <c r="E335" t="inlineStr">
        <is>
          <t>Graduation Rates</t>
        </is>
      </c>
      <c r="F335" t="inlineStr">
        <is>
          <t>Four Year</t>
        </is>
      </c>
      <c r="G335" t="inlineStr">
        <is>
          <t>Completers Less Than Five</t>
        </is>
      </c>
      <c r="H335" t="inlineStr">
        <is>
          <t>Previous Cohort</t>
        </is>
      </c>
      <c r="I335" t="inlineStr">
        <is>
          <t>All</t>
        </is>
      </c>
      <c r="J335" t="inlineStr">
        <is>
          <t>All</t>
        </is>
      </c>
      <c r="K335" t="inlineStr">
        <is>
          <t>All</t>
        </is>
      </c>
      <c r="L335" t="inlineStr">
        <is>
          <t>Number</t>
        </is>
      </c>
    </row>
    <row r="336"/>
    <row r="337" ht="48.95" customHeight="1" s="44"/>
    <row r="338" ht="18" customHeight="1" s="44">
      <c r="A338" t="inlineStr">
        <is>
          <t>B521</t>
        </is>
      </c>
      <c r="B338" s="2" t="inlineStr">
        <is>
          <t>Recipients of a Federal Pell Grant</t>
        </is>
      </c>
      <c r="C338" t="n">
        <v>22</v>
      </c>
      <c r="D338" t="inlineStr">
        <is>
          <t>Enrollment And Persistence</t>
        </is>
      </c>
      <c r="E338" t="inlineStr">
        <is>
          <t>Graduation Rates</t>
        </is>
      </c>
      <c r="F338" t="inlineStr">
        <is>
          <t>Four Year</t>
        </is>
      </c>
      <c r="G338" t="inlineStr">
        <is>
          <t>Completers Less Than Six</t>
        </is>
      </c>
      <c r="H338" t="inlineStr">
        <is>
          <t>Previous Cohort</t>
        </is>
      </c>
      <c r="I338" t="inlineStr">
        <is>
          <t>All</t>
        </is>
      </c>
      <c r="J338" t="inlineStr">
        <is>
          <t>All</t>
        </is>
      </c>
      <c r="K338" t="inlineStr">
        <is>
          <t>All</t>
        </is>
      </c>
      <c r="L338" t="inlineStr">
        <is>
          <t>Number</t>
        </is>
      </c>
    </row>
    <row r="339" ht="30" customHeight="1" s="44">
      <c r="A339" t="inlineStr">
        <is>
          <t>B522</t>
        </is>
      </c>
      <c r="B339" s="2" t="inlineStr">
        <is>
          <t>Recipients of a Subsidized Stafford Loan who did not receive a Pell Grant</t>
        </is>
      </c>
      <c r="C339" t="n">
        <v>14</v>
      </c>
      <c r="D339" t="inlineStr">
        <is>
          <t>Enrollment And Persistence</t>
        </is>
      </c>
      <c r="E339" t="inlineStr">
        <is>
          <t>Graduation Rates</t>
        </is>
      </c>
      <c r="F339" t="inlineStr">
        <is>
          <t>Four Year</t>
        </is>
      </c>
      <c r="G339" t="inlineStr">
        <is>
          <t>Completers Less Than Six</t>
        </is>
      </c>
      <c r="H339" t="inlineStr">
        <is>
          <t>Previous Cohort</t>
        </is>
      </c>
      <c r="I339" t="inlineStr">
        <is>
          <t>All</t>
        </is>
      </c>
      <c r="J339" t="inlineStr">
        <is>
          <t>All</t>
        </is>
      </c>
      <c r="K339" t="inlineStr">
        <is>
          <t>All</t>
        </is>
      </c>
      <c r="L339" t="inlineStr">
        <is>
          <t>Number</t>
        </is>
      </c>
    </row>
    <row r="340" ht="30" customHeight="1" s="44">
      <c r="A340" t="inlineStr">
        <is>
          <t>B523</t>
        </is>
      </c>
      <c r="B340" s="2" t="inlineStr">
        <is>
          <t>Students who did not receive either a Pell Grant or a subsidized Stafford Loan</t>
        </is>
      </c>
      <c r="C340" t="n">
        <v>74</v>
      </c>
      <c r="D340" t="inlineStr">
        <is>
          <t>Enrollment And Persistence</t>
        </is>
      </c>
      <c r="E340" t="inlineStr">
        <is>
          <t>Graduation Rates</t>
        </is>
      </c>
      <c r="F340" t="inlineStr">
        <is>
          <t>Four Year</t>
        </is>
      </c>
      <c r="G340" t="inlineStr">
        <is>
          <t>Completers Less Than Six</t>
        </is>
      </c>
      <c r="H340" t="inlineStr">
        <is>
          <t>Previous Cohort</t>
        </is>
      </c>
      <c r="I340" t="inlineStr">
        <is>
          <t>All</t>
        </is>
      </c>
      <c r="J340" t="inlineStr">
        <is>
          <t>All</t>
        </is>
      </c>
      <c r="K340" t="inlineStr">
        <is>
          <t>All</t>
        </is>
      </c>
      <c r="L340" t="inlineStr">
        <is>
          <t>Number</t>
        </is>
      </c>
    </row>
    <row r="341" ht="18" customHeight="1" s="44">
      <c r="A341" t="inlineStr">
        <is>
          <t>B524</t>
        </is>
      </c>
      <c r="B341" s="2" t="inlineStr">
        <is>
          <t xml:space="preserve">Total </t>
        </is>
      </c>
      <c r="C341">
        <f>SUM(C338:C340)</f>
        <v/>
      </c>
      <c r="D341" t="inlineStr">
        <is>
          <t>Enrollment And Persistence</t>
        </is>
      </c>
      <c r="E341" t="inlineStr">
        <is>
          <t>Graduation Rates</t>
        </is>
      </c>
      <c r="F341" t="inlineStr">
        <is>
          <t>Four Year</t>
        </is>
      </c>
      <c r="G341" t="inlineStr">
        <is>
          <t>Completers Less Than Six</t>
        </is>
      </c>
      <c r="H341" t="inlineStr">
        <is>
          <t>Previous Cohort</t>
        </is>
      </c>
      <c r="I341" t="inlineStr">
        <is>
          <t>All</t>
        </is>
      </c>
      <c r="J341" t="inlineStr">
        <is>
          <t>All</t>
        </is>
      </c>
      <c r="K341" t="inlineStr">
        <is>
          <t>All</t>
        </is>
      </c>
      <c r="L341" t="inlineStr">
        <is>
          <t>Number</t>
        </is>
      </c>
    </row>
    <row r="342"/>
    <row r="343" ht="48.95" customHeight="1" s="44"/>
    <row r="344" ht="18" customHeight="1" s="44">
      <c r="A344" t="inlineStr">
        <is>
          <t>B525</t>
        </is>
      </c>
      <c r="B344" s="2" t="inlineStr">
        <is>
          <t>Recipients of a Federal Pell Grant</t>
        </is>
      </c>
      <c r="C344">
        <f>SUM(C338,C332,C326)</f>
        <v/>
      </c>
      <c r="D344" t="inlineStr">
        <is>
          <t>Enrollment And Persistence</t>
        </is>
      </c>
      <c r="E344" t="inlineStr">
        <is>
          <t>Graduation Rates</t>
        </is>
      </c>
      <c r="F344" t="inlineStr">
        <is>
          <t>Four Year</t>
        </is>
      </c>
      <c r="G344" t="inlineStr">
        <is>
          <t>Completers Total</t>
        </is>
      </c>
      <c r="H344" t="inlineStr">
        <is>
          <t>Previous Cohort</t>
        </is>
      </c>
      <c r="I344" t="inlineStr">
        <is>
          <t>All</t>
        </is>
      </c>
      <c r="J344" t="inlineStr">
        <is>
          <t>All</t>
        </is>
      </c>
      <c r="K344" t="inlineStr">
        <is>
          <t>All</t>
        </is>
      </c>
      <c r="L344" t="inlineStr">
        <is>
          <t>Number</t>
        </is>
      </c>
    </row>
    <row r="345" ht="30" customHeight="1" s="44">
      <c r="A345" t="inlineStr">
        <is>
          <t>B526</t>
        </is>
      </c>
      <c r="B345" s="2" t="inlineStr">
        <is>
          <t>Recipients of a Subsidized Stafford Loan who did not receive a Pell Grant</t>
        </is>
      </c>
      <c r="C345">
        <f>SUM(C339,C333,C327)</f>
        <v/>
      </c>
      <c r="D345" t="inlineStr">
        <is>
          <t>Enrollment And Persistence</t>
        </is>
      </c>
      <c r="E345" t="inlineStr">
        <is>
          <t>Graduation Rates</t>
        </is>
      </c>
      <c r="F345" t="inlineStr">
        <is>
          <t>Four Year</t>
        </is>
      </c>
      <c r="G345" t="inlineStr">
        <is>
          <t>Completers Total</t>
        </is>
      </c>
      <c r="H345" t="inlineStr">
        <is>
          <t>Previous Cohort</t>
        </is>
      </c>
      <c r="I345" t="inlineStr">
        <is>
          <t>All</t>
        </is>
      </c>
      <c r="J345" t="inlineStr">
        <is>
          <t>All</t>
        </is>
      </c>
      <c r="K345" t="inlineStr">
        <is>
          <t>All</t>
        </is>
      </c>
      <c r="L345" t="inlineStr">
        <is>
          <t>Number</t>
        </is>
      </c>
    </row>
    <row r="346" ht="30" customHeight="1" s="44">
      <c r="A346" t="inlineStr">
        <is>
          <t>B527</t>
        </is>
      </c>
      <c r="B346" s="2" t="inlineStr">
        <is>
          <t>Students who did not receive either a Pell Grant or a subsidized Stafford Loan</t>
        </is>
      </c>
      <c r="C346">
        <f>SUM(C340,C334,C328)</f>
        <v/>
      </c>
      <c r="D346" t="inlineStr">
        <is>
          <t>Enrollment And Persistence</t>
        </is>
      </c>
      <c r="E346" t="inlineStr">
        <is>
          <t>Graduation Rates</t>
        </is>
      </c>
      <c r="F346" t="inlineStr">
        <is>
          <t>Four Year</t>
        </is>
      </c>
      <c r="G346" t="inlineStr">
        <is>
          <t>Completers Total</t>
        </is>
      </c>
      <c r="H346" t="inlineStr">
        <is>
          <t>Previous Cohort</t>
        </is>
      </c>
      <c r="I346" t="inlineStr">
        <is>
          <t>All</t>
        </is>
      </c>
      <c r="J346" t="inlineStr">
        <is>
          <t>All</t>
        </is>
      </c>
      <c r="K346" t="inlineStr">
        <is>
          <t>All</t>
        </is>
      </c>
      <c r="L346" t="inlineStr">
        <is>
          <t>Number</t>
        </is>
      </c>
    </row>
    <row r="347" ht="18" customHeight="1" s="44">
      <c r="A347" t="inlineStr">
        <is>
          <t>B528</t>
        </is>
      </c>
      <c r="B347" s="2" t="inlineStr">
        <is>
          <t xml:space="preserve">Total </t>
        </is>
      </c>
      <c r="C347">
        <f>SUM(C344:C346)</f>
        <v/>
      </c>
      <c r="D347" t="inlineStr">
        <is>
          <t>Enrollment And Persistence</t>
        </is>
      </c>
      <c r="E347" t="inlineStr">
        <is>
          <t>Graduation Rates</t>
        </is>
      </c>
      <c r="F347" t="inlineStr">
        <is>
          <t>Four Year</t>
        </is>
      </c>
      <c r="G347" t="inlineStr">
        <is>
          <t>Completers Total</t>
        </is>
      </c>
      <c r="H347" t="inlineStr">
        <is>
          <t>Previous Cohort</t>
        </is>
      </c>
      <c r="I347" t="inlineStr">
        <is>
          <t>All</t>
        </is>
      </c>
      <c r="J347" t="inlineStr">
        <is>
          <t>All</t>
        </is>
      </c>
      <c r="K347" t="inlineStr">
        <is>
          <t>All</t>
        </is>
      </c>
      <c r="L347" t="inlineStr">
        <is>
          <t>Number</t>
        </is>
      </c>
    </row>
    <row r="348"/>
    <row r="349" ht="48.95" customHeight="1" s="44"/>
    <row r="350" ht="18" customHeight="1" s="44">
      <c r="A350" t="inlineStr">
        <is>
          <t>B529</t>
        </is>
      </c>
      <c r="B350" s="2" t="inlineStr">
        <is>
          <t>Recipients of a Federal Pell Grant</t>
        </is>
      </c>
      <c r="C350" s="42">
        <f>C344/C320</f>
        <v/>
      </c>
      <c r="D350" t="inlineStr">
        <is>
          <t>Enrollment And Persistence</t>
        </is>
      </c>
      <c r="E350" t="inlineStr">
        <is>
          <t>Graduation Rates</t>
        </is>
      </c>
      <c r="F350" t="inlineStr">
        <is>
          <t>Four Year</t>
        </is>
      </c>
      <c r="G350" t="inlineStr">
        <is>
          <t>Six Year Grad Rate</t>
        </is>
      </c>
      <c r="H350" t="inlineStr">
        <is>
          <t>Previous Cohort</t>
        </is>
      </c>
      <c r="I350" t="inlineStr">
        <is>
          <t>All</t>
        </is>
      </c>
      <c r="J350" t="inlineStr">
        <is>
          <t>All</t>
        </is>
      </c>
      <c r="K350" t="inlineStr">
        <is>
          <t>All</t>
        </is>
      </c>
      <c r="L350" t="inlineStr">
        <is>
          <t>Whole Number or Round to Nearest Tenths</t>
        </is>
      </c>
    </row>
    <row r="351" ht="30" customHeight="1" s="44">
      <c r="A351" t="inlineStr">
        <is>
          <t>B530</t>
        </is>
      </c>
      <c r="B351" s="2" t="inlineStr">
        <is>
          <t>Recipients of a Subsidized Stafford Loan who did not receive a Pell Grant</t>
        </is>
      </c>
      <c r="C351" s="42">
        <f>C345/C321</f>
        <v/>
      </c>
      <c r="D351" t="inlineStr">
        <is>
          <t>Enrollment And Persistence</t>
        </is>
      </c>
      <c r="E351" t="inlineStr">
        <is>
          <t>Graduation Rates</t>
        </is>
      </c>
      <c r="F351" t="inlineStr">
        <is>
          <t>Four Year</t>
        </is>
      </c>
      <c r="G351" t="inlineStr">
        <is>
          <t>Six Year Grad Rate</t>
        </is>
      </c>
      <c r="H351" t="inlineStr">
        <is>
          <t>Previous Cohort</t>
        </is>
      </c>
      <c r="I351" t="inlineStr">
        <is>
          <t>All</t>
        </is>
      </c>
      <c r="J351" t="inlineStr">
        <is>
          <t>All</t>
        </is>
      </c>
      <c r="K351" t="inlineStr">
        <is>
          <t>All</t>
        </is>
      </c>
      <c r="L351" t="inlineStr">
        <is>
          <t>Whole Number or Round to Nearest Tenths</t>
        </is>
      </c>
    </row>
    <row r="352" ht="30" customHeight="1" s="44">
      <c r="A352" t="inlineStr">
        <is>
          <t>B531</t>
        </is>
      </c>
      <c r="B352" s="2" t="inlineStr">
        <is>
          <t>Students who did not receive either a Pell Grant or a subsidized Stafford Loan</t>
        </is>
      </c>
      <c r="C352" s="42">
        <f>C346/C322</f>
        <v/>
      </c>
      <c r="D352" t="inlineStr">
        <is>
          <t>Enrollment And Persistence</t>
        </is>
      </c>
      <c r="E352" t="inlineStr">
        <is>
          <t>Graduation Rates</t>
        </is>
      </c>
      <c r="F352" t="inlineStr">
        <is>
          <t>Four Year</t>
        </is>
      </c>
      <c r="G352" t="inlineStr">
        <is>
          <t>Six Year Grad Rate</t>
        </is>
      </c>
      <c r="H352" t="inlineStr">
        <is>
          <t>Previous Cohort</t>
        </is>
      </c>
      <c r="I352" t="inlineStr">
        <is>
          <t>All</t>
        </is>
      </c>
      <c r="J352" t="inlineStr">
        <is>
          <t>All</t>
        </is>
      </c>
      <c r="K352" t="inlineStr">
        <is>
          <t>All</t>
        </is>
      </c>
      <c r="L352" t="inlineStr">
        <is>
          <t>Whole Number or Round to Nearest Tenths</t>
        </is>
      </c>
    </row>
    <row r="353" ht="18" customHeight="1" s="44">
      <c r="A353" t="inlineStr">
        <is>
          <t>B532</t>
        </is>
      </c>
      <c r="B353" s="2" t="inlineStr">
        <is>
          <t xml:space="preserve">Total </t>
        </is>
      </c>
      <c r="C353" s="42">
        <f>C347/C323</f>
        <v/>
      </c>
      <c r="D353" t="inlineStr">
        <is>
          <t>Enrollment And Persistence</t>
        </is>
      </c>
      <c r="E353" t="inlineStr">
        <is>
          <t>Graduation Rates</t>
        </is>
      </c>
      <c r="F353" t="inlineStr">
        <is>
          <t>Four Year</t>
        </is>
      </c>
      <c r="G353" t="inlineStr">
        <is>
          <t>Six Year Grad Rate</t>
        </is>
      </c>
      <c r="H353" t="inlineStr">
        <is>
          <t>Previous Cohort</t>
        </is>
      </c>
      <c r="I353" t="inlineStr">
        <is>
          <t>All</t>
        </is>
      </c>
      <c r="J353" t="inlineStr">
        <is>
          <t>All</t>
        </is>
      </c>
      <c r="K353" t="inlineStr">
        <is>
          <t>All</t>
        </is>
      </c>
      <c r="L353" t="inlineStr">
        <is>
          <t>Whole Number or Round to Nearest Tenths</t>
        </is>
      </c>
    </row>
    <row r="354"/>
    <row r="355"/>
    <row r="356"/>
    <row r="357"/>
    <row r="358"/>
    <row r="359"/>
    <row r="360"/>
    <row r="361"/>
    <row r="362"/>
    <row r="363" ht="18" customHeight="1" s="44">
      <c r="A363" t="inlineStr">
        <is>
          <t>B1201</t>
        </is>
      </c>
      <c r="B363" s="2" t="inlineStr">
        <is>
          <t>2021 Cohort</t>
        </is>
      </c>
      <c r="D363" t="inlineStr">
        <is>
          <t>Enrollment And Persistence</t>
        </is>
      </c>
      <c r="E363" t="inlineStr">
        <is>
          <t>Graduation Rates</t>
        </is>
      </c>
      <c r="F363" t="inlineStr">
        <is>
          <t>Two Year</t>
        </is>
      </c>
      <c r="G363" t="inlineStr">
        <is>
          <t>Initial Cohort</t>
        </is>
      </c>
      <c r="H363" t="inlineStr">
        <is>
          <t>Current Cohort</t>
        </is>
      </c>
      <c r="I363" t="inlineStr">
        <is>
          <t>All</t>
        </is>
      </c>
      <c r="J363" t="inlineStr">
        <is>
          <t>All</t>
        </is>
      </c>
      <c r="K363" t="inlineStr">
        <is>
          <t>All</t>
        </is>
      </c>
      <c r="L363" t="inlineStr">
        <is>
          <t>Number</t>
        </is>
      </c>
    </row>
    <row r="364" ht="18" customHeight="1" s="44">
      <c r="A364" t="inlineStr">
        <is>
          <t>B1202</t>
        </is>
      </c>
      <c r="B364" s="2" t="inlineStr">
        <is>
          <t>2020 Cohort</t>
        </is>
      </c>
      <c r="D364" t="inlineStr">
        <is>
          <t>Enrollment And Persistence</t>
        </is>
      </c>
      <c r="E364" t="inlineStr">
        <is>
          <t>Graduation Rates</t>
        </is>
      </c>
      <c r="F364" t="inlineStr">
        <is>
          <t>Two Year</t>
        </is>
      </c>
      <c r="G364" t="inlineStr">
        <is>
          <t>Initial Cohort</t>
        </is>
      </c>
      <c r="H364" t="inlineStr">
        <is>
          <t>Previous Year</t>
        </is>
      </c>
      <c r="I364" t="inlineStr">
        <is>
          <t>All</t>
        </is>
      </c>
      <c r="J364" t="inlineStr">
        <is>
          <t>All</t>
        </is>
      </c>
      <c r="K364" t="inlineStr">
        <is>
          <t>All</t>
        </is>
      </c>
      <c r="L364" t="inlineStr">
        <is>
          <t>Number</t>
        </is>
      </c>
    </row>
    <row r="365"/>
    <row r="366"/>
    <row r="367"/>
    <row r="368"/>
    <row r="369"/>
    <row r="370"/>
    <row r="371"/>
    <row r="372"/>
    <row r="373"/>
    <row r="374" ht="18" customHeight="1" s="44">
      <c r="A374" t="inlineStr">
        <is>
          <t>B1301</t>
        </is>
      </c>
      <c r="B374" s="2" t="inlineStr">
        <is>
          <t>2021 Cohort</t>
        </is>
      </c>
      <c r="D374" t="inlineStr">
        <is>
          <t>Enrollment And Persistence</t>
        </is>
      </c>
      <c r="E374" t="inlineStr">
        <is>
          <t>Graduation Rates</t>
        </is>
      </c>
      <c r="F374" t="inlineStr">
        <is>
          <t>Two Year</t>
        </is>
      </c>
      <c r="G374" t="inlineStr">
        <is>
          <t>Did Not Persist</t>
        </is>
      </c>
      <c r="H374" t="inlineStr">
        <is>
          <t>Current Cohort</t>
        </is>
      </c>
      <c r="I374" t="inlineStr">
        <is>
          <t>All</t>
        </is>
      </c>
      <c r="J374" t="inlineStr">
        <is>
          <t>All</t>
        </is>
      </c>
      <c r="K374" t="inlineStr">
        <is>
          <t>All</t>
        </is>
      </c>
      <c r="L374" t="inlineStr">
        <is>
          <t>Number</t>
        </is>
      </c>
    </row>
    <row r="375" ht="18" customHeight="1" s="44">
      <c r="A375" t="inlineStr">
        <is>
          <t>B1302</t>
        </is>
      </c>
      <c r="B375" s="2" t="inlineStr">
        <is>
          <t>2020 Cohort</t>
        </is>
      </c>
      <c r="D375" t="inlineStr">
        <is>
          <t>Enrollment And Persistence</t>
        </is>
      </c>
      <c r="E375" t="inlineStr">
        <is>
          <t>Graduation Rates</t>
        </is>
      </c>
      <c r="F375" t="inlineStr">
        <is>
          <t>Two Year</t>
        </is>
      </c>
      <c r="G375" t="inlineStr">
        <is>
          <t>Did Not Persist</t>
        </is>
      </c>
      <c r="H375" t="inlineStr">
        <is>
          <t>Previous Year</t>
        </is>
      </c>
      <c r="I375" t="inlineStr">
        <is>
          <t>All</t>
        </is>
      </c>
      <c r="J375" t="inlineStr">
        <is>
          <t>All</t>
        </is>
      </c>
      <c r="K375" t="inlineStr">
        <is>
          <t>All</t>
        </is>
      </c>
      <c r="L375" t="inlineStr">
        <is>
          <t>Number</t>
        </is>
      </c>
    </row>
    <row r="376"/>
    <row r="377"/>
    <row r="378"/>
    <row r="379" ht="18" customHeight="1" s="44">
      <c r="A379" t="inlineStr">
        <is>
          <t>B1401</t>
        </is>
      </c>
      <c r="B379" s="2" t="inlineStr">
        <is>
          <t>2021 Cohort</t>
        </is>
      </c>
      <c r="C379">
        <f>(C363-C374)</f>
        <v/>
      </c>
      <c r="D379" t="inlineStr">
        <is>
          <t>Enrollment And Persistence</t>
        </is>
      </c>
      <c r="E379" t="inlineStr">
        <is>
          <t>Graduation Rates</t>
        </is>
      </c>
      <c r="F379" t="inlineStr">
        <is>
          <t>Two Year</t>
        </is>
      </c>
      <c r="G379" t="inlineStr">
        <is>
          <t>Final Cohort</t>
        </is>
      </c>
      <c r="H379" t="inlineStr">
        <is>
          <t>Current Cohort</t>
        </is>
      </c>
      <c r="I379" t="inlineStr">
        <is>
          <t>All</t>
        </is>
      </c>
      <c r="J379" t="inlineStr">
        <is>
          <t>All</t>
        </is>
      </c>
      <c r="K379" t="inlineStr">
        <is>
          <t>All</t>
        </is>
      </c>
      <c r="L379" t="inlineStr">
        <is>
          <t>Number</t>
        </is>
      </c>
    </row>
    <row r="380" ht="18" customHeight="1" s="44">
      <c r="A380" t="inlineStr">
        <is>
          <t>B1402</t>
        </is>
      </c>
      <c r="B380" s="2" t="inlineStr">
        <is>
          <t>2020 Cohort</t>
        </is>
      </c>
      <c r="C380">
        <f>(C364-C375)</f>
        <v/>
      </c>
      <c r="D380" t="inlineStr">
        <is>
          <t>Enrollment And Persistence</t>
        </is>
      </c>
      <c r="E380" t="inlineStr">
        <is>
          <t>Graduation Rates</t>
        </is>
      </c>
      <c r="F380" t="inlineStr">
        <is>
          <t>Two Year</t>
        </is>
      </c>
      <c r="G380" t="inlineStr">
        <is>
          <t>Final Cohort</t>
        </is>
      </c>
      <c r="H380" t="inlineStr">
        <is>
          <t>Previous Year</t>
        </is>
      </c>
      <c r="I380" t="inlineStr">
        <is>
          <t>All</t>
        </is>
      </c>
      <c r="J380" t="inlineStr">
        <is>
          <t>All</t>
        </is>
      </c>
      <c r="K380" t="inlineStr">
        <is>
          <t>All</t>
        </is>
      </c>
      <c r="L380" t="inlineStr">
        <is>
          <t>Number</t>
        </is>
      </c>
    </row>
    <row r="381"/>
    <row r="382"/>
    <row r="383"/>
    <row r="384" ht="18" customHeight="1" s="44">
      <c r="A384" t="inlineStr">
        <is>
          <t>B1501</t>
        </is>
      </c>
      <c r="B384" s="2" t="inlineStr">
        <is>
          <t>2021 Cohort</t>
        </is>
      </c>
      <c r="D384" t="inlineStr">
        <is>
          <t>Enrollment And Persistence</t>
        </is>
      </c>
      <c r="E384" t="inlineStr">
        <is>
          <t>Graduation Rates</t>
        </is>
      </c>
      <c r="F384" t="inlineStr">
        <is>
          <t>Two Year</t>
        </is>
      </c>
      <c r="G384" t="inlineStr">
        <is>
          <t>Completers Prog Less Two Total</t>
        </is>
      </c>
      <c r="H384" t="inlineStr">
        <is>
          <t>Current Cohort</t>
        </is>
      </c>
      <c r="I384" t="inlineStr">
        <is>
          <t>All</t>
        </is>
      </c>
      <c r="J384" t="inlineStr">
        <is>
          <t>All</t>
        </is>
      </c>
      <c r="K384" t="inlineStr">
        <is>
          <t>All</t>
        </is>
      </c>
      <c r="L384" t="inlineStr">
        <is>
          <t>Number</t>
        </is>
      </c>
    </row>
    <row r="385" ht="18" customHeight="1" s="44">
      <c r="A385" t="inlineStr">
        <is>
          <t>B1502</t>
        </is>
      </c>
      <c r="B385" s="2" t="inlineStr">
        <is>
          <t>2020 Cohort</t>
        </is>
      </c>
      <c r="D385" t="inlineStr">
        <is>
          <t>Enrollment And Persistence</t>
        </is>
      </c>
      <c r="E385" t="inlineStr">
        <is>
          <t>Graduation Rates</t>
        </is>
      </c>
      <c r="F385" t="inlineStr">
        <is>
          <t>Two Year</t>
        </is>
      </c>
      <c r="G385" t="inlineStr">
        <is>
          <t>Completers Prog Less Two Total</t>
        </is>
      </c>
      <c r="H385" t="inlineStr">
        <is>
          <t>Previous Year</t>
        </is>
      </c>
      <c r="I385" t="inlineStr">
        <is>
          <t>All</t>
        </is>
      </c>
      <c r="J385" t="inlineStr">
        <is>
          <t>All</t>
        </is>
      </c>
      <c r="K385" t="inlineStr">
        <is>
          <t>All</t>
        </is>
      </c>
      <c r="L385" t="inlineStr">
        <is>
          <t>Number</t>
        </is>
      </c>
    </row>
    <row r="386"/>
    <row r="387"/>
    <row r="388"/>
    <row r="389" ht="18" customHeight="1" s="44">
      <c r="A389" t="inlineStr">
        <is>
          <t>B1601</t>
        </is>
      </c>
      <c r="B389" s="2" t="inlineStr">
        <is>
          <t>2021 Cohort</t>
        </is>
      </c>
      <c r="D389" t="inlineStr">
        <is>
          <t>Enrollment And Persistence</t>
        </is>
      </c>
      <c r="E389" t="inlineStr">
        <is>
          <t>Graduation Rates</t>
        </is>
      </c>
      <c r="F389" t="inlineStr">
        <is>
          <t>Two Year</t>
        </is>
      </c>
      <c r="G389" t="inlineStr">
        <is>
          <t>Completers Prog Less Two 150</t>
        </is>
      </c>
      <c r="H389" t="inlineStr">
        <is>
          <t>Current Cohort</t>
        </is>
      </c>
      <c r="I389" t="inlineStr">
        <is>
          <t>All</t>
        </is>
      </c>
      <c r="J389" t="inlineStr">
        <is>
          <t>All</t>
        </is>
      </c>
      <c r="K389" t="inlineStr">
        <is>
          <t>All</t>
        </is>
      </c>
      <c r="L389" t="inlineStr">
        <is>
          <t>Number</t>
        </is>
      </c>
    </row>
    <row r="390" ht="18" customHeight="1" s="44">
      <c r="A390" t="inlineStr">
        <is>
          <t>B1602</t>
        </is>
      </c>
      <c r="B390" s="2" t="inlineStr">
        <is>
          <t>2020 Cohort</t>
        </is>
      </c>
      <c r="D390" t="inlineStr">
        <is>
          <t>Enrollment And Persistence</t>
        </is>
      </c>
      <c r="E390" t="inlineStr">
        <is>
          <t>Graduation Rates</t>
        </is>
      </c>
      <c r="F390" t="inlineStr">
        <is>
          <t>Two Year</t>
        </is>
      </c>
      <c r="G390" t="inlineStr">
        <is>
          <t>Completers Prog Less Two 150</t>
        </is>
      </c>
      <c r="H390" t="inlineStr">
        <is>
          <t>Previous Year</t>
        </is>
      </c>
      <c r="I390" t="inlineStr">
        <is>
          <t>All</t>
        </is>
      </c>
      <c r="J390" t="inlineStr">
        <is>
          <t>All</t>
        </is>
      </c>
      <c r="K390" t="inlineStr">
        <is>
          <t>All</t>
        </is>
      </c>
      <c r="L390" t="inlineStr">
        <is>
          <t>Number</t>
        </is>
      </c>
    </row>
    <row r="391"/>
    <row r="392"/>
    <row r="393"/>
    <row r="394" ht="17.1" customHeight="1" s="44">
      <c r="A394" t="inlineStr">
        <is>
          <t>B1701</t>
        </is>
      </c>
      <c r="B394" s="2" t="inlineStr">
        <is>
          <t>2021 Cohort</t>
        </is>
      </c>
      <c r="D394" t="inlineStr">
        <is>
          <t>Enrollment And Persistence</t>
        </is>
      </c>
      <c r="E394" t="inlineStr">
        <is>
          <t>Graduation Rates</t>
        </is>
      </c>
      <c r="F394" t="inlineStr">
        <is>
          <t>Two Year</t>
        </is>
      </c>
      <c r="G394" t="inlineStr">
        <is>
          <t>Completers Prog Less Four Total</t>
        </is>
      </c>
      <c r="H394" t="inlineStr">
        <is>
          <t>Current Cohort</t>
        </is>
      </c>
      <c r="I394" t="inlineStr">
        <is>
          <t>All</t>
        </is>
      </c>
      <c r="J394" t="inlineStr">
        <is>
          <t>All</t>
        </is>
      </c>
      <c r="K394" t="inlineStr">
        <is>
          <t>All</t>
        </is>
      </c>
      <c r="L394" t="inlineStr">
        <is>
          <t>Number</t>
        </is>
      </c>
    </row>
    <row r="395" ht="17.1" customHeight="1" s="44">
      <c r="A395" t="inlineStr">
        <is>
          <t>B1702</t>
        </is>
      </c>
      <c r="B395" s="2" t="inlineStr">
        <is>
          <t>2020 Cohort</t>
        </is>
      </c>
      <c r="D395" t="inlineStr">
        <is>
          <t>Enrollment And Persistence</t>
        </is>
      </c>
      <c r="E395" t="inlineStr">
        <is>
          <t>Graduation Rates</t>
        </is>
      </c>
      <c r="F395" t="inlineStr">
        <is>
          <t>Two Year</t>
        </is>
      </c>
      <c r="G395" t="inlineStr">
        <is>
          <t>Completers Prog Less Four Total</t>
        </is>
      </c>
      <c r="H395" t="inlineStr">
        <is>
          <t>Previous Year</t>
        </is>
      </c>
      <c r="I395" t="inlineStr">
        <is>
          <t>All</t>
        </is>
      </c>
      <c r="J395" t="inlineStr">
        <is>
          <t>All</t>
        </is>
      </c>
      <c r="K395" t="inlineStr">
        <is>
          <t>All</t>
        </is>
      </c>
      <c r="L395" t="inlineStr">
        <is>
          <t>Number</t>
        </is>
      </c>
    </row>
    <row r="396"/>
    <row r="397"/>
    <row r="398"/>
    <row r="399" ht="18" customHeight="1" s="44">
      <c r="A399" t="inlineStr">
        <is>
          <t>B1801</t>
        </is>
      </c>
      <c r="B399" s="2" t="inlineStr">
        <is>
          <t>2021 Cohort</t>
        </is>
      </c>
      <c r="D399" t="inlineStr">
        <is>
          <t>Enrollment And Persistence</t>
        </is>
      </c>
      <c r="E399" t="inlineStr">
        <is>
          <t>Graduation Rates</t>
        </is>
      </c>
      <c r="F399" t="inlineStr">
        <is>
          <t>Two Year</t>
        </is>
      </c>
      <c r="G399" t="inlineStr">
        <is>
          <t>Completers Prog Less Four 150</t>
        </is>
      </c>
      <c r="H399" t="inlineStr">
        <is>
          <t>Current Cohort</t>
        </is>
      </c>
      <c r="I399" t="inlineStr">
        <is>
          <t>All</t>
        </is>
      </c>
      <c r="J399" t="inlineStr">
        <is>
          <t>All</t>
        </is>
      </c>
      <c r="K399" t="inlineStr">
        <is>
          <t>All</t>
        </is>
      </c>
      <c r="L399" t="inlineStr">
        <is>
          <t>Number</t>
        </is>
      </c>
    </row>
    <row r="400" ht="18" customHeight="1" s="44">
      <c r="A400" t="inlineStr">
        <is>
          <t>B1802</t>
        </is>
      </c>
      <c r="B400" s="2" t="inlineStr">
        <is>
          <t>2020 Cohort</t>
        </is>
      </c>
      <c r="D400" t="inlineStr">
        <is>
          <t>Enrollment And Persistence</t>
        </is>
      </c>
      <c r="E400" t="inlineStr">
        <is>
          <t>Graduation Rates</t>
        </is>
      </c>
      <c r="F400" t="inlineStr">
        <is>
          <t>Two Year</t>
        </is>
      </c>
      <c r="G400" t="inlineStr">
        <is>
          <t>Completers Prog Less Four 150</t>
        </is>
      </c>
      <c r="H400" t="inlineStr">
        <is>
          <t>Previous Year</t>
        </is>
      </c>
      <c r="I400" t="inlineStr">
        <is>
          <t>All</t>
        </is>
      </c>
      <c r="J400" t="inlineStr">
        <is>
          <t>All</t>
        </is>
      </c>
      <c r="K400" t="inlineStr">
        <is>
          <t>All</t>
        </is>
      </c>
      <c r="L400" t="inlineStr">
        <is>
          <t>Number</t>
        </is>
      </c>
    </row>
    <row r="401" ht="18" customHeight="1" s="44"/>
    <row r="402"/>
    <row r="403"/>
    <row r="404"/>
    <row r="405" ht="18" customHeight="1" s="44">
      <c r="A405" t="inlineStr">
        <is>
          <t>B1901</t>
        </is>
      </c>
      <c r="B405" s="2" t="inlineStr">
        <is>
          <t>2021 Cohort</t>
        </is>
      </c>
      <c r="D405" t="inlineStr">
        <is>
          <t>Enrollment And Persistence</t>
        </is>
      </c>
      <c r="E405" t="inlineStr">
        <is>
          <t>Graduation Rates</t>
        </is>
      </c>
      <c r="F405" t="inlineStr">
        <is>
          <t>Two Year</t>
        </is>
      </c>
      <c r="G405" t="inlineStr">
        <is>
          <t>Transfers Out Total</t>
        </is>
      </c>
      <c r="H405" t="inlineStr">
        <is>
          <t>Current Cohort</t>
        </is>
      </c>
      <c r="I405" t="inlineStr">
        <is>
          <t>All</t>
        </is>
      </c>
      <c r="J405" t="inlineStr">
        <is>
          <t>All</t>
        </is>
      </c>
      <c r="K405" t="inlineStr">
        <is>
          <t>All</t>
        </is>
      </c>
      <c r="L405" t="inlineStr">
        <is>
          <t>Number</t>
        </is>
      </c>
    </row>
    <row r="406" ht="18" customHeight="1" s="44">
      <c r="A406" t="inlineStr">
        <is>
          <t>B1902</t>
        </is>
      </c>
      <c r="B406" s="2" t="inlineStr">
        <is>
          <t>2020 Cohort</t>
        </is>
      </c>
      <c r="D406" t="inlineStr">
        <is>
          <t>Enrollment And Persistence</t>
        </is>
      </c>
      <c r="E406" t="inlineStr">
        <is>
          <t>Graduation Rates</t>
        </is>
      </c>
      <c r="F406" t="inlineStr">
        <is>
          <t>Two Year</t>
        </is>
      </c>
      <c r="G406" t="inlineStr">
        <is>
          <t>Transfers Out Total</t>
        </is>
      </c>
      <c r="H406" t="inlineStr">
        <is>
          <t>Previous Year</t>
        </is>
      </c>
      <c r="I406" t="inlineStr">
        <is>
          <t>All</t>
        </is>
      </c>
      <c r="J406" t="inlineStr">
        <is>
          <t>All</t>
        </is>
      </c>
      <c r="K406" t="inlineStr">
        <is>
          <t>All</t>
        </is>
      </c>
      <c r="L406" t="inlineStr">
        <is>
          <t>Number</t>
        </is>
      </c>
    </row>
    <row r="407" ht="18" customHeight="1" s="44"/>
    <row r="408"/>
    <row r="409"/>
    <row r="410"/>
    <row r="411" ht="18" customHeight="1" s="44">
      <c r="A411" t="inlineStr">
        <is>
          <t>B2001</t>
        </is>
      </c>
      <c r="B411" s="2" t="inlineStr">
        <is>
          <t>2021 Cohort</t>
        </is>
      </c>
      <c r="D411" t="inlineStr">
        <is>
          <t>Enrollment And Persistence</t>
        </is>
      </c>
      <c r="E411" t="inlineStr">
        <is>
          <t>Graduation Rates</t>
        </is>
      </c>
      <c r="F411" t="inlineStr">
        <is>
          <t>Two Year</t>
        </is>
      </c>
      <c r="G411" t="inlineStr">
        <is>
          <t>Transfers Out Two</t>
        </is>
      </c>
      <c r="H411" t="inlineStr">
        <is>
          <t>Current Cohort</t>
        </is>
      </c>
      <c r="I411" t="inlineStr">
        <is>
          <t>All</t>
        </is>
      </c>
      <c r="J411" t="inlineStr">
        <is>
          <t>All</t>
        </is>
      </c>
      <c r="K411" t="inlineStr">
        <is>
          <t>All</t>
        </is>
      </c>
      <c r="L411" t="inlineStr">
        <is>
          <t>Number</t>
        </is>
      </c>
    </row>
    <row r="412" ht="18" customHeight="1" s="44">
      <c r="A412" t="inlineStr">
        <is>
          <t>B2002</t>
        </is>
      </c>
      <c r="B412" s="2" t="inlineStr">
        <is>
          <t>2020 Cohort</t>
        </is>
      </c>
      <c r="D412" t="inlineStr">
        <is>
          <t>Enrollment And Persistence</t>
        </is>
      </c>
      <c r="E412" t="inlineStr">
        <is>
          <t>Graduation Rates</t>
        </is>
      </c>
      <c r="F412" t="inlineStr">
        <is>
          <t>Two Year</t>
        </is>
      </c>
      <c r="G412" t="inlineStr">
        <is>
          <t>Transfers Out Two</t>
        </is>
      </c>
      <c r="H412" t="inlineStr">
        <is>
          <t>Previous Year</t>
        </is>
      </c>
      <c r="I412" t="inlineStr">
        <is>
          <t>All</t>
        </is>
      </c>
      <c r="J412" t="inlineStr">
        <is>
          <t>All</t>
        </is>
      </c>
      <c r="K412" t="inlineStr">
        <is>
          <t>All</t>
        </is>
      </c>
      <c r="L412" t="inlineStr">
        <is>
          <t>Number</t>
        </is>
      </c>
    </row>
    <row r="413" ht="18" customHeight="1" s="44"/>
    <row r="414"/>
    <row r="415"/>
    <row r="416"/>
    <row r="417" ht="18" customHeight="1" s="44">
      <c r="A417" t="inlineStr">
        <is>
          <t>B2101</t>
        </is>
      </c>
      <c r="B417" s="2" t="inlineStr">
        <is>
          <t>2021 Cohort</t>
        </is>
      </c>
      <c r="D417" t="inlineStr">
        <is>
          <t>Enrollment And Persistence</t>
        </is>
      </c>
      <c r="E417" t="inlineStr">
        <is>
          <t>Graduation Rates</t>
        </is>
      </c>
      <c r="F417" t="inlineStr">
        <is>
          <t>Two Year</t>
        </is>
      </c>
      <c r="G417" t="inlineStr">
        <is>
          <t>Transfers Out Four</t>
        </is>
      </c>
      <c r="H417" t="inlineStr">
        <is>
          <t>Current Cohort</t>
        </is>
      </c>
      <c r="I417" t="inlineStr">
        <is>
          <t>All</t>
        </is>
      </c>
      <c r="J417" t="inlineStr">
        <is>
          <t>All</t>
        </is>
      </c>
      <c r="K417" t="inlineStr">
        <is>
          <t>All</t>
        </is>
      </c>
      <c r="L417" t="inlineStr">
        <is>
          <t>Number</t>
        </is>
      </c>
    </row>
    <row r="418" ht="18" customHeight="1" s="44">
      <c r="A418" t="inlineStr">
        <is>
          <t>B2102</t>
        </is>
      </c>
      <c r="B418" s="2" t="inlineStr">
        <is>
          <t>2020 Cohort</t>
        </is>
      </c>
      <c r="D418" t="inlineStr">
        <is>
          <t>Enrollment And Persistence</t>
        </is>
      </c>
      <c r="E418" t="inlineStr">
        <is>
          <t>Graduation Rates</t>
        </is>
      </c>
      <c r="F418" t="inlineStr">
        <is>
          <t>Two Year</t>
        </is>
      </c>
      <c r="G418" t="inlineStr">
        <is>
          <t>Transfers Out Four</t>
        </is>
      </c>
      <c r="H418" t="inlineStr">
        <is>
          <t>Previous Year</t>
        </is>
      </c>
      <c r="I418" t="inlineStr">
        <is>
          <t>All</t>
        </is>
      </c>
      <c r="J418" t="inlineStr">
        <is>
          <t>All</t>
        </is>
      </c>
      <c r="K418" t="inlineStr">
        <is>
          <t>All</t>
        </is>
      </c>
      <c r="L418" t="inlineStr">
        <is>
          <t>Number</t>
        </is>
      </c>
    </row>
    <row r="419"/>
    <row r="420"/>
    <row r="421"/>
    <row r="422"/>
    <row r="423"/>
    <row r="424"/>
    <row r="425"/>
    <row r="426"/>
    <row r="427"/>
    <row r="428"/>
    <row r="429"/>
    <row r="430"/>
    <row r="431" ht="18" customHeight="1" s="44"/>
    <row r="432" ht="101.25" customHeight="1" s="44">
      <c r="A432" t="inlineStr">
        <is>
          <t>B2201</t>
        </is>
      </c>
      <c r="B432" s="2" t="inlineStr">
        <is>
          <t>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is>
      </c>
      <c r="C432" s="51" t="n">
        <v>0.961</v>
      </c>
      <c r="D432" t="inlineStr">
        <is>
          <t>Enrollment And Persistence</t>
        </is>
      </c>
      <c r="E432" t="inlineStr">
        <is>
          <t>Retention Rates</t>
        </is>
      </c>
      <c r="F432" t="inlineStr">
        <is>
          <t>Degree-seeking</t>
        </is>
      </c>
      <c r="G432" t="inlineStr">
        <is>
          <t>Undergraduates</t>
        </is>
      </c>
      <c r="H432" t="inlineStr">
        <is>
          <t>First-time first-year</t>
        </is>
      </c>
      <c r="I432" t="inlineStr">
        <is>
          <t>All</t>
        </is>
      </c>
      <c r="J432" t="inlineStr">
        <is>
          <t>FT</t>
        </is>
      </c>
      <c r="K432" t="inlineStr">
        <is>
          <t>All</t>
        </is>
      </c>
      <c r="L432" t="inlineStr">
        <is>
          <t>Whole Number or Round to Nearest Tenths</t>
        </is>
      </c>
    </row>
  </sheetData>
  <autoFilter ref="A1:L432"/>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592"/>
  <sheetViews>
    <sheetView zoomScaleNormal="100" workbookViewId="0">
      <pane ySplit="1" topLeftCell="B519" activePane="bottomLeft" state="frozen"/>
      <selection pane="bottomLeft" activeCell="C524" sqref="C524"/>
    </sheetView>
  </sheetViews>
  <sheetFormatPr baseColWidth="8" defaultRowHeight="15"/>
  <cols>
    <col width="8.5703125" customWidth="1" style="44" min="1" max="1"/>
    <col width="56.7109375" customWidth="1" style="44" min="2" max="2"/>
    <col width="45.42578125" customWidth="1" style="44" min="3" max="3"/>
    <col width="10.42578125" customWidth="1" style="44" min="4" max="4"/>
    <col width="14" customWidth="1" style="44" min="5" max="5"/>
    <col width="11.140625" customWidth="1" style="44" min="6" max="7"/>
    <col width="16.42578125" bestFit="1" customWidth="1" style="44" min="8" max="8"/>
    <col width="10.42578125" customWidth="1" style="44" min="9" max="10"/>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row r="9"/>
    <row r="10"/>
    <row r="11"/>
    <row r="12"/>
    <row r="13"/>
    <row r="14"/>
    <row r="15"/>
    <row r="16"/>
    <row r="17"/>
    <row r="18"/>
    <row r="19"/>
    <row r="20"/>
    <row r="21"/>
    <row r="22"/>
    <row r="23"/>
    <row r="24"/>
    <row r="25"/>
    <row r="26" ht="18" customHeight="1" s="44"/>
    <row r="27" ht="18" customHeight="1" s="44">
      <c r="A27" t="inlineStr">
        <is>
          <t>C101</t>
        </is>
      </c>
      <c r="B27" t="inlineStr">
        <is>
          <t>Total first-time, first-year men who applied</t>
        </is>
      </c>
      <c r="C27" t="n">
        <v>32863</v>
      </c>
      <c r="D27" t="inlineStr">
        <is>
          <t>First-Time, First-Year Admission</t>
        </is>
      </c>
      <c r="E27" t="inlineStr">
        <is>
          <t>Applications</t>
        </is>
      </c>
      <c r="F27" t="inlineStr">
        <is>
          <t>Applied</t>
        </is>
      </c>
      <c r="G27" t="inlineStr">
        <is>
          <t>Undergraduates</t>
        </is>
      </c>
      <c r="H27" t="inlineStr">
        <is>
          <t>First-time, first-year</t>
        </is>
      </c>
      <c r="I27" t="inlineStr">
        <is>
          <t>All</t>
        </is>
      </c>
      <c r="J27" t="inlineStr">
        <is>
          <t>All</t>
        </is>
      </c>
      <c r="K27" t="inlineStr">
        <is>
          <t>Men</t>
        </is>
      </c>
      <c r="L27" t="inlineStr">
        <is>
          <t>Number</t>
        </is>
      </c>
    </row>
    <row r="28" ht="18" customHeight="1" s="44">
      <c r="A28" t="inlineStr">
        <is>
          <t>C102</t>
        </is>
      </c>
      <c r="B28" t="inlineStr">
        <is>
          <t>Total first-time, first-year women who applied</t>
        </is>
      </c>
      <c r="C28" t="n">
        <v>33050</v>
      </c>
      <c r="D28" t="inlineStr">
        <is>
          <t>First-Time, First-Year Admission</t>
        </is>
      </c>
      <c r="E28" t="inlineStr">
        <is>
          <t>Applications</t>
        </is>
      </c>
      <c r="F28" t="inlineStr">
        <is>
          <t>Applied</t>
        </is>
      </c>
      <c r="G28" t="inlineStr">
        <is>
          <t>Undergraduates</t>
        </is>
      </c>
      <c r="H28" t="inlineStr">
        <is>
          <t>First-time, first-year</t>
        </is>
      </c>
      <c r="I28" t="inlineStr">
        <is>
          <t>All</t>
        </is>
      </c>
      <c r="J28" t="inlineStr">
        <is>
          <t>All</t>
        </is>
      </c>
      <c r="K28" t="inlineStr">
        <is>
          <t>Women</t>
        </is>
      </c>
      <c r="L28" t="inlineStr">
        <is>
          <t>Number</t>
        </is>
      </c>
    </row>
    <row r="29" ht="18" customHeight="1" s="44">
      <c r="A29" t="inlineStr">
        <is>
          <t>C103</t>
        </is>
      </c>
      <c r="B29" t="inlineStr">
        <is>
          <t>Total first-time, first-year another gender who applied</t>
        </is>
      </c>
      <c r="C29" t="n">
        <v>20</v>
      </c>
      <c r="D29" t="inlineStr">
        <is>
          <t>First-Time, First-Year Admission</t>
        </is>
      </c>
      <c r="E29" t="inlineStr">
        <is>
          <t>Applications</t>
        </is>
      </c>
      <c r="F29" t="inlineStr">
        <is>
          <t>Applied</t>
        </is>
      </c>
      <c r="G29" t="inlineStr">
        <is>
          <t>Undergraduates</t>
        </is>
      </c>
      <c r="H29" t="inlineStr">
        <is>
          <t>First-time, first-year</t>
        </is>
      </c>
      <c r="I29" t="inlineStr">
        <is>
          <t>All</t>
        </is>
      </c>
      <c r="J29" t="inlineStr">
        <is>
          <t>All</t>
        </is>
      </c>
      <c r="K29" t="inlineStr">
        <is>
          <t>Another Gender</t>
        </is>
      </c>
      <c r="L29" t="inlineStr">
        <is>
          <t>Number</t>
        </is>
      </c>
    </row>
    <row r="30" ht="18" customHeight="1" s="44">
      <c r="A30" t="inlineStr">
        <is>
          <t>C104</t>
        </is>
      </c>
      <c r="B30" t="inlineStr">
        <is>
          <t>Total first-time, first-year unknown gender who applied</t>
        </is>
      </c>
      <c r="C30" t="n">
        <v>0</v>
      </c>
      <c r="D30" t="inlineStr">
        <is>
          <t>First-Time, First-Year Admission</t>
        </is>
      </c>
      <c r="E30" t="inlineStr">
        <is>
          <t>Applications</t>
        </is>
      </c>
      <c r="F30" t="inlineStr">
        <is>
          <t>Applied</t>
        </is>
      </c>
      <c r="G30" t="inlineStr">
        <is>
          <t>Undergraduates</t>
        </is>
      </c>
      <c r="H30" t="inlineStr">
        <is>
          <t>First-time, first-year</t>
        </is>
      </c>
      <c r="I30" t="inlineStr">
        <is>
          <t>All</t>
        </is>
      </c>
      <c r="J30" t="inlineStr">
        <is>
          <t>All</t>
        </is>
      </c>
      <c r="K30" t="inlineStr">
        <is>
          <t>Unknown</t>
        </is>
      </c>
      <c r="L30" t="inlineStr">
        <is>
          <t>Number</t>
        </is>
      </c>
    </row>
    <row r="31"/>
    <row r="32" ht="18" customHeight="1" s="44"/>
    <row r="33">
      <c r="A33" t="inlineStr">
        <is>
          <t>C105</t>
        </is>
      </c>
      <c r="B33" t="inlineStr">
        <is>
          <t>Total first-time, first-year men who were admitted</t>
        </is>
      </c>
      <c r="C33" t="n">
        <v>13835</v>
      </c>
      <c r="D33" t="inlineStr">
        <is>
          <t>First-Time, First-Year Admission</t>
        </is>
      </c>
      <c r="E33" t="inlineStr">
        <is>
          <t>Applications</t>
        </is>
      </c>
      <c r="F33" t="inlineStr">
        <is>
          <t>Admitted</t>
        </is>
      </c>
      <c r="G33" t="inlineStr">
        <is>
          <t>Undergraduates</t>
        </is>
      </c>
      <c r="H33" t="inlineStr">
        <is>
          <t>First-time, first-year</t>
        </is>
      </c>
      <c r="I33" t="inlineStr">
        <is>
          <t>All</t>
        </is>
      </c>
      <c r="J33" t="inlineStr">
        <is>
          <t>All</t>
        </is>
      </c>
      <c r="K33" t="inlineStr">
        <is>
          <t>Men</t>
        </is>
      </c>
      <c r="L33" t="inlineStr">
        <is>
          <t>Number</t>
        </is>
      </c>
    </row>
    <row r="34">
      <c r="A34" t="inlineStr">
        <is>
          <t>C106</t>
        </is>
      </c>
      <c r="B34" t="inlineStr">
        <is>
          <t>Total first-time, first-year women who were admitted</t>
        </is>
      </c>
      <c r="C34" t="n">
        <v>15940</v>
      </c>
      <c r="D34" t="inlineStr">
        <is>
          <t>First-Time, First-Year Admission</t>
        </is>
      </c>
      <c r="E34" t="inlineStr">
        <is>
          <t>Applications</t>
        </is>
      </c>
      <c r="F34" t="inlineStr">
        <is>
          <t>Admitted</t>
        </is>
      </c>
      <c r="G34" t="inlineStr">
        <is>
          <t>Undergraduates</t>
        </is>
      </c>
      <c r="H34" t="inlineStr">
        <is>
          <t>First-time, first-year</t>
        </is>
      </c>
      <c r="I34" t="inlineStr">
        <is>
          <t>All</t>
        </is>
      </c>
      <c r="J34" t="inlineStr">
        <is>
          <t>All</t>
        </is>
      </c>
      <c r="K34" t="inlineStr">
        <is>
          <t>Women</t>
        </is>
      </c>
      <c r="L34" t="inlineStr">
        <is>
          <t>Number</t>
        </is>
      </c>
    </row>
    <row r="35">
      <c r="A35" t="inlineStr">
        <is>
          <t>C107</t>
        </is>
      </c>
      <c r="B35" t="inlineStr">
        <is>
          <t>Total first-time, first-year another gender who were admitted</t>
        </is>
      </c>
      <c r="C35" t="n">
        <v>9</v>
      </c>
      <c r="D35" t="inlineStr">
        <is>
          <t>First-Time, First-Year Admission</t>
        </is>
      </c>
      <c r="E35" t="inlineStr">
        <is>
          <t>Applications</t>
        </is>
      </c>
      <c r="F35" t="inlineStr">
        <is>
          <t>Admitted</t>
        </is>
      </c>
      <c r="G35" t="inlineStr">
        <is>
          <t>Undergraduates</t>
        </is>
      </c>
      <c r="H35" t="inlineStr">
        <is>
          <t>First-time, first-year</t>
        </is>
      </c>
      <c r="I35" t="inlineStr">
        <is>
          <t>All</t>
        </is>
      </c>
      <c r="J35" t="inlineStr">
        <is>
          <t>All</t>
        </is>
      </c>
      <c r="K35" t="inlineStr">
        <is>
          <t>Another Gender</t>
        </is>
      </c>
      <c r="L35" t="inlineStr">
        <is>
          <t>Number</t>
        </is>
      </c>
    </row>
    <row r="36">
      <c r="A36" t="inlineStr">
        <is>
          <t>C108</t>
        </is>
      </c>
      <c r="B36" t="inlineStr">
        <is>
          <t>Total first-time, first-year unknown gender who were admitted</t>
        </is>
      </c>
      <c r="C36" t="n">
        <v>0</v>
      </c>
      <c r="D36" t="inlineStr">
        <is>
          <t>First-Time, First-Year Admission</t>
        </is>
      </c>
      <c r="E36" t="inlineStr">
        <is>
          <t>Applications</t>
        </is>
      </c>
      <c r="F36" t="inlineStr">
        <is>
          <t>Admitted</t>
        </is>
      </c>
      <c r="G36" t="inlineStr">
        <is>
          <t>Undergraduates</t>
        </is>
      </c>
      <c r="H36" t="inlineStr">
        <is>
          <t>First-time, first-year</t>
        </is>
      </c>
      <c r="I36" t="inlineStr">
        <is>
          <t>All</t>
        </is>
      </c>
      <c r="J36" t="inlineStr">
        <is>
          <t>All</t>
        </is>
      </c>
      <c r="K36" t="inlineStr">
        <is>
          <t>Unknown</t>
        </is>
      </c>
      <c r="L36" t="inlineStr">
        <is>
          <t>Number</t>
        </is>
      </c>
    </row>
    <row r="37"/>
    <row r="38" ht="18" customHeight="1" s="44"/>
    <row r="39" ht="18" customHeight="1" s="44">
      <c r="A39" t="inlineStr">
        <is>
          <t>C109</t>
        </is>
      </c>
      <c r="B39" t="inlineStr">
        <is>
          <t>Total full-time, first-time, first-year men who enrolled</t>
        </is>
      </c>
      <c r="C39" t="n">
        <v>3768</v>
      </c>
      <c r="D39" t="inlineStr">
        <is>
          <t>First-Time, First-Year Admission</t>
        </is>
      </c>
      <c r="E39" t="inlineStr">
        <is>
          <t>Applications</t>
        </is>
      </c>
      <c r="F39" t="inlineStr">
        <is>
          <t>Enrolled</t>
        </is>
      </c>
      <c r="G39" t="inlineStr">
        <is>
          <t>Undergraduates</t>
        </is>
      </c>
      <c r="H39" t="inlineStr">
        <is>
          <t>First-time, first-year</t>
        </is>
      </c>
      <c r="I39" t="inlineStr">
        <is>
          <t>All</t>
        </is>
      </c>
      <c r="J39" t="inlineStr">
        <is>
          <t>All</t>
        </is>
      </c>
      <c r="K39" t="inlineStr">
        <is>
          <t>Men</t>
        </is>
      </c>
      <c r="L39" t="inlineStr">
        <is>
          <t>Number</t>
        </is>
      </c>
    </row>
    <row r="40" ht="18" customHeight="1" s="44">
      <c r="A40" t="inlineStr">
        <is>
          <t>C110</t>
        </is>
      </c>
      <c r="B40" t="inlineStr">
        <is>
          <t>Total part-time, first-time, first-year men who enrolled</t>
        </is>
      </c>
      <c r="C40" t="n">
        <v>11</v>
      </c>
      <c r="D40" t="inlineStr">
        <is>
          <t>First-Time, First-Year Admission</t>
        </is>
      </c>
      <c r="E40" t="inlineStr">
        <is>
          <t>Applications</t>
        </is>
      </c>
      <c r="F40" t="inlineStr">
        <is>
          <t>Enrolled</t>
        </is>
      </c>
      <c r="G40" t="inlineStr">
        <is>
          <t>Undergraduates</t>
        </is>
      </c>
      <c r="H40" t="inlineStr">
        <is>
          <t>First-time, first-year</t>
        </is>
      </c>
      <c r="I40" t="inlineStr">
        <is>
          <t>All</t>
        </is>
      </c>
      <c r="J40" t="inlineStr">
        <is>
          <t>PT</t>
        </is>
      </c>
      <c r="K40" t="inlineStr">
        <is>
          <t>Men</t>
        </is>
      </c>
      <c r="L40" t="inlineStr">
        <is>
          <t>Number</t>
        </is>
      </c>
    </row>
    <row r="41" ht="18" customHeight="1" s="44">
      <c r="A41" t="inlineStr">
        <is>
          <t>C111</t>
        </is>
      </c>
      <c r="B41" t="inlineStr">
        <is>
          <t>Total full-time, first-time, first-year women who enrolled</t>
        </is>
      </c>
      <c r="C41" t="n">
        <v>4722</v>
      </c>
      <c r="D41" t="inlineStr">
        <is>
          <t>First-Time, First-Year Admission</t>
        </is>
      </c>
      <c r="E41" t="inlineStr">
        <is>
          <t>Applications</t>
        </is>
      </c>
      <c r="F41" t="inlineStr">
        <is>
          <t>Enrolled</t>
        </is>
      </c>
      <c r="G41" t="inlineStr">
        <is>
          <t>Undergraduates</t>
        </is>
      </c>
      <c r="H41" t="inlineStr">
        <is>
          <t>First-time, first-year</t>
        </is>
      </c>
      <c r="I41" t="inlineStr">
        <is>
          <t>All</t>
        </is>
      </c>
      <c r="J41" t="inlineStr">
        <is>
          <t>FT</t>
        </is>
      </c>
      <c r="K41" t="inlineStr">
        <is>
          <t>Women</t>
        </is>
      </c>
      <c r="L41" t="inlineStr">
        <is>
          <t>Number</t>
        </is>
      </c>
    </row>
    <row r="42" ht="18" customHeight="1" s="44">
      <c r="A42" t="inlineStr">
        <is>
          <t>C112</t>
        </is>
      </c>
      <c r="B42" t="inlineStr">
        <is>
          <t>Total part-time, first-time, first-year women who enrolled</t>
        </is>
      </c>
      <c r="C42" t="n">
        <v>12</v>
      </c>
      <c r="D42" t="inlineStr">
        <is>
          <t>First-Time, First-Year Admission</t>
        </is>
      </c>
      <c r="E42" t="inlineStr">
        <is>
          <t>Applications</t>
        </is>
      </c>
      <c r="F42" t="inlineStr">
        <is>
          <t>Enrolled</t>
        </is>
      </c>
      <c r="G42" t="inlineStr">
        <is>
          <t>Undergraduates</t>
        </is>
      </c>
      <c r="H42" t="inlineStr">
        <is>
          <t>First-time, first-year</t>
        </is>
      </c>
      <c r="I42" t="inlineStr">
        <is>
          <t>All</t>
        </is>
      </c>
      <c r="J42" t="inlineStr">
        <is>
          <t>PT</t>
        </is>
      </c>
      <c r="K42" t="inlineStr">
        <is>
          <t>Women</t>
        </is>
      </c>
      <c r="L42" t="inlineStr">
        <is>
          <t>Number</t>
        </is>
      </c>
    </row>
    <row r="43" ht="18" customHeight="1" s="44">
      <c r="A43" t="inlineStr">
        <is>
          <t>C113</t>
        </is>
      </c>
      <c r="B43" t="inlineStr">
        <is>
          <t>Total full-time, first-time, first-year another gender who enrolled</t>
        </is>
      </c>
      <c r="C43" t="n">
        <v>1</v>
      </c>
      <c r="D43" t="inlineStr">
        <is>
          <t>First-Time, First-Year Admission</t>
        </is>
      </c>
      <c r="E43" t="inlineStr">
        <is>
          <t>Applications</t>
        </is>
      </c>
      <c r="F43" t="inlineStr">
        <is>
          <t>Enrolled</t>
        </is>
      </c>
      <c r="G43" t="inlineStr">
        <is>
          <t>Undergraduates</t>
        </is>
      </c>
      <c r="H43" t="inlineStr">
        <is>
          <t>First-time, first-year</t>
        </is>
      </c>
      <c r="I43" t="inlineStr">
        <is>
          <t>All</t>
        </is>
      </c>
      <c r="J43" t="inlineStr">
        <is>
          <t>FT</t>
        </is>
      </c>
      <c r="K43" t="inlineStr">
        <is>
          <t>Another Gender</t>
        </is>
      </c>
      <c r="L43" t="inlineStr">
        <is>
          <t>Number</t>
        </is>
      </c>
    </row>
    <row r="44" ht="18" customHeight="1" s="44">
      <c r="A44" t="inlineStr">
        <is>
          <t>C114</t>
        </is>
      </c>
      <c r="B44" t="inlineStr">
        <is>
          <t>Total part-time, first-time, first-year another gender who enrolled</t>
        </is>
      </c>
      <c r="C44" t="n">
        <v>0</v>
      </c>
      <c r="D44" t="inlineStr">
        <is>
          <t>First-Time, First-Year Admission</t>
        </is>
      </c>
      <c r="E44" t="inlineStr">
        <is>
          <t>Applications</t>
        </is>
      </c>
      <c r="F44" t="inlineStr">
        <is>
          <t>Enrolled</t>
        </is>
      </c>
      <c r="G44" t="inlineStr">
        <is>
          <t>Undergraduates</t>
        </is>
      </c>
      <c r="H44" t="inlineStr">
        <is>
          <t>First-time, first-year</t>
        </is>
      </c>
      <c r="I44" t="inlineStr">
        <is>
          <t>All</t>
        </is>
      </c>
      <c r="J44" t="inlineStr">
        <is>
          <t>PT</t>
        </is>
      </c>
      <c r="K44" t="inlineStr">
        <is>
          <t>Another Gender</t>
        </is>
      </c>
      <c r="L44" t="inlineStr">
        <is>
          <t>Number</t>
        </is>
      </c>
    </row>
    <row r="45" ht="18" customHeight="1" s="44">
      <c r="A45" t="inlineStr">
        <is>
          <t>C115</t>
        </is>
      </c>
      <c r="B45" t="inlineStr">
        <is>
          <t>Total full-time, first-time, first-year unknown gender who enrolled</t>
        </is>
      </c>
      <c r="C45" t="n">
        <v>0</v>
      </c>
      <c r="D45" t="inlineStr">
        <is>
          <t>First-Time, First-Year Admission</t>
        </is>
      </c>
      <c r="E45" t="inlineStr">
        <is>
          <t>Applications</t>
        </is>
      </c>
      <c r="F45" t="inlineStr">
        <is>
          <t>Enrolled</t>
        </is>
      </c>
      <c r="G45" t="inlineStr">
        <is>
          <t>Undergraduates</t>
        </is>
      </c>
      <c r="H45" t="inlineStr">
        <is>
          <t>First-time, first-year</t>
        </is>
      </c>
      <c r="I45" t="inlineStr">
        <is>
          <t>All</t>
        </is>
      </c>
      <c r="J45" t="inlineStr">
        <is>
          <t>FT</t>
        </is>
      </c>
      <c r="K45" t="inlineStr">
        <is>
          <t>Unknown</t>
        </is>
      </c>
      <c r="L45" t="inlineStr">
        <is>
          <t>Number</t>
        </is>
      </c>
    </row>
    <row r="46" ht="18" customHeight="1" s="44">
      <c r="A46" t="inlineStr">
        <is>
          <t>C116</t>
        </is>
      </c>
      <c r="B46" t="inlineStr">
        <is>
          <t>Total part-time, first-time, first-year unknown gender who enrolled</t>
        </is>
      </c>
      <c r="C46" t="n">
        <v>0</v>
      </c>
      <c r="D46" t="inlineStr">
        <is>
          <t>First-Time, First-Year Admission</t>
        </is>
      </c>
      <c r="E46" t="inlineStr">
        <is>
          <t>Applications</t>
        </is>
      </c>
      <c r="F46" t="inlineStr">
        <is>
          <t>Enrolled</t>
        </is>
      </c>
      <c r="G46" t="inlineStr">
        <is>
          <t>Undergraduates</t>
        </is>
      </c>
      <c r="H46" t="inlineStr">
        <is>
          <t>First-time, first-year</t>
        </is>
      </c>
      <c r="I46" t="inlineStr">
        <is>
          <t>All</t>
        </is>
      </c>
      <c r="J46" t="inlineStr">
        <is>
          <t>PT</t>
        </is>
      </c>
      <c r="K46" t="inlineStr">
        <is>
          <t>Unknown</t>
        </is>
      </c>
      <c r="L46" t="inlineStr">
        <is>
          <t>Number</t>
        </is>
      </c>
    </row>
    <row r="47"/>
    <row r="48" ht="18" customHeight="1" s="44"/>
    <row r="49" ht="18" customHeight="1" s="44">
      <c r="A49" t="inlineStr">
        <is>
          <t>C117</t>
        </is>
      </c>
      <c r="B49" t="inlineStr">
        <is>
          <t>Total first-time, first-year students who applied</t>
        </is>
      </c>
      <c r="C49">
        <f>SUM(C27:C30)</f>
        <v/>
      </c>
      <c r="D49" t="inlineStr">
        <is>
          <t>First-Time, First-Year Admission</t>
        </is>
      </c>
      <c r="E49" t="inlineStr">
        <is>
          <t>Applications</t>
        </is>
      </c>
      <c r="F49" t="inlineStr">
        <is>
          <t>Applied</t>
        </is>
      </c>
      <c r="G49" t="inlineStr">
        <is>
          <t>Undergraduates</t>
        </is>
      </c>
      <c r="H49" t="inlineStr">
        <is>
          <t>First-time, first-year</t>
        </is>
      </c>
      <c r="I49" t="inlineStr">
        <is>
          <t>All</t>
        </is>
      </c>
      <c r="J49" t="inlineStr">
        <is>
          <t>All</t>
        </is>
      </c>
      <c r="K49" t="inlineStr">
        <is>
          <t>All</t>
        </is>
      </c>
      <c r="L49" t="inlineStr">
        <is>
          <t>Number</t>
        </is>
      </c>
    </row>
    <row r="50" ht="18" customHeight="1" s="44">
      <c r="A50" t="inlineStr">
        <is>
          <t>C118</t>
        </is>
      </c>
      <c r="B50" t="inlineStr">
        <is>
          <t>Total first-time, first-year students who were admitted</t>
        </is>
      </c>
      <c r="C50">
        <f>SUM(C33:C36)</f>
        <v/>
      </c>
      <c r="D50" t="inlineStr">
        <is>
          <t>First-Time, First-Year Admission</t>
        </is>
      </c>
      <c r="E50" t="inlineStr">
        <is>
          <t>Applications</t>
        </is>
      </c>
      <c r="F50" t="inlineStr">
        <is>
          <t>Admitted</t>
        </is>
      </c>
      <c r="G50" t="inlineStr">
        <is>
          <t>Undergraduates</t>
        </is>
      </c>
      <c r="H50" t="inlineStr">
        <is>
          <t>First-time, first-year</t>
        </is>
      </c>
      <c r="I50" t="inlineStr">
        <is>
          <t>All</t>
        </is>
      </c>
      <c r="J50" t="inlineStr">
        <is>
          <t>All</t>
        </is>
      </c>
      <c r="K50" t="inlineStr">
        <is>
          <t>All</t>
        </is>
      </c>
      <c r="L50" t="inlineStr">
        <is>
          <t>Number</t>
        </is>
      </c>
    </row>
    <row r="51" ht="18" customHeight="1" s="44">
      <c r="A51" t="inlineStr">
        <is>
          <t>C119</t>
        </is>
      </c>
      <c r="B51" t="inlineStr">
        <is>
          <t>Total first-time, first-year students who enrolled</t>
        </is>
      </c>
      <c r="C51">
        <f>SUM(C39:C46)</f>
        <v/>
      </c>
      <c r="D51" t="inlineStr">
        <is>
          <t>First-Time, First-Year Admission</t>
        </is>
      </c>
      <c r="E51" t="inlineStr">
        <is>
          <t>Applications</t>
        </is>
      </c>
      <c r="F51" t="inlineStr">
        <is>
          <t>Enrolled</t>
        </is>
      </c>
      <c r="G51" t="inlineStr">
        <is>
          <t>Undergraduates</t>
        </is>
      </c>
      <c r="H51" t="inlineStr">
        <is>
          <t>First-time, first-year</t>
        </is>
      </c>
      <c r="I51" t="inlineStr">
        <is>
          <t>All</t>
        </is>
      </c>
      <c r="J51" t="inlineStr">
        <is>
          <t>All</t>
        </is>
      </c>
      <c r="K51" t="inlineStr">
        <is>
          <t>All</t>
        </is>
      </c>
      <c r="L51" t="inlineStr">
        <is>
          <t>Number</t>
        </is>
      </c>
    </row>
    <row r="52"/>
    <row r="53"/>
    <row r="54"/>
    <row r="55"/>
    <row r="56"/>
    <row r="57"/>
    <row r="58">
      <c r="B58" s="1" t="n"/>
    </row>
    <row r="59" ht="18" customHeight="1" s="44"/>
    <row r="60" ht="18" customHeight="1" s="44">
      <c r="A60" t="inlineStr">
        <is>
          <t>C120</t>
        </is>
      </c>
      <c r="B60" t="inlineStr">
        <is>
          <t>Total first-time, first-year who applied</t>
        </is>
      </c>
      <c r="D60" t="inlineStr">
        <is>
          <t>First-Time, First-Year Admission</t>
        </is>
      </c>
      <c r="E60" t="inlineStr">
        <is>
          <t>Applications</t>
        </is>
      </c>
      <c r="F60" t="inlineStr">
        <is>
          <t>Applied</t>
        </is>
      </c>
      <c r="G60" t="inlineStr">
        <is>
          <t>Undergraduates</t>
        </is>
      </c>
      <c r="H60" t="inlineStr">
        <is>
          <t>First-time, first-year</t>
        </is>
      </c>
      <c r="I60" t="inlineStr">
        <is>
          <t>In-State</t>
        </is>
      </c>
      <c r="J60" t="inlineStr">
        <is>
          <t>All</t>
        </is>
      </c>
      <c r="K60" t="inlineStr">
        <is>
          <t>All</t>
        </is>
      </c>
      <c r="L60" t="inlineStr">
        <is>
          <t>Number</t>
        </is>
      </c>
    </row>
    <row r="61" ht="18" customHeight="1" s="44">
      <c r="A61" t="inlineStr">
        <is>
          <t>C121</t>
        </is>
      </c>
      <c r="B61" t="inlineStr">
        <is>
          <t>Total first-time, first-year who were admitted</t>
        </is>
      </c>
      <c r="D61" t="inlineStr">
        <is>
          <t>First-Time, First-Year Admission</t>
        </is>
      </c>
      <c r="E61" t="inlineStr">
        <is>
          <t>Applications</t>
        </is>
      </c>
      <c r="F61" t="inlineStr">
        <is>
          <t>Admitted</t>
        </is>
      </c>
      <c r="G61" t="inlineStr">
        <is>
          <t>Undergraduates</t>
        </is>
      </c>
      <c r="H61" t="inlineStr">
        <is>
          <t>First-time, first-year</t>
        </is>
      </c>
      <c r="I61" t="inlineStr">
        <is>
          <t>In-State</t>
        </is>
      </c>
      <c r="J61" t="inlineStr">
        <is>
          <t>All</t>
        </is>
      </c>
      <c r="K61" t="inlineStr">
        <is>
          <t>All</t>
        </is>
      </c>
      <c r="L61" t="inlineStr">
        <is>
          <t>Number</t>
        </is>
      </c>
    </row>
    <row r="62" ht="18" customHeight="1" s="44">
      <c r="A62" t="inlineStr">
        <is>
          <t>C122</t>
        </is>
      </c>
      <c r="B62" t="inlineStr">
        <is>
          <t>Total first-time, first-year who enrolled</t>
        </is>
      </c>
      <c r="D62" t="inlineStr">
        <is>
          <t>First-Time, First-Year Admission</t>
        </is>
      </c>
      <c r="E62" t="inlineStr">
        <is>
          <t>Applications</t>
        </is>
      </c>
      <c r="F62" t="inlineStr">
        <is>
          <t>Enrolled</t>
        </is>
      </c>
      <c r="G62" t="inlineStr">
        <is>
          <t>Undergraduates</t>
        </is>
      </c>
      <c r="H62" t="inlineStr">
        <is>
          <t>First-time, first-year</t>
        </is>
      </c>
      <c r="I62" t="inlineStr">
        <is>
          <t>In-State</t>
        </is>
      </c>
      <c r="J62" t="inlineStr">
        <is>
          <t>All</t>
        </is>
      </c>
      <c r="K62" t="inlineStr">
        <is>
          <t>All</t>
        </is>
      </c>
      <c r="L62" t="inlineStr">
        <is>
          <t>Number</t>
        </is>
      </c>
    </row>
    <row r="63"/>
    <row r="64" ht="18" customHeight="1" s="44"/>
    <row r="65" ht="18" customHeight="1" s="44">
      <c r="A65" t="inlineStr">
        <is>
          <t>C123</t>
        </is>
      </c>
      <c r="B65" t="inlineStr">
        <is>
          <t>Total first-time, first-year who applied</t>
        </is>
      </c>
      <c r="D65" t="inlineStr">
        <is>
          <t>First-Time, First-Year Admission</t>
        </is>
      </c>
      <c r="E65" t="inlineStr">
        <is>
          <t>Applications</t>
        </is>
      </c>
      <c r="F65" t="inlineStr">
        <is>
          <t>Applied</t>
        </is>
      </c>
      <c r="G65" t="inlineStr">
        <is>
          <t>Undergraduates</t>
        </is>
      </c>
      <c r="H65" t="inlineStr">
        <is>
          <t>First-time, first-year</t>
        </is>
      </c>
      <c r="I65" t="inlineStr">
        <is>
          <t>Out-of-State</t>
        </is>
      </c>
      <c r="J65" t="inlineStr">
        <is>
          <t>All</t>
        </is>
      </c>
      <c r="K65" t="inlineStr">
        <is>
          <t>All</t>
        </is>
      </c>
      <c r="L65" t="inlineStr">
        <is>
          <t>Number</t>
        </is>
      </c>
    </row>
    <row r="66" ht="18" customHeight="1" s="44">
      <c r="A66" t="inlineStr">
        <is>
          <t>C124</t>
        </is>
      </c>
      <c r="B66" t="inlineStr">
        <is>
          <t>Total first-time, first-year who were admitted</t>
        </is>
      </c>
      <c r="D66" t="inlineStr">
        <is>
          <t>First-Time, First-Year Admission</t>
        </is>
      </c>
      <c r="E66" t="inlineStr">
        <is>
          <t>Applications</t>
        </is>
      </c>
      <c r="F66" t="inlineStr">
        <is>
          <t>Admitted</t>
        </is>
      </c>
      <c r="G66" t="inlineStr">
        <is>
          <t>Undergraduates</t>
        </is>
      </c>
      <c r="H66" t="inlineStr">
        <is>
          <t>First-time, first-year</t>
        </is>
      </c>
      <c r="I66" t="inlineStr">
        <is>
          <t>Out-of-State</t>
        </is>
      </c>
      <c r="J66" t="inlineStr">
        <is>
          <t>All</t>
        </is>
      </c>
      <c r="K66" t="inlineStr">
        <is>
          <t>All</t>
        </is>
      </c>
      <c r="L66" t="inlineStr">
        <is>
          <t>Number</t>
        </is>
      </c>
    </row>
    <row r="67" ht="18" customHeight="1" s="44">
      <c r="A67" t="inlineStr">
        <is>
          <t>C125</t>
        </is>
      </c>
      <c r="B67" t="inlineStr">
        <is>
          <t>Total first-time, first-year who enrolled</t>
        </is>
      </c>
      <c r="D67" t="inlineStr">
        <is>
          <t>First-Time, First-Year Admission</t>
        </is>
      </c>
      <c r="E67" t="inlineStr">
        <is>
          <t>Applications</t>
        </is>
      </c>
      <c r="F67" t="inlineStr">
        <is>
          <t>Enrolled</t>
        </is>
      </c>
      <c r="G67" t="inlineStr">
        <is>
          <t>Undergraduates</t>
        </is>
      </c>
      <c r="H67" t="inlineStr">
        <is>
          <t>First-time, first-year</t>
        </is>
      </c>
      <c r="I67" t="inlineStr">
        <is>
          <t>Out-of-State</t>
        </is>
      </c>
      <c r="J67" t="inlineStr">
        <is>
          <t>All</t>
        </is>
      </c>
      <c r="K67" t="inlineStr">
        <is>
          <t>All</t>
        </is>
      </c>
      <c r="L67" t="inlineStr">
        <is>
          <t>Number</t>
        </is>
      </c>
    </row>
    <row r="68"/>
    <row r="69" ht="18" customHeight="1" s="44"/>
    <row r="70" ht="18" customHeight="1" s="44">
      <c r="A70" t="inlineStr">
        <is>
          <t>C126</t>
        </is>
      </c>
      <c r="B70" t="inlineStr">
        <is>
          <t>Total first-time, first-year who applied</t>
        </is>
      </c>
      <c r="D70" t="inlineStr">
        <is>
          <t>First-Time, First-Year Admission</t>
        </is>
      </c>
      <c r="E70" t="inlineStr">
        <is>
          <t>Applications</t>
        </is>
      </c>
      <c r="F70" t="inlineStr">
        <is>
          <t>Applied</t>
        </is>
      </c>
      <c r="G70" t="inlineStr">
        <is>
          <t>Undergraduates</t>
        </is>
      </c>
      <c r="H70" t="inlineStr">
        <is>
          <t>First-time, first-year</t>
        </is>
      </c>
      <c r="I70" t="inlineStr">
        <is>
          <t>Nonresidents</t>
        </is>
      </c>
      <c r="J70" t="inlineStr">
        <is>
          <t>All</t>
        </is>
      </c>
      <c r="K70" t="inlineStr">
        <is>
          <t>All</t>
        </is>
      </c>
      <c r="L70" t="inlineStr">
        <is>
          <t>Number</t>
        </is>
      </c>
    </row>
    <row r="71" ht="18" customHeight="1" s="44">
      <c r="A71" t="inlineStr">
        <is>
          <t>C127</t>
        </is>
      </c>
      <c r="B71" t="inlineStr">
        <is>
          <t>Total first-time, first-year who were admitted</t>
        </is>
      </c>
      <c r="D71" t="inlineStr">
        <is>
          <t>First-Time, First-Year Admission</t>
        </is>
      </c>
      <c r="E71" t="inlineStr">
        <is>
          <t>Applications</t>
        </is>
      </c>
      <c r="F71" t="inlineStr">
        <is>
          <t>Admitted</t>
        </is>
      </c>
      <c r="G71" t="inlineStr">
        <is>
          <t>Undergraduates</t>
        </is>
      </c>
      <c r="H71" t="inlineStr">
        <is>
          <t>First-time, first-year</t>
        </is>
      </c>
      <c r="I71" t="inlineStr">
        <is>
          <t>Nonresidents</t>
        </is>
      </c>
      <c r="J71" t="inlineStr">
        <is>
          <t>All</t>
        </is>
      </c>
      <c r="K71" t="inlineStr">
        <is>
          <t>All</t>
        </is>
      </c>
      <c r="L71" t="inlineStr">
        <is>
          <t>Number</t>
        </is>
      </c>
    </row>
    <row r="72" ht="18" customHeight="1" s="44">
      <c r="A72" t="inlineStr">
        <is>
          <t>C128</t>
        </is>
      </c>
      <c r="B72" t="inlineStr">
        <is>
          <t>Total first-time, first-year who enrolled</t>
        </is>
      </c>
      <c r="D72" t="inlineStr">
        <is>
          <t>First-Time, First-Year Admission</t>
        </is>
      </c>
      <c r="E72" t="inlineStr">
        <is>
          <t>Applications</t>
        </is>
      </c>
      <c r="F72" t="inlineStr">
        <is>
          <t>Enrolled</t>
        </is>
      </c>
      <c r="G72" t="inlineStr">
        <is>
          <t>Undergraduates</t>
        </is>
      </c>
      <c r="H72" t="inlineStr">
        <is>
          <t>First-time, first-year</t>
        </is>
      </c>
      <c r="I72" t="inlineStr">
        <is>
          <t>Nonresidents</t>
        </is>
      </c>
      <c r="J72" t="inlineStr">
        <is>
          <t>All</t>
        </is>
      </c>
      <c r="K72" t="inlineStr">
        <is>
          <t>All</t>
        </is>
      </c>
      <c r="L72" t="inlineStr">
        <is>
          <t>Number</t>
        </is>
      </c>
    </row>
    <row r="73"/>
    <row r="74" ht="18" customHeight="1" s="44"/>
    <row r="75" ht="18" customHeight="1" s="44">
      <c r="A75" t="inlineStr">
        <is>
          <t>C129</t>
        </is>
      </c>
      <c r="B75" t="inlineStr">
        <is>
          <t>Total first-time, first-year who applied</t>
        </is>
      </c>
      <c r="D75" t="inlineStr">
        <is>
          <t>First-Time, First-Year Admission</t>
        </is>
      </c>
      <c r="E75" t="inlineStr">
        <is>
          <t>Applications</t>
        </is>
      </c>
      <c r="F75" t="inlineStr">
        <is>
          <t>Applied</t>
        </is>
      </c>
      <c r="G75" t="inlineStr">
        <is>
          <t>Undergraduates</t>
        </is>
      </c>
      <c r="H75" t="inlineStr">
        <is>
          <t>First-time, first-year</t>
        </is>
      </c>
      <c r="I75" t="inlineStr">
        <is>
          <t>Unknown</t>
        </is>
      </c>
      <c r="J75" t="inlineStr">
        <is>
          <t>All</t>
        </is>
      </c>
      <c r="K75" t="inlineStr">
        <is>
          <t>All</t>
        </is>
      </c>
      <c r="L75" t="inlineStr">
        <is>
          <t>Number</t>
        </is>
      </c>
    </row>
    <row r="76" ht="18" customHeight="1" s="44">
      <c r="A76" t="inlineStr">
        <is>
          <t>C130</t>
        </is>
      </c>
      <c r="B76" t="inlineStr">
        <is>
          <t>Total first-time, first-year who were admitted</t>
        </is>
      </c>
      <c r="D76" t="inlineStr">
        <is>
          <t>First-Time, First-Year Admission</t>
        </is>
      </c>
      <c r="E76" t="inlineStr">
        <is>
          <t>Applications</t>
        </is>
      </c>
      <c r="F76" t="inlineStr">
        <is>
          <t>Admitted</t>
        </is>
      </c>
      <c r="G76" t="inlineStr">
        <is>
          <t>Undergraduates</t>
        </is>
      </c>
      <c r="H76" t="inlineStr">
        <is>
          <t>First-time, first-year</t>
        </is>
      </c>
      <c r="I76" t="inlineStr">
        <is>
          <t>Unknown</t>
        </is>
      </c>
      <c r="J76" t="inlineStr">
        <is>
          <t>All</t>
        </is>
      </c>
      <c r="K76" t="inlineStr">
        <is>
          <t>All</t>
        </is>
      </c>
      <c r="L76" t="inlineStr">
        <is>
          <t>Number</t>
        </is>
      </c>
    </row>
    <row r="77" ht="18" customHeight="1" s="44">
      <c r="A77" t="inlineStr">
        <is>
          <t>C131</t>
        </is>
      </c>
      <c r="B77" t="inlineStr">
        <is>
          <t>Total first-time, first-year who enrolled</t>
        </is>
      </c>
      <c r="D77" t="inlineStr">
        <is>
          <t>First-Time, First-Year Admission</t>
        </is>
      </c>
      <c r="E77" t="inlineStr">
        <is>
          <t>Applications</t>
        </is>
      </c>
      <c r="F77" t="inlineStr">
        <is>
          <t>Enrolled</t>
        </is>
      </c>
      <c r="G77" t="inlineStr">
        <is>
          <t>Undergraduates</t>
        </is>
      </c>
      <c r="H77" t="inlineStr">
        <is>
          <t>First-time, first-year</t>
        </is>
      </c>
      <c r="I77" t="inlineStr">
        <is>
          <t>Unknown</t>
        </is>
      </c>
      <c r="J77" t="inlineStr">
        <is>
          <t>All</t>
        </is>
      </c>
      <c r="K77" t="inlineStr">
        <is>
          <t>All</t>
        </is>
      </c>
      <c r="L77" t="inlineStr">
        <is>
          <t>Number</t>
        </is>
      </c>
    </row>
    <row r="78"/>
    <row r="79"/>
    <row r="80"/>
    <row r="81"/>
    <row r="82"/>
    <row r="83"/>
    <row r="84" ht="18" customHeight="1" s="44"/>
    <row r="85" ht="18" customHeight="1" s="44">
      <c r="A85" t="inlineStr">
        <is>
          <t>C201</t>
        </is>
      </c>
      <c r="B85" t="inlineStr">
        <is>
          <t>Do you have a policy of placing students on a waiting list?</t>
        </is>
      </c>
      <c r="C85" t="inlineStr">
        <is>
          <t>Y</t>
        </is>
      </c>
      <c r="D85" t="inlineStr">
        <is>
          <t>First-Time, First-Year Admission</t>
        </is>
      </c>
      <c r="E85" t="inlineStr">
        <is>
          <t>Wait List</t>
        </is>
      </c>
      <c r="F85" t="inlineStr">
        <is>
          <t>Policy</t>
        </is>
      </c>
      <c r="G85" t="inlineStr">
        <is>
          <t>Undergraduates</t>
        </is>
      </c>
      <c r="H85" s="2" t="inlineStr">
        <is>
          <t>First-time, first-year</t>
        </is>
      </c>
      <c r="I85" t="inlineStr">
        <is>
          <t>All</t>
        </is>
      </c>
      <c r="J85" t="inlineStr">
        <is>
          <t>All</t>
        </is>
      </c>
      <c r="K85" t="inlineStr">
        <is>
          <t>All</t>
        </is>
      </c>
      <c r="L85" t="inlineStr">
        <is>
          <t>YN</t>
        </is>
      </c>
    </row>
    <row r="86"/>
    <row r="87"/>
    <row r="88"/>
    <row r="89"/>
    <row r="90"/>
    <row r="91" ht="18" customHeight="1" s="44">
      <c r="A91" t="inlineStr">
        <is>
          <t>C202</t>
        </is>
      </c>
      <c r="B91" t="inlineStr">
        <is>
          <t>Number of qualified applicants offered a place on waiting list:</t>
        </is>
      </c>
      <c r="C91" t="n">
        <v>12584</v>
      </c>
      <c r="D91" t="inlineStr">
        <is>
          <t>First-Time, First-Year Admission</t>
        </is>
      </c>
      <c r="E91" t="inlineStr">
        <is>
          <t>Wait List</t>
        </is>
      </c>
      <c r="F91" t="inlineStr">
        <is>
          <t>Applied</t>
        </is>
      </c>
      <c r="G91" t="inlineStr">
        <is>
          <t>Undergraduates</t>
        </is>
      </c>
      <c r="H91" s="2" t="inlineStr">
        <is>
          <t>First-time, first-year</t>
        </is>
      </c>
      <c r="I91" t="inlineStr">
        <is>
          <t>All</t>
        </is>
      </c>
      <c r="J91" t="inlineStr">
        <is>
          <t>All</t>
        </is>
      </c>
      <c r="K91" t="inlineStr">
        <is>
          <t>All</t>
        </is>
      </c>
      <c r="L91" t="inlineStr">
        <is>
          <t>Number</t>
        </is>
      </c>
    </row>
    <row r="92" ht="18" customHeight="1" s="44">
      <c r="A92" t="inlineStr">
        <is>
          <t>C203</t>
        </is>
      </c>
      <c r="B92" t="inlineStr">
        <is>
          <t>Number accepting a place on the waiting list:</t>
        </is>
      </c>
      <c r="C92" t="n">
        <v>7644</v>
      </c>
      <c r="D92" t="inlineStr">
        <is>
          <t>First-Time, First-Year Admission</t>
        </is>
      </c>
      <c r="E92" t="inlineStr">
        <is>
          <t>Wait List</t>
        </is>
      </c>
      <c r="F92" t="inlineStr">
        <is>
          <t>Accepting Offer</t>
        </is>
      </c>
      <c r="G92" t="inlineStr">
        <is>
          <t>Undergraduates</t>
        </is>
      </c>
      <c r="H92" s="2" t="inlineStr">
        <is>
          <t>First-time, first-year</t>
        </is>
      </c>
      <c r="I92" t="inlineStr">
        <is>
          <t>All</t>
        </is>
      </c>
      <c r="J92" t="inlineStr">
        <is>
          <t>All</t>
        </is>
      </c>
      <c r="K92" t="inlineStr">
        <is>
          <t>All</t>
        </is>
      </c>
      <c r="L92" t="inlineStr">
        <is>
          <t>Number</t>
        </is>
      </c>
    </row>
    <row r="93" ht="18" customHeight="1" s="44">
      <c r="A93" t="inlineStr">
        <is>
          <t>C204</t>
        </is>
      </c>
      <c r="B93" t="inlineStr">
        <is>
          <t>Number of wait-listed students admitted:</t>
        </is>
      </c>
      <c r="C93" t="n">
        <v>493</v>
      </c>
      <c r="D93" t="inlineStr">
        <is>
          <t>First-Time, First-Year Admission</t>
        </is>
      </c>
      <c r="E93" t="inlineStr">
        <is>
          <t>Wait List</t>
        </is>
      </c>
      <c r="F93" t="inlineStr">
        <is>
          <t>Admitted</t>
        </is>
      </c>
      <c r="G93" t="inlineStr">
        <is>
          <t>Undergraduates</t>
        </is>
      </c>
      <c r="H93" s="2" t="inlineStr">
        <is>
          <t>First-time, first-year</t>
        </is>
      </c>
      <c r="I93" t="inlineStr">
        <is>
          <t>All</t>
        </is>
      </c>
      <c r="J93" t="inlineStr">
        <is>
          <t>All</t>
        </is>
      </c>
      <c r="K93" t="inlineStr">
        <is>
          <t>All</t>
        </is>
      </c>
      <c r="L93" t="inlineStr">
        <is>
          <t>Number</t>
        </is>
      </c>
    </row>
    <row r="94"/>
    <row r="95" ht="18" customHeight="1" s="44"/>
    <row r="96" ht="18" customHeight="1" s="44">
      <c r="A96" t="inlineStr">
        <is>
          <t>C205</t>
        </is>
      </c>
      <c r="B96" t="inlineStr">
        <is>
          <t>Is your waiting list ranked?</t>
        </is>
      </c>
      <c r="C96" t="inlineStr">
        <is>
          <t>N</t>
        </is>
      </c>
      <c r="D96" t="inlineStr">
        <is>
          <t>First-Time, First-Year Admission</t>
        </is>
      </c>
      <c r="E96" t="inlineStr">
        <is>
          <t>Wait List</t>
        </is>
      </c>
      <c r="F96" t="inlineStr">
        <is>
          <t>Policy</t>
        </is>
      </c>
      <c r="G96" t="inlineStr">
        <is>
          <t>Undergraduates</t>
        </is>
      </c>
      <c r="H96" s="2" t="inlineStr">
        <is>
          <t>First-time, first-year</t>
        </is>
      </c>
      <c r="I96" t="inlineStr">
        <is>
          <t>All</t>
        </is>
      </c>
      <c r="J96" t="inlineStr">
        <is>
          <t>All</t>
        </is>
      </c>
      <c r="K96" t="inlineStr">
        <is>
          <t>All</t>
        </is>
      </c>
      <c r="L96" t="inlineStr">
        <is>
          <t>YN</t>
        </is>
      </c>
    </row>
    <row r="97" ht="18" customHeight="1" s="44">
      <c r="A97" t="inlineStr">
        <is>
          <t>C206</t>
        </is>
      </c>
      <c r="B97" t="inlineStr">
        <is>
          <t>If yes, do you release that information to students?</t>
        </is>
      </c>
      <c r="D97" t="inlineStr">
        <is>
          <t>First-Time, First-Year Admission</t>
        </is>
      </c>
      <c r="E97" t="inlineStr">
        <is>
          <t>Wait List</t>
        </is>
      </c>
      <c r="F97" t="inlineStr">
        <is>
          <t>Policy</t>
        </is>
      </c>
      <c r="G97" t="inlineStr">
        <is>
          <t>Undergraduates</t>
        </is>
      </c>
      <c r="H97" s="2" t="inlineStr">
        <is>
          <t>First-time, first-year</t>
        </is>
      </c>
      <c r="I97" t="inlineStr">
        <is>
          <t>All</t>
        </is>
      </c>
      <c r="J97" t="inlineStr">
        <is>
          <t>All</t>
        </is>
      </c>
      <c r="K97" t="inlineStr">
        <is>
          <t>All</t>
        </is>
      </c>
      <c r="L97" t="inlineStr">
        <is>
          <t>YN</t>
        </is>
      </c>
    </row>
    <row r="98" ht="18" customHeight="1" s="44">
      <c r="A98" t="inlineStr">
        <is>
          <t>C207</t>
        </is>
      </c>
      <c r="B98" t="inlineStr">
        <is>
          <t>Do you release that information to school counselors?</t>
        </is>
      </c>
      <c r="D98" t="inlineStr">
        <is>
          <t>First-Time, First-Year Admission</t>
        </is>
      </c>
      <c r="E98" t="inlineStr">
        <is>
          <t>Wait List</t>
        </is>
      </c>
      <c r="F98" t="inlineStr">
        <is>
          <t>Policy</t>
        </is>
      </c>
      <c r="G98" t="inlineStr">
        <is>
          <t>Undergraduates</t>
        </is>
      </c>
      <c r="H98" s="2" t="inlineStr">
        <is>
          <t>First-time, first-year</t>
        </is>
      </c>
      <c r="I98" t="inlineStr">
        <is>
          <t>All</t>
        </is>
      </c>
      <c r="J98" t="inlineStr">
        <is>
          <t>All</t>
        </is>
      </c>
      <c r="K98" t="inlineStr">
        <is>
          <t>All</t>
        </is>
      </c>
      <c r="L98" t="inlineStr">
        <is>
          <t>YN</t>
        </is>
      </c>
    </row>
    <row r="99"/>
    <row r="100"/>
    <row r="101"/>
    <row r="102"/>
    <row r="103"/>
    <row r="104"/>
    <row r="105"/>
    <row r="106"/>
    <row r="107"/>
    <row r="108"/>
    <row r="109"/>
    <row r="110" ht="18" customHeight="1" s="44">
      <c r="A110" t="inlineStr">
        <is>
          <t>C301</t>
        </is>
      </c>
      <c r="B110" t="inlineStr">
        <is>
          <t>High school diploma is required and GED is accepted</t>
        </is>
      </c>
      <c r="C110" t="inlineStr">
        <is>
          <t>X</t>
        </is>
      </c>
      <c r="D110" t="inlineStr">
        <is>
          <t>First-Time, First-Year Admission</t>
        </is>
      </c>
      <c r="E110" t="inlineStr">
        <is>
          <t>Admissions Requirements</t>
        </is>
      </c>
      <c r="F110" t="inlineStr">
        <is>
          <t>High School completion</t>
        </is>
      </c>
      <c r="G110" t="inlineStr">
        <is>
          <t>Undergraduates</t>
        </is>
      </c>
      <c r="H110" s="2" t="inlineStr">
        <is>
          <t>First-time, first-year</t>
        </is>
      </c>
      <c r="I110" t="inlineStr">
        <is>
          <t>All</t>
        </is>
      </c>
      <c r="J110" t="inlineStr">
        <is>
          <t>All</t>
        </is>
      </c>
      <c r="K110" t="inlineStr">
        <is>
          <t>All</t>
        </is>
      </c>
      <c r="L110" t="inlineStr">
        <is>
          <t>x</t>
        </is>
      </c>
    </row>
    <row r="111" ht="18" customHeight="1" s="44">
      <c r="A111" t="inlineStr">
        <is>
          <t>C302</t>
        </is>
      </c>
      <c r="B111" t="inlineStr">
        <is>
          <t>High school diploma is required and GED is not accepted</t>
        </is>
      </c>
      <c r="D111" t="inlineStr">
        <is>
          <t>First-Time, First-Year Admission</t>
        </is>
      </c>
      <c r="E111" t="inlineStr">
        <is>
          <t>Admissions Requirements</t>
        </is>
      </c>
      <c r="F111" t="inlineStr">
        <is>
          <t>High School completion</t>
        </is>
      </c>
      <c r="G111" t="inlineStr">
        <is>
          <t>Undergraduates</t>
        </is>
      </c>
      <c r="H111" s="2" t="inlineStr">
        <is>
          <t>First-time, first-year</t>
        </is>
      </c>
      <c r="I111" t="inlineStr">
        <is>
          <t>All</t>
        </is>
      </c>
      <c r="J111" t="inlineStr">
        <is>
          <t>All</t>
        </is>
      </c>
      <c r="K111" t="inlineStr">
        <is>
          <t>All</t>
        </is>
      </c>
      <c r="L111" t="inlineStr">
        <is>
          <t>x</t>
        </is>
      </c>
    </row>
    <row r="112" ht="18" customHeight="1" s="44">
      <c r="A112" t="inlineStr">
        <is>
          <t>C303</t>
        </is>
      </c>
      <c r="B112" t="inlineStr">
        <is>
          <t>High school diploma or equivalent is not required</t>
        </is>
      </c>
      <c r="D112" t="inlineStr">
        <is>
          <t>First-Time, First-Year Admission</t>
        </is>
      </c>
      <c r="E112" t="inlineStr">
        <is>
          <t>Admissions Requirements</t>
        </is>
      </c>
      <c r="F112" t="inlineStr">
        <is>
          <t>High School completion</t>
        </is>
      </c>
      <c r="G112" t="inlineStr">
        <is>
          <t>Undergraduates</t>
        </is>
      </c>
      <c r="H112" s="2" t="inlineStr">
        <is>
          <t>First-time, first-year</t>
        </is>
      </c>
      <c r="I112" t="inlineStr">
        <is>
          <t>All</t>
        </is>
      </c>
      <c r="J112" t="inlineStr">
        <is>
          <t>All</t>
        </is>
      </c>
      <c r="K112" t="inlineStr">
        <is>
          <t>All</t>
        </is>
      </c>
      <c r="L112" t="inlineStr">
        <is>
          <t>x</t>
        </is>
      </c>
    </row>
    <row r="113"/>
    <row r="114"/>
    <row r="115"/>
    <row r="116"/>
    <row r="117"/>
    <row r="118" ht="18" customHeight="1" s="44">
      <c r="A118" t="inlineStr">
        <is>
          <t>C401</t>
        </is>
      </c>
      <c r="B118" t="inlineStr">
        <is>
          <t>Require</t>
        </is>
      </c>
      <c r="C118" t="inlineStr">
        <is>
          <t>x</t>
        </is>
      </c>
      <c r="D118" t="inlineStr">
        <is>
          <t>First-Time, First-Year Admission</t>
        </is>
      </c>
      <c r="E118" t="inlineStr">
        <is>
          <t>Admissions Requirements</t>
        </is>
      </c>
      <c r="F118" t="inlineStr">
        <is>
          <t xml:space="preserve">College-preparatory Program </t>
        </is>
      </c>
      <c r="G118" t="inlineStr">
        <is>
          <t>Undergraduates</t>
        </is>
      </c>
      <c r="H118" s="2" t="inlineStr">
        <is>
          <t>First-time, first-year</t>
        </is>
      </c>
      <c r="I118" t="inlineStr">
        <is>
          <t>All</t>
        </is>
      </c>
      <c r="J118" t="inlineStr">
        <is>
          <t>All</t>
        </is>
      </c>
      <c r="K118" t="inlineStr">
        <is>
          <t>All</t>
        </is>
      </c>
      <c r="L118" t="inlineStr">
        <is>
          <t>x</t>
        </is>
      </c>
    </row>
    <row r="119" ht="18" customHeight="1" s="44">
      <c r="A119" t="inlineStr">
        <is>
          <t>C402</t>
        </is>
      </c>
      <c r="B119" t="inlineStr">
        <is>
          <t>Recommend</t>
        </is>
      </c>
      <c r="D119" t="inlineStr">
        <is>
          <t>First-Time, First-Year Admission</t>
        </is>
      </c>
      <c r="E119" t="inlineStr">
        <is>
          <t>Admissions Requirements</t>
        </is>
      </c>
      <c r="F119" t="inlineStr">
        <is>
          <t xml:space="preserve">College-preparatory Program </t>
        </is>
      </c>
      <c r="G119" t="inlineStr">
        <is>
          <t>Undergraduates</t>
        </is>
      </c>
      <c r="H119" s="2" t="inlineStr">
        <is>
          <t>First-time, first-year</t>
        </is>
      </c>
      <c r="I119" t="inlineStr">
        <is>
          <t>All</t>
        </is>
      </c>
      <c r="J119" t="inlineStr">
        <is>
          <t>All</t>
        </is>
      </c>
      <c r="K119" t="inlineStr">
        <is>
          <t>All</t>
        </is>
      </c>
      <c r="L119" t="inlineStr">
        <is>
          <t>x</t>
        </is>
      </c>
    </row>
    <row r="120" ht="18" customHeight="1" s="44">
      <c r="A120" t="inlineStr">
        <is>
          <t>C403</t>
        </is>
      </c>
      <c r="B120" t="inlineStr">
        <is>
          <t>Neither require nor recommend</t>
        </is>
      </c>
      <c r="D120" t="inlineStr">
        <is>
          <t>First-Time, First-Year Admission</t>
        </is>
      </c>
      <c r="E120" t="inlineStr">
        <is>
          <t>Admissions Requirements</t>
        </is>
      </c>
      <c r="F120" t="inlineStr">
        <is>
          <t xml:space="preserve">College-preparatory Program </t>
        </is>
      </c>
      <c r="G120" t="inlineStr">
        <is>
          <t>Undergraduates</t>
        </is>
      </c>
      <c r="H120" s="2" t="inlineStr">
        <is>
          <t>First-time, first-year</t>
        </is>
      </c>
      <c r="I120" t="inlineStr">
        <is>
          <t>All</t>
        </is>
      </c>
      <c r="J120" t="inlineStr">
        <is>
          <t>All</t>
        </is>
      </c>
      <c r="K120" t="inlineStr">
        <is>
          <t>All</t>
        </is>
      </c>
      <c r="L120" t="inlineStr">
        <is>
          <t>x</t>
        </is>
      </c>
    </row>
    <row r="121"/>
    <row r="122"/>
    <row r="123" ht="18" customHeight="1" s="44"/>
    <row r="124"/>
    <row r="125"/>
    <row r="126"/>
    <row r="127"/>
    <row r="128"/>
    <row r="129"/>
    <row r="130" ht="18" customHeight="1" s="44"/>
    <row r="131" ht="18" customHeight="1" s="44">
      <c r="A131" t="inlineStr">
        <is>
          <t>C501</t>
        </is>
      </c>
      <c r="B131" t="inlineStr">
        <is>
          <t>Total academic units</t>
        </is>
      </c>
      <c r="C131" t="n">
        <v>17</v>
      </c>
      <c r="D131" t="inlineStr">
        <is>
          <t>First-Time, First-Year Admission</t>
        </is>
      </c>
      <c r="E131" t="inlineStr">
        <is>
          <t>Admissions Requirements</t>
        </is>
      </c>
      <c r="F131" t="inlineStr">
        <is>
          <t>High School Units Required</t>
        </is>
      </c>
      <c r="G131" t="inlineStr">
        <is>
          <t>Undergraduates</t>
        </is>
      </c>
      <c r="H131" s="2" t="inlineStr">
        <is>
          <t>First-time, first-year</t>
        </is>
      </c>
      <c r="I131" t="inlineStr">
        <is>
          <t>All</t>
        </is>
      </c>
      <c r="J131" t="inlineStr">
        <is>
          <t>All</t>
        </is>
      </c>
      <c r="K131" t="inlineStr">
        <is>
          <t>All</t>
        </is>
      </c>
      <c r="L131" t="inlineStr">
        <is>
          <t>Carnegie units</t>
        </is>
      </c>
    </row>
    <row r="132" ht="18" customHeight="1" s="44">
      <c r="A132" t="inlineStr">
        <is>
          <t>C502</t>
        </is>
      </c>
      <c r="B132" t="inlineStr">
        <is>
          <t>English</t>
        </is>
      </c>
      <c r="C132" t="n">
        <v>4</v>
      </c>
      <c r="D132" t="inlineStr">
        <is>
          <t>First-Time, First-Year Admission</t>
        </is>
      </c>
      <c r="E132" t="inlineStr">
        <is>
          <t>Admissions Requirements</t>
        </is>
      </c>
      <c r="F132" t="inlineStr">
        <is>
          <t>High School Units Required</t>
        </is>
      </c>
      <c r="G132" t="inlineStr">
        <is>
          <t>Undergraduates</t>
        </is>
      </c>
      <c r="H132" s="2" t="inlineStr">
        <is>
          <t>First-time, first-year</t>
        </is>
      </c>
      <c r="I132" t="inlineStr">
        <is>
          <t>All</t>
        </is>
      </c>
      <c r="J132" t="inlineStr">
        <is>
          <t>All</t>
        </is>
      </c>
      <c r="K132" t="inlineStr">
        <is>
          <t>All</t>
        </is>
      </c>
      <c r="L132" t="inlineStr">
        <is>
          <t>Carnegie units</t>
        </is>
      </c>
    </row>
    <row r="133" ht="18" customHeight="1" s="44">
      <c r="A133" t="inlineStr">
        <is>
          <t>C503</t>
        </is>
      </c>
      <c r="B133" t="inlineStr">
        <is>
          <t>Mathematics</t>
        </is>
      </c>
      <c r="C133" t="n">
        <v>3</v>
      </c>
      <c r="D133" t="inlineStr">
        <is>
          <t>First-Time, First-Year Admission</t>
        </is>
      </c>
      <c r="E133" t="inlineStr">
        <is>
          <t>Admissions Requirements</t>
        </is>
      </c>
      <c r="F133" t="inlineStr">
        <is>
          <t>High School Units Required</t>
        </is>
      </c>
      <c r="G133" t="inlineStr">
        <is>
          <t>Undergraduates</t>
        </is>
      </c>
      <c r="H133" s="2" t="inlineStr">
        <is>
          <t>First-time, first-year</t>
        </is>
      </c>
      <c r="I133" t="inlineStr">
        <is>
          <t>All</t>
        </is>
      </c>
      <c r="J133" t="inlineStr">
        <is>
          <t>All</t>
        </is>
      </c>
      <c r="K133" t="inlineStr">
        <is>
          <t>All</t>
        </is>
      </c>
      <c r="L133" t="inlineStr">
        <is>
          <t>Carnegie units</t>
        </is>
      </c>
    </row>
    <row r="134" ht="18" customHeight="1" s="44">
      <c r="A134" t="inlineStr">
        <is>
          <t>C504</t>
        </is>
      </c>
      <c r="B134" t="inlineStr">
        <is>
          <t>Science</t>
        </is>
      </c>
      <c r="C134" t="n">
        <v>3</v>
      </c>
      <c r="D134" t="inlineStr">
        <is>
          <t>First-Time, First-Year Admission</t>
        </is>
      </c>
      <c r="E134" t="inlineStr">
        <is>
          <t>Admissions Requirements</t>
        </is>
      </c>
      <c r="F134" t="inlineStr">
        <is>
          <t>High School Units Required</t>
        </is>
      </c>
      <c r="G134" t="inlineStr">
        <is>
          <t>Undergraduates</t>
        </is>
      </c>
      <c r="H134" s="2" t="inlineStr">
        <is>
          <t>First-time, first-year</t>
        </is>
      </c>
      <c r="I134" t="inlineStr">
        <is>
          <t>All</t>
        </is>
      </c>
      <c r="J134" t="inlineStr">
        <is>
          <t>All</t>
        </is>
      </c>
      <c r="K134" t="inlineStr">
        <is>
          <t>All</t>
        </is>
      </c>
      <c r="L134" t="inlineStr">
        <is>
          <t>Carnegie units</t>
        </is>
      </c>
    </row>
    <row r="135" ht="18" customHeight="1" s="44">
      <c r="A135" t="inlineStr">
        <is>
          <t>C505</t>
        </is>
      </c>
      <c r="B135" t="inlineStr">
        <is>
          <t xml:space="preserve">    Of these, units that must be lab</t>
        </is>
      </c>
      <c r="D135" t="inlineStr">
        <is>
          <t>First-Time, First-Year Admission</t>
        </is>
      </c>
      <c r="E135" t="inlineStr">
        <is>
          <t>Admissions Requirements</t>
        </is>
      </c>
      <c r="F135" t="inlineStr">
        <is>
          <t>High School Units Required</t>
        </is>
      </c>
      <c r="G135" t="inlineStr">
        <is>
          <t>Undergraduates</t>
        </is>
      </c>
      <c r="H135" s="2" t="inlineStr">
        <is>
          <t>First-time, first-year</t>
        </is>
      </c>
      <c r="I135" t="inlineStr">
        <is>
          <t>All</t>
        </is>
      </c>
      <c r="J135" t="inlineStr">
        <is>
          <t>All</t>
        </is>
      </c>
      <c r="K135" t="inlineStr">
        <is>
          <t>All</t>
        </is>
      </c>
      <c r="L135" t="inlineStr">
        <is>
          <t>Carnegie units</t>
        </is>
      </c>
    </row>
    <row r="136" ht="18" customHeight="1" s="44">
      <c r="A136" t="inlineStr">
        <is>
          <t>C506</t>
        </is>
      </c>
      <c r="B136" t="inlineStr">
        <is>
          <t>Foreign language</t>
        </is>
      </c>
      <c r="C136" t="n">
        <v>2</v>
      </c>
      <c r="D136" t="inlineStr">
        <is>
          <t>First-Time, First-Year Admission</t>
        </is>
      </c>
      <c r="E136" t="inlineStr">
        <is>
          <t>Admissions Requirements</t>
        </is>
      </c>
      <c r="F136" t="inlineStr">
        <is>
          <t>High School Units Required</t>
        </is>
      </c>
      <c r="G136" t="inlineStr">
        <is>
          <t>Undergraduates</t>
        </is>
      </c>
      <c r="H136" s="2" t="inlineStr">
        <is>
          <t>First-time, first-year</t>
        </is>
      </c>
      <c r="I136" t="inlineStr">
        <is>
          <t>All</t>
        </is>
      </c>
      <c r="J136" t="inlineStr">
        <is>
          <t>All</t>
        </is>
      </c>
      <c r="K136" t="inlineStr">
        <is>
          <t>All</t>
        </is>
      </c>
      <c r="L136" t="inlineStr">
        <is>
          <t>Carnegie units</t>
        </is>
      </c>
    </row>
    <row r="137" ht="18" customHeight="1" s="44">
      <c r="A137" t="inlineStr">
        <is>
          <t>C507</t>
        </is>
      </c>
      <c r="B137" t="inlineStr">
        <is>
          <t>Social studies</t>
        </is>
      </c>
      <c r="C137" t="n">
        <v>3</v>
      </c>
      <c r="D137" t="inlineStr">
        <is>
          <t>First-Time, First-Year Admission</t>
        </is>
      </c>
      <c r="E137" t="inlineStr">
        <is>
          <t>Admissions Requirements</t>
        </is>
      </c>
      <c r="F137" t="inlineStr">
        <is>
          <t>High School Units Required</t>
        </is>
      </c>
      <c r="G137" t="inlineStr">
        <is>
          <t>Undergraduates</t>
        </is>
      </c>
      <c r="H137" s="2" t="inlineStr">
        <is>
          <t>First-time, first-year</t>
        </is>
      </c>
      <c r="I137" t="inlineStr">
        <is>
          <t>All</t>
        </is>
      </c>
      <c r="J137" t="inlineStr">
        <is>
          <t>All</t>
        </is>
      </c>
      <c r="K137" t="inlineStr">
        <is>
          <t>All</t>
        </is>
      </c>
      <c r="L137" t="inlineStr">
        <is>
          <t>Carnegie units</t>
        </is>
      </c>
    </row>
    <row r="138" ht="18" customHeight="1" s="44">
      <c r="A138" t="inlineStr">
        <is>
          <t>C508</t>
        </is>
      </c>
      <c r="B138" t="inlineStr">
        <is>
          <t>History</t>
        </is>
      </c>
      <c r="D138" t="inlineStr">
        <is>
          <t>First-Time, First-Year Admission</t>
        </is>
      </c>
      <c r="E138" t="inlineStr">
        <is>
          <t>Admissions Requirements</t>
        </is>
      </c>
      <c r="F138" t="inlineStr">
        <is>
          <t>High School Units Required</t>
        </is>
      </c>
      <c r="G138" t="inlineStr">
        <is>
          <t>Undergraduates</t>
        </is>
      </c>
      <c r="H138" s="2" t="inlineStr">
        <is>
          <t>First-time, first-year</t>
        </is>
      </c>
      <c r="I138" t="inlineStr">
        <is>
          <t>All</t>
        </is>
      </c>
      <c r="J138" t="inlineStr">
        <is>
          <t>All</t>
        </is>
      </c>
      <c r="K138" t="inlineStr">
        <is>
          <t>All</t>
        </is>
      </c>
      <c r="L138" t="inlineStr">
        <is>
          <t>Carnegie units</t>
        </is>
      </c>
    </row>
    <row r="139" ht="18" customHeight="1" s="44">
      <c r="A139" t="inlineStr">
        <is>
          <t>C509</t>
        </is>
      </c>
      <c r="B139" t="inlineStr">
        <is>
          <t>Academic electives</t>
        </is>
      </c>
      <c r="D139" t="inlineStr">
        <is>
          <t>First-Time, First-Year Admission</t>
        </is>
      </c>
      <c r="E139" t="inlineStr">
        <is>
          <t>Admissions Requirements</t>
        </is>
      </c>
      <c r="F139" t="inlineStr">
        <is>
          <t>High School Units Required</t>
        </is>
      </c>
      <c r="G139" t="inlineStr">
        <is>
          <t>Undergraduates</t>
        </is>
      </c>
      <c r="H139" s="2" t="inlineStr">
        <is>
          <t>First-time, first-year</t>
        </is>
      </c>
      <c r="I139" t="inlineStr">
        <is>
          <t>All</t>
        </is>
      </c>
      <c r="J139" t="inlineStr">
        <is>
          <t>All</t>
        </is>
      </c>
      <c r="K139" t="inlineStr">
        <is>
          <t>All</t>
        </is>
      </c>
      <c r="L139" t="inlineStr">
        <is>
          <t>Carnegie units</t>
        </is>
      </c>
    </row>
    <row r="140" ht="18" customHeight="1" s="44">
      <c r="A140" t="inlineStr">
        <is>
          <t>C510</t>
        </is>
      </c>
      <c r="B140" t="inlineStr">
        <is>
          <t>Computer Science</t>
        </is>
      </c>
      <c r="D140" t="inlineStr">
        <is>
          <t>First-Time, First-Year Admission</t>
        </is>
      </c>
      <c r="E140" t="inlineStr">
        <is>
          <t>Admissions Requirements</t>
        </is>
      </c>
      <c r="F140" t="inlineStr">
        <is>
          <t>High School Units Required</t>
        </is>
      </c>
      <c r="G140" t="inlineStr">
        <is>
          <t>Undergraduates</t>
        </is>
      </c>
      <c r="H140" s="2" t="inlineStr">
        <is>
          <t>First-time, first-year</t>
        </is>
      </c>
      <c r="I140" t="inlineStr">
        <is>
          <t>All</t>
        </is>
      </c>
      <c r="J140" t="inlineStr">
        <is>
          <t>All</t>
        </is>
      </c>
      <c r="K140" t="inlineStr">
        <is>
          <t>All</t>
        </is>
      </c>
      <c r="L140" t="inlineStr">
        <is>
          <t>Carnegie units</t>
        </is>
      </c>
    </row>
    <row r="141" ht="18" customHeight="1" s="44">
      <c r="A141" t="inlineStr">
        <is>
          <t>C511</t>
        </is>
      </c>
      <c r="B141" t="inlineStr">
        <is>
          <t>Visual/Performing Arts</t>
        </is>
      </c>
      <c r="D141" t="inlineStr">
        <is>
          <t>First-Time, First-Year Admission</t>
        </is>
      </c>
      <c r="E141" t="inlineStr">
        <is>
          <t>Admissions Requirements</t>
        </is>
      </c>
      <c r="F141" t="inlineStr">
        <is>
          <t>High School Units Required</t>
        </is>
      </c>
      <c r="G141" t="inlineStr">
        <is>
          <t>Undergraduates</t>
        </is>
      </c>
      <c r="H141" s="2" t="inlineStr">
        <is>
          <t>First-time, first-year</t>
        </is>
      </c>
      <c r="I141" t="inlineStr">
        <is>
          <t>All</t>
        </is>
      </c>
      <c r="J141" t="inlineStr">
        <is>
          <t>All</t>
        </is>
      </c>
      <c r="K141" t="inlineStr">
        <is>
          <t>All</t>
        </is>
      </c>
      <c r="L141" t="inlineStr">
        <is>
          <t>Carnegie units</t>
        </is>
      </c>
    </row>
    <row r="142" ht="18" customHeight="1" s="44">
      <c r="H142" s="2" t="n"/>
    </row>
    <row r="143" ht="18" customHeight="1" s="44">
      <c r="A143" t="inlineStr">
        <is>
          <t>C512</t>
        </is>
      </c>
      <c r="B143" t="inlineStr">
        <is>
          <t>Other (specify)</t>
        </is>
      </c>
      <c r="C143" t="inlineStr">
        <is>
          <t>2 additional academic/fine arts electives</t>
        </is>
      </c>
      <c r="D143" t="inlineStr">
        <is>
          <t>First-Time, First-Year Admission</t>
        </is>
      </c>
      <c r="E143" t="inlineStr">
        <is>
          <t>Admissions Requirements</t>
        </is>
      </c>
      <c r="F143" t="inlineStr">
        <is>
          <t>High School Units Required</t>
        </is>
      </c>
      <c r="G143" t="inlineStr">
        <is>
          <t>Undergraduates</t>
        </is>
      </c>
      <c r="H143" s="2" t="inlineStr">
        <is>
          <t>First-time, first-year</t>
        </is>
      </c>
      <c r="I143" t="inlineStr">
        <is>
          <t>All</t>
        </is>
      </c>
      <c r="J143" t="inlineStr">
        <is>
          <t>All</t>
        </is>
      </c>
      <c r="K143" t="inlineStr">
        <is>
          <t>All</t>
        </is>
      </c>
      <c r="L143" t="inlineStr">
        <is>
          <t>Text</t>
        </is>
      </c>
    </row>
    <row r="144" ht="18" customHeight="1" s="44">
      <c r="H144" s="2" t="n"/>
    </row>
    <row r="145" ht="18" customHeight="1" s="44">
      <c r="A145" t="inlineStr">
        <is>
          <t>C513</t>
        </is>
      </c>
      <c r="B145" t="inlineStr">
        <is>
          <t>Total academic units</t>
        </is>
      </c>
      <c r="C145" t="n">
        <v>22</v>
      </c>
      <c r="D145" t="inlineStr">
        <is>
          <t>First-Time, First-Year Admission</t>
        </is>
      </c>
      <c r="E145" t="inlineStr">
        <is>
          <t>Admissions Requirements</t>
        </is>
      </c>
      <c r="F145" t="inlineStr">
        <is>
          <t>High School Units Recommended</t>
        </is>
      </c>
      <c r="G145" t="inlineStr">
        <is>
          <t>Undergraduates</t>
        </is>
      </c>
      <c r="H145" s="2" t="inlineStr">
        <is>
          <t>First-time, first-year</t>
        </is>
      </c>
      <c r="I145" t="inlineStr">
        <is>
          <t>All</t>
        </is>
      </c>
      <c r="J145" t="inlineStr">
        <is>
          <t>All</t>
        </is>
      </c>
      <c r="K145" t="inlineStr">
        <is>
          <t>All</t>
        </is>
      </c>
      <c r="L145" t="inlineStr">
        <is>
          <t>Carnegie units</t>
        </is>
      </c>
    </row>
    <row r="146" ht="18" customHeight="1" s="44">
      <c r="A146" t="inlineStr">
        <is>
          <t>C514</t>
        </is>
      </c>
      <c r="B146" t="inlineStr">
        <is>
          <t>English</t>
        </is>
      </c>
      <c r="C146" t="n">
        <v>4</v>
      </c>
      <c r="D146" t="inlineStr">
        <is>
          <t>First-Time, First-Year Admission</t>
        </is>
      </c>
      <c r="E146" t="inlineStr">
        <is>
          <t>Admissions Requirements</t>
        </is>
      </c>
      <c r="F146" t="inlineStr">
        <is>
          <t>High School Units Recommended</t>
        </is>
      </c>
      <c r="G146" t="inlineStr">
        <is>
          <t>Undergraduates</t>
        </is>
      </c>
      <c r="H146" s="2" t="inlineStr">
        <is>
          <t>First-time, first-year</t>
        </is>
      </c>
      <c r="I146" t="inlineStr">
        <is>
          <t>All</t>
        </is>
      </c>
      <c r="J146" t="inlineStr">
        <is>
          <t>All</t>
        </is>
      </c>
      <c r="K146" t="inlineStr">
        <is>
          <t>All</t>
        </is>
      </c>
      <c r="L146" t="inlineStr">
        <is>
          <t>Carnegie units</t>
        </is>
      </c>
    </row>
    <row r="147" ht="18" customHeight="1" s="44">
      <c r="A147" t="inlineStr">
        <is>
          <t>C515</t>
        </is>
      </c>
      <c r="B147" t="inlineStr">
        <is>
          <t>Mathematics</t>
        </is>
      </c>
      <c r="C147" t="n">
        <v>4</v>
      </c>
      <c r="D147" t="inlineStr">
        <is>
          <t>First-Time, First-Year Admission</t>
        </is>
      </c>
      <c r="E147" t="inlineStr">
        <is>
          <t>Admissions Requirements</t>
        </is>
      </c>
      <c r="F147" t="inlineStr">
        <is>
          <t>High School Units Recommended</t>
        </is>
      </c>
      <c r="G147" t="inlineStr">
        <is>
          <t>Undergraduates</t>
        </is>
      </c>
      <c r="H147" s="2" t="inlineStr">
        <is>
          <t>First-time, first-year</t>
        </is>
      </c>
      <c r="I147" t="inlineStr">
        <is>
          <t>All</t>
        </is>
      </c>
      <c r="J147" t="inlineStr">
        <is>
          <t>All</t>
        </is>
      </c>
      <c r="K147" t="inlineStr">
        <is>
          <t>All</t>
        </is>
      </c>
      <c r="L147" t="inlineStr">
        <is>
          <t>Carnegie units</t>
        </is>
      </c>
    </row>
    <row r="148" ht="18" customHeight="1" s="44">
      <c r="A148" t="inlineStr">
        <is>
          <t>C516</t>
        </is>
      </c>
      <c r="B148" t="inlineStr">
        <is>
          <t>Science</t>
        </is>
      </c>
      <c r="C148" t="n">
        <v>4</v>
      </c>
      <c r="D148" t="inlineStr">
        <is>
          <t>First-Time, First-Year Admission</t>
        </is>
      </c>
      <c r="E148" t="inlineStr">
        <is>
          <t>Admissions Requirements</t>
        </is>
      </c>
      <c r="F148" t="inlineStr">
        <is>
          <t>High School Units Recommended</t>
        </is>
      </c>
      <c r="G148" t="inlineStr">
        <is>
          <t>Undergraduates</t>
        </is>
      </c>
      <c r="H148" s="2" t="inlineStr">
        <is>
          <t>First-time, first-year</t>
        </is>
      </c>
      <c r="I148" t="inlineStr">
        <is>
          <t>All</t>
        </is>
      </c>
      <c r="J148" t="inlineStr">
        <is>
          <t>All</t>
        </is>
      </c>
      <c r="K148" t="inlineStr">
        <is>
          <t>All</t>
        </is>
      </c>
      <c r="L148" t="inlineStr">
        <is>
          <t>Carnegie units</t>
        </is>
      </c>
    </row>
    <row r="149" ht="18" customHeight="1" s="44">
      <c r="A149" t="inlineStr">
        <is>
          <t>C517</t>
        </is>
      </c>
      <c r="B149" t="inlineStr">
        <is>
          <t xml:space="preserve">    Of these, units that must be lab</t>
        </is>
      </c>
      <c r="C149" t="n">
        <v>2</v>
      </c>
      <c r="D149" t="inlineStr">
        <is>
          <t>First-Time, First-Year Admission</t>
        </is>
      </c>
      <c r="E149" t="inlineStr">
        <is>
          <t>Admissions Requirements</t>
        </is>
      </c>
      <c r="F149" t="inlineStr">
        <is>
          <t>High School Units Recommended</t>
        </is>
      </c>
      <c r="G149" t="inlineStr">
        <is>
          <t>Undergraduates</t>
        </is>
      </c>
      <c r="H149" s="2" t="inlineStr">
        <is>
          <t>First-time, first-year</t>
        </is>
      </c>
      <c r="I149" t="inlineStr">
        <is>
          <t>All</t>
        </is>
      </c>
      <c r="J149" t="inlineStr">
        <is>
          <t>All</t>
        </is>
      </c>
      <c r="K149" t="inlineStr">
        <is>
          <t>All</t>
        </is>
      </c>
      <c r="L149" t="inlineStr">
        <is>
          <t>Carnegie units</t>
        </is>
      </c>
    </row>
    <row r="150" ht="18" customHeight="1" s="44">
      <c r="A150" t="inlineStr">
        <is>
          <t>C518</t>
        </is>
      </c>
      <c r="B150" t="inlineStr">
        <is>
          <t>Foreign language</t>
        </is>
      </c>
      <c r="C150" t="n">
        <v>2</v>
      </c>
      <c r="D150" t="inlineStr">
        <is>
          <t>First-Time, First-Year Admission</t>
        </is>
      </c>
      <c r="E150" t="inlineStr">
        <is>
          <t>Admissions Requirements</t>
        </is>
      </c>
      <c r="F150" t="inlineStr">
        <is>
          <t>High School Units Recommended</t>
        </is>
      </c>
      <c r="G150" t="inlineStr">
        <is>
          <t>Undergraduates</t>
        </is>
      </c>
      <c r="H150" s="2" t="inlineStr">
        <is>
          <t>First-time, first-year</t>
        </is>
      </c>
      <c r="I150" t="inlineStr">
        <is>
          <t>All</t>
        </is>
      </c>
      <c r="J150" t="inlineStr">
        <is>
          <t>All</t>
        </is>
      </c>
      <c r="K150" t="inlineStr">
        <is>
          <t>All</t>
        </is>
      </c>
      <c r="L150" t="inlineStr">
        <is>
          <t>Carnegie units</t>
        </is>
      </c>
    </row>
    <row r="151" ht="18" customHeight="1" s="44">
      <c r="A151" t="inlineStr">
        <is>
          <t>C519</t>
        </is>
      </c>
      <c r="B151" t="inlineStr">
        <is>
          <t>Social studies</t>
        </is>
      </c>
      <c r="C151" t="n">
        <v>4</v>
      </c>
      <c r="D151" t="inlineStr">
        <is>
          <t>First-Time, First-Year Admission</t>
        </is>
      </c>
      <c r="E151" t="inlineStr">
        <is>
          <t>Admissions Requirements</t>
        </is>
      </c>
      <c r="F151" t="inlineStr">
        <is>
          <t>High School Units Recommended</t>
        </is>
      </c>
      <c r="G151" t="inlineStr">
        <is>
          <t>Undergraduates</t>
        </is>
      </c>
      <c r="H151" s="2" t="inlineStr">
        <is>
          <t>First-time, first-year</t>
        </is>
      </c>
      <c r="I151" t="inlineStr">
        <is>
          <t>All</t>
        </is>
      </c>
      <c r="J151" t="inlineStr">
        <is>
          <t>All</t>
        </is>
      </c>
      <c r="K151" t="inlineStr">
        <is>
          <t>All</t>
        </is>
      </c>
      <c r="L151" t="inlineStr">
        <is>
          <t>Carnegie units</t>
        </is>
      </c>
    </row>
    <row r="152" ht="18" customHeight="1" s="44">
      <c r="A152" t="inlineStr">
        <is>
          <t>C520</t>
        </is>
      </c>
      <c r="B152" t="inlineStr">
        <is>
          <t>History</t>
        </is>
      </c>
      <c r="D152" t="inlineStr">
        <is>
          <t>First-Time, First-Year Admission</t>
        </is>
      </c>
      <c r="E152" t="inlineStr">
        <is>
          <t>Admissions Requirements</t>
        </is>
      </c>
      <c r="F152" t="inlineStr">
        <is>
          <t>High School Units Recommended</t>
        </is>
      </c>
      <c r="G152" t="inlineStr">
        <is>
          <t>Undergraduates</t>
        </is>
      </c>
      <c r="H152" s="2" t="inlineStr">
        <is>
          <t>First-time, first-year</t>
        </is>
      </c>
      <c r="I152" t="inlineStr">
        <is>
          <t>All</t>
        </is>
      </c>
      <c r="J152" t="inlineStr">
        <is>
          <t>All</t>
        </is>
      </c>
      <c r="K152" t="inlineStr">
        <is>
          <t>All</t>
        </is>
      </c>
      <c r="L152" t="inlineStr">
        <is>
          <t>Carnegie units</t>
        </is>
      </c>
    </row>
    <row r="153" ht="18" customHeight="1" s="44">
      <c r="A153" t="inlineStr">
        <is>
          <t>C521</t>
        </is>
      </c>
      <c r="B153" t="inlineStr">
        <is>
          <t>Academic electives</t>
        </is>
      </c>
      <c r="D153" t="inlineStr">
        <is>
          <t>First-Time, First-Year Admission</t>
        </is>
      </c>
      <c r="E153" t="inlineStr">
        <is>
          <t>Admissions Requirements</t>
        </is>
      </c>
      <c r="F153" t="inlineStr">
        <is>
          <t>High School Units Recommended</t>
        </is>
      </c>
      <c r="G153" t="inlineStr">
        <is>
          <t>Undergraduates</t>
        </is>
      </c>
      <c r="H153" s="2" t="inlineStr">
        <is>
          <t>First-time, first-year</t>
        </is>
      </c>
      <c r="I153" t="inlineStr">
        <is>
          <t>All</t>
        </is>
      </c>
      <c r="J153" t="inlineStr">
        <is>
          <t>All</t>
        </is>
      </c>
      <c r="K153" t="inlineStr">
        <is>
          <t>All</t>
        </is>
      </c>
      <c r="L153" t="inlineStr">
        <is>
          <t>Carnegie units</t>
        </is>
      </c>
    </row>
    <row r="154" ht="18" customHeight="1" s="44">
      <c r="A154" t="inlineStr">
        <is>
          <t>C522</t>
        </is>
      </c>
      <c r="B154" t="inlineStr">
        <is>
          <t>Computer Science</t>
        </is>
      </c>
      <c r="D154" t="inlineStr">
        <is>
          <t>First-Time, First-Year Admission</t>
        </is>
      </c>
      <c r="E154" t="inlineStr">
        <is>
          <t>Admissions Requirements</t>
        </is>
      </c>
      <c r="F154" t="inlineStr">
        <is>
          <t>High School Units Recommended</t>
        </is>
      </c>
      <c r="G154" t="inlineStr">
        <is>
          <t>Undergraduates</t>
        </is>
      </c>
      <c r="H154" s="2" t="inlineStr">
        <is>
          <t>First-time, first-year</t>
        </is>
      </c>
      <c r="I154" t="inlineStr">
        <is>
          <t>All</t>
        </is>
      </c>
      <c r="J154" t="inlineStr">
        <is>
          <t>All</t>
        </is>
      </c>
      <c r="K154" t="inlineStr">
        <is>
          <t>All</t>
        </is>
      </c>
      <c r="L154" t="inlineStr">
        <is>
          <t>Carnegie units</t>
        </is>
      </c>
    </row>
    <row r="155" ht="18" customHeight="1" s="44">
      <c r="A155" t="inlineStr">
        <is>
          <t>C523</t>
        </is>
      </c>
      <c r="B155" t="inlineStr">
        <is>
          <t>Visual/Performing Arts</t>
        </is>
      </c>
      <c r="D155" t="inlineStr">
        <is>
          <t>First-Time, First-Year Admission</t>
        </is>
      </c>
      <c r="E155" t="inlineStr">
        <is>
          <t>Admissions Requirements</t>
        </is>
      </c>
      <c r="F155" t="inlineStr">
        <is>
          <t>High School Units Recommended</t>
        </is>
      </c>
      <c r="G155" t="inlineStr">
        <is>
          <t>Undergraduates</t>
        </is>
      </c>
      <c r="H155" s="2" t="inlineStr">
        <is>
          <t>First-time, first-year</t>
        </is>
      </c>
      <c r="I155" t="inlineStr">
        <is>
          <t>All</t>
        </is>
      </c>
      <c r="J155" t="inlineStr">
        <is>
          <t>All</t>
        </is>
      </c>
      <c r="K155" t="inlineStr">
        <is>
          <t>All</t>
        </is>
      </c>
      <c r="L155" t="inlineStr">
        <is>
          <t>Carnegie units</t>
        </is>
      </c>
    </row>
    <row r="156" ht="18" customHeight="1" s="44">
      <c r="A156" t="inlineStr">
        <is>
          <t>C524</t>
        </is>
      </c>
      <c r="B156" t="inlineStr">
        <is>
          <t>Other (specify)</t>
        </is>
      </c>
      <c r="C156" t="inlineStr">
        <is>
          <t>2 additional academic/fine arts electives</t>
        </is>
      </c>
      <c r="D156" t="inlineStr">
        <is>
          <t>First-Time, First-Year Admission</t>
        </is>
      </c>
      <c r="E156" t="inlineStr">
        <is>
          <t>Admissions Requirements</t>
        </is>
      </c>
      <c r="F156" t="inlineStr">
        <is>
          <t>High School Units Recommended</t>
        </is>
      </c>
      <c r="G156" t="inlineStr">
        <is>
          <t>Undergraduates</t>
        </is>
      </c>
      <c r="H156" s="2" t="inlineStr">
        <is>
          <t>First-time, first-year</t>
        </is>
      </c>
      <c r="I156" t="inlineStr">
        <is>
          <t>All</t>
        </is>
      </c>
      <c r="J156" t="inlineStr">
        <is>
          <t>All</t>
        </is>
      </c>
      <c r="K156" t="inlineStr">
        <is>
          <t>All</t>
        </is>
      </c>
      <c r="L156" t="inlineStr">
        <is>
          <t>Carnegie units</t>
        </is>
      </c>
    </row>
    <row r="157"/>
    <row r="158"/>
    <row r="159"/>
    <row r="160"/>
    <row r="161" ht="18" customHeight="1" s="44"/>
    <row r="162"/>
    <row r="163"/>
    <row r="164"/>
    <row r="165"/>
    <row r="166"/>
    <row r="167" ht="18" customHeight="1" s="44">
      <c r="A167" t="inlineStr">
        <is>
          <t>C601</t>
        </is>
      </c>
      <c r="B167" t="inlineStr">
        <is>
          <t xml:space="preserve">Open admission policy as described above for all students </t>
        </is>
      </c>
      <c r="D167" t="inlineStr">
        <is>
          <t>First-Time, First-Year Admission</t>
        </is>
      </c>
      <c r="E167" t="inlineStr">
        <is>
          <t>Basis for Selection</t>
        </is>
      </c>
      <c r="F167" t="inlineStr">
        <is>
          <t>High School Completion</t>
        </is>
      </c>
      <c r="G167" t="inlineStr">
        <is>
          <t>Undergraduates</t>
        </is>
      </c>
      <c r="H167" s="2" t="inlineStr">
        <is>
          <t>First-time, first-year</t>
        </is>
      </c>
      <c r="I167" t="inlineStr">
        <is>
          <t>All</t>
        </is>
      </c>
      <c r="J167" t="inlineStr">
        <is>
          <t>All</t>
        </is>
      </c>
      <c r="K167" t="inlineStr">
        <is>
          <t>All</t>
        </is>
      </c>
      <c r="L167" t="inlineStr">
        <is>
          <t>x</t>
        </is>
      </c>
    </row>
    <row r="168"/>
    <row r="169" ht="18" customHeight="1" s="44"/>
    <row r="170"/>
    <row r="171" ht="18" customHeight="1" s="44">
      <c r="A171" t="inlineStr">
        <is>
          <t>C602</t>
        </is>
      </c>
      <c r="B171" s="3" t="inlineStr">
        <is>
          <t>selective admission for out-of-state students</t>
        </is>
      </c>
      <c r="D171" t="inlineStr">
        <is>
          <t>First-Time, First-Year Admission</t>
        </is>
      </c>
      <c r="E171" t="inlineStr">
        <is>
          <t>Basis for Selection</t>
        </is>
      </c>
      <c r="F171" t="inlineStr">
        <is>
          <t>High School Completion</t>
        </is>
      </c>
      <c r="G171" t="inlineStr">
        <is>
          <t>Undergraduates</t>
        </is>
      </c>
      <c r="H171" s="2" t="inlineStr">
        <is>
          <t>First-time, first-year</t>
        </is>
      </c>
      <c r="I171" t="inlineStr">
        <is>
          <t>All</t>
        </is>
      </c>
      <c r="J171" t="inlineStr">
        <is>
          <t>All</t>
        </is>
      </c>
      <c r="K171" t="inlineStr">
        <is>
          <t>All</t>
        </is>
      </c>
      <c r="L171" t="inlineStr">
        <is>
          <t>x</t>
        </is>
      </c>
    </row>
    <row r="172" ht="18" customHeight="1" s="44">
      <c r="A172" t="inlineStr">
        <is>
          <t>C603</t>
        </is>
      </c>
      <c r="B172" s="3" t="inlineStr">
        <is>
          <t>selective admission to some programs</t>
        </is>
      </c>
      <c r="D172" t="inlineStr">
        <is>
          <t>First-Time, First-Year Admission</t>
        </is>
      </c>
      <c r="E172" t="inlineStr">
        <is>
          <t>Basis for Selection</t>
        </is>
      </c>
      <c r="F172" t="inlineStr">
        <is>
          <t>High School Completion</t>
        </is>
      </c>
      <c r="G172" t="inlineStr">
        <is>
          <t>Undergraduates</t>
        </is>
      </c>
      <c r="H172" s="2" t="inlineStr">
        <is>
          <t>First-time, first-year</t>
        </is>
      </c>
      <c r="I172" t="inlineStr">
        <is>
          <t>All</t>
        </is>
      </c>
      <c r="J172" t="inlineStr">
        <is>
          <t>All</t>
        </is>
      </c>
      <c r="K172" t="inlineStr">
        <is>
          <t>All</t>
        </is>
      </c>
      <c r="L172" t="inlineStr">
        <is>
          <t>x</t>
        </is>
      </c>
    </row>
    <row r="173">
      <c r="B173" s="3" t="n"/>
    </row>
    <row r="174" ht="18" customHeight="1" s="44">
      <c r="A174" t="inlineStr">
        <is>
          <t>C604</t>
        </is>
      </c>
      <c r="B174" s="3" t="inlineStr">
        <is>
          <t>other (explain):</t>
        </is>
      </c>
      <c r="D174" t="inlineStr">
        <is>
          <t>First-Time, First-Year Admission</t>
        </is>
      </c>
      <c r="E174" t="inlineStr">
        <is>
          <t>Basis for Selection</t>
        </is>
      </c>
      <c r="F174" t="inlineStr">
        <is>
          <t>High School Completion</t>
        </is>
      </c>
      <c r="G174" t="inlineStr">
        <is>
          <t>Undergraduates</t>
        </is>
      </c>
      <c r="H174" s="2" t="inlineStr">
        <is>
          <t>First-time, first-year</t>
        </is>
      </c>
      <c r="I174" t="inlineStr">
        <is>
          <t>All</t>
        </is>
      </c>
      <c r="J174" t="inlineStr">
        <is>
          <t>All</t>
        </is>
      </c>
      <c r="K174" t="inlineStr">
        <is>
          <t>All</t>
        </is>
      </c>
      <c r="L174" t="inlineStr">
        <is>
          <t>x</t>
        </is>
      </c>
    </row>
    <row r="175"/>
    <row r="176"/>
    <row r="177"/>
    <row r="178"/>
    <row r="179">
      <c r="C179" t="inlineStr">
        <is>
          <t>Very Important</t>
        </is>
      </c>
    </row>
    <row r="180">
      <c r="C180" t="inlineStr">
        <is>
          <t>Important</t>
        </is>
      </c>
    </row>
    <row r="181">
      <c r="C181" t="inlineStr">
        <is>
          <t>Considered</t>
        </is>
      </c>
    </row>
    <row r="182">
      <c r="C182" t="inlineStr">
        <is>
          <t>Not Considered</t>
        </is>
      </c>
    </row>
    <row r="183"/>
    <row r="184"/>
    <row r="185" ht="18" customHeight="1" s="44"/>
    <row r="186" ht="18" customHeight="1" s="44">
      <c r="A186" t="inlineStr">
        <is>
          <t>C701</t>
        </is>
      </c>
      <c r="B186" t="inlineStr">
        <is>
          <t>Rigor of secondary school record</t>
        </is>
      </c>
      <c r="C186" t="inlineStr">
        <is>
          <t>Very Important</t>
        </is>
      </c>
      <c r="D186" t="inlineStr">
        <is>
          <t>First-Time, First-Year Admission</t>
        </is>
      </c>
      <c r="E186" t="inlineStr">
        <is>
          <t>Basis for Selection</t>
        </is>
      </c>
      <c r="F186" t="inlineStr">
        <is>
          <t>Academic Factors</t>
        </is>
      </c>
      <c r="G186" t="inlineStr">
        <is>
          <t>Undergraduates</t>
        </is>
      </c>
      <c r="H186" s="2" t="inlineStr">
        <is>
          <t>First-time, first-year</t>
        </is>
      </c>
      <c r="I186" t="inlineStr">
        <is>
          <t>All</t>
        </is>
      </c>
      <c r="J186" t="inlineStr">
        <is>
          <t>All</t>
        </is>
      </c>
      <c r="K186" t="inlineStr">
        <is>
          <t>All</t>
        </is>
      </c>
      <c r="L186" t="inlineStr">
        <is>
          <t>Text</t>
        </is>
      </c>
    </row>
    <row r="187" ht="18" customHeight="1" s="44">
      <c r="A187" t="inlineStr">
        <is>
          <t>C702</t>
        </is>
      </c>
      <c r="B187" t="inlineStr">
        <is>
          <t>Class rank</t>
        </is>
      </c>
      <c r="C187" t="inlineStr">
        <is>
          <t>Considered</t>
        </is>
      </c>
      <c r="D187" t="inlineStr">
        <is>
          <t>First-Time, First-Year Admission</t>
        </is>
      </c>
      <c r="E187" t="inlineStr">
        <is>
          <t>Basis for Selection</t>
        </is>
      </c>
      <c r="F187" t="inlineStr">
        <is>
          <t>Academic Factors</t>
        </is>
      </c>
      <c r="G187" t="inlineStr">
        <is>
          <t>Undergraduates</t>
        </is>
      </c>
      <c r="H187" s="2" t="inlineStr">
        <is>
          <t>First-time, first-year</t>
        </is>
      </c>
      <c r="I187" t="inlineStr">
        <is>
          <t>All</t>
        </is>
      </c>
      <c r="J187" t="inlineStr">
        <is>
          <t>All</t>
        </is>
      </c>
      <c r="K187" t="inlineStr">
        <is>
          <t>All</t>
        </is>
      </c>
      <c r="L187" t="inlineStr">
        <is>
          <t>Text</t>
        </is>
      </c>
    </row>
    <row r="188" ht="18" customHeight="1" s="44">
      <c r="A188" t="inlineStr">
        <is>
          <t>C703</t>
        </is>
      </c>
      <c r="B188" t="inlineStr">
        <is>
          <t>Academic GPA</t>
        </is>
      </c>
      <c r="C188" t="inlineStr">
        <is>
          <t>Very Important</t>
        </is>
      </c>
      <c r="D188" t="inlineStr">
        <is>
          <t>First-Time, First-Year Admission</t>
        </is>
      </c>
      <c r="E188" t="inlineStr">
        <is>
          <t>Basis for Selection</t>
        </is>
      </c>
      <c r="F188" t="inlineStr">
        <is>
          <t>Academic Factors</t>
        </is>
      </c>
      <c r="G188" t="inlineStr">
        <is>
          <t>Undergraduates</t>
        </is>
      </c>
      <c r="H188" s="2" t="inlineStr">
        <is>
          <t>First-time, first-year</t>
        </is>
      </c>
      <c r="I188" t="inlineStr">
        <is>
          <t>All</t>
        </is>
      </c>
      <c r="J188" t="inlineStr">
        <is>
          <t>All</t>
        </is>
      </c>
      <c r="K188" t="inlineStr">
        <is>
          <t>All</t>
        </is>
      </c>
      <c r="L188" t="inlineStr">
        <is>
          <t>Text</t>
        </is>
      </c>
    </row>
    <row r="189" ht="18" customHeight="1" s="44">
      <c r="A189" t="inlineStr">
        <is>
          <t>C704</t>
        </is>
      </c>
      <c r="B189" t="inlineStr">
        <is>
          <t>Standardized test scores</t>
        </is>
      </c>
      <c r="C189" t="inlineStr">
        <is>
          <t>Considered</t>
        </is>
      </c>
      <c r="D189" t="inlineStr">
        <is>
          <t>First-Time, First-Year Admission</t>
        </is>
      </c>
      <c r="E189" t="inlineStr">
        <is>
          <t>Basis for Selection</t>
        </is>
      </c>
      <c r="F189" t="inlineStr">
        <is>
          <t>Academic Factors</t>
        </is>
      </c>
      <c r="G189" t="inlineStr">
        <is>
          <t>Undergraduates</t>
        </is>
      </c>
      <c r="H189" s="2" t="inlineStr">
        <is>
          <t>First-time, first-year</t>
        </is>
      </c>
      <c r="I189" t="inlineStr">
        <is>
          <t>All</t>
        </is>
      </c>
      <c r="J189" t="inlineStr">
        <is>
          <t>All</t>
        </is>
      </c>
      <c r="K189" t="inlineStr">
        <is>
          <t>All</t>
        </is>
      </c>
      <c r="L189" t="inlineStr">
        <is>
          <t>Text</t>
        </is>
      </c>
    </row>
    <row r="190" ht="18" customHeight="1" s="44">
      <c r="A190" t="inlineStr">
        <is>
          <t>C705</t>
        </is>
      </c>
      <c r="B190" t="inlineStr">
        <is>
          <t>Application Essay</t>
        </is>
      </c>
      <c r="C190" t="inlineStr">
        <is>
          <t>Important</t>
        </is>
      </c>
      <c r="D190" t="inlineStr">
        <is>
          <t>First-Time, First-Year Admission</t>
        </is>
      </c>
      <c r="E190" t="inlineStr">
        <is>
          <t>Basis for Selection</t>
        </is>
      </c>
      <c r="F190" t="inlineStr">
        <is>
          <t>Academic Factors</t>
        </is>
      </c>
      <c r="G190" t="inlineStr">
        <is>
          <t>Undergraduates</t>
        </is>
      </c>
      <c r="H190" s="2" t="inlineStr">
        <is>
          <t>First-time, first-year</t>
        </is>
      </c>
      <c r="I190" t="inlineStr">
        <is>
          <t>All</t>
        </is>
      </c>
      <c r="J190" t="inlineStr">
        <is>
          <t>All</t>
        </is>
      </c>
      <c r="K190" t="inlineStr">
        <is>
          <t>All</t>
        </is>
      </c>
      <c r="L190" t="inlineStr">
        <is>
          <t>Text</t>
        </is>
      </c>
    </row>
    <row r="191" ht="18" customHeight="1" s="44">
      <c r="A191" t="inlineStr">
        <is>
          <t>C706</t>
        </is>
      </c>
      <c r="B191" t="inlineStr">
        <is>
          <t>Recommendation(s)</t>
        </is>
      </c>
      <c r="C191" t="inlineStr">
        <is>
          <t>Important</t>
        </is>
      </c>
      <c r="D191" t="inlineStr">
        <is>
          <t>First-Time, First-Year Admission</t>
        </is>
      </c>
      <c r="E191" t="inlineStr">
        <is>
          <t>Basis for Selection</t>
        </is>
      </c>
      <c r="F191" t="inlineStr">
        <is>
          <t>Academic Factors</t>
        </is>
      </c>
      <c r="G191" t="inlineStr">
        <is>
          <t>Undergraduates</t>
        </is>
      </c>
      <c r="H191" s="2" t="inlineStr">
        <is>
          <t>First-time, first-year</t>
        </is>
      </c>
      <c r="I191" t="inlineStr">
        <is>
          <t>All</t>
        </is>
      </c>
      <c r="J191" t="inlineStr">
        <is>
          <t>All</t>
        </is>
      </c>
      <c r="K191" t="inlineStr">
        <is>
          <t>All</t>
        </is>
      </c>
      <c r="L191" t="inlineStr">
        <is>
          <t>Text</t>
        </is>
      </c>
    </row>
    <row r="192" ht="18" customHeight="1" s="44">
      <c r="H192" s="2" t="n"/>
    </row>
    <row r="193" ht="18" customHeight="1" s="44"/>
    <row r="194" ht="18" customHeight="1" s="44">
      <c r="A194" t="inlineStr">
        <is>
          <t>C707</t>
        </is>
      </c>
      <c r="B194" t="inlineStr">
        <is>
          <t>Interview</t>
        </is>
      </c>
      <c r="C194" t="inlineStr">
        <is>
          <t>Not Considered</t>
        </is>
      </c>
      <c r="D194" t="inlineStr">
        <is>
          <t>First-Time, First-Year Admission</t>
        </is>
      </c>
      <c r="E194" t="inlineStr">
        <is>
          <t>Basis for Selection</t>
        </is>
      </c>
      <c r="F194" t="inlineStr">
        <is>
          <t>Nonacademic Factors</t>
        </is>
      </c>
      <c r="G194" t="inlineStr">
        <is>
          <t>Undergraduates</t>
        </is>
      </c>
      <c r="H194" s="2" t="inlineStr">
        <is>
          <t>First-time, first-year</t>
        </is>
      </c>
      <c r="I194" t="inlineStr">
        <is>
          <t>All</t>
        </is>
      </c>
      <c r="J194" t="inlineStr">
        <is>
          <t>All</t>
        </is>
      </c>
      <c r="K194" t="inlineStr">
        <is>
          <t>All</t>
        </is>
      </c>
      <c r="L194" t="inlineStr">
        <is>
          <t>Text</t>
        </is>
      </c>
    </row>
    <row r="195" ht="18" customHeight="1" s="44">
      <c r="A195" t="inlineStr">
        <is>
          <t>C708</t>
        </is>
      </c>
      <c r="B195" t="inlineStr">
        <is>
          <t>Extracurricular activities</t>
        </is>
      </c>
      <c r="C195" t="inlineStr">
        <is>
          <t>Important</t>
        </is>
      </c>
      <c r="D195" t="inlineStr">
        <is>
          <t>First-Time, First-Year Admission</t>
        </is>
      </c>
      <c r="E195" t="inlineStr">
        <is>
          <t>Basis for Selection</t>
        </is>
      </c>
      <c r="F195" t="inlineStr">
        <is>
          <t>Nonacademic Factors</t>
        </is>
      </c>
      <c r="G195" t="inlineStr">
        <is>
          <t>Undergraduates</t>
        </is>
      </c>
      <c r="H195" s="2" t="inlineStr">
        <is>
          <t>First-time, first-year</t>
        </is>
      </c>
      <c r="I195" t="inlineStr">
        <is>
          <t>All</t>
        </is>
      </c>
      <c r="J195" t="inlineStr">
        <is>
          <t>All</t>
        </is>
      </c>
      <c r="K195" t="inlineStr">
        <is>
          <t>All</t>
        </is>
      </c>
      <c r="L195" t="inlineStr">
        <is>
          <t>Text</t>
        </is>
      </c>
    </row>
    <row r="196" ht="18" customHeight="1" s="44">
      <c r="A196" t="inlineStr">
        <is>
          <t>C709</t>
        </is>
      </c>
      <c r="B196" t="inlineStr">
        <is>
          <t>Talent/ability</t>
        </is>
      </c>
      <c r="C196" t="inlineStr">
        <is>
          <t>Considered</t>
        </is>
      </c>
      <c r="D196" t="inlineStr">
        <is>
          <t>First-Time, First-Year Admission</t>
        </is>
      </c>
      <c r="E196" t="inlineStr">
        <is>
          <t>Basis for Selection</t>
        </is>
      </c>
      <c r="F196" t="inlineStr">
        <is>
          <t>Nonacademic Factors</t>
        </is>
      </c>
      <c r="G196" t="inlineStr">
        <is>
          <t>Undergraduates</t>
        </is>
      </c>
      <c r="H196" s="2" t="inlineStr">
        <is>
          <t>First-time, first-year</t>
        </is>
      </c>
      <c r="I196" t="inlineStr">
        <is>
          <t>All</t>
        </is>
      </c>
      <c r="J196" t="inlineStr">
        <is>
          <t>All</t>
        </is>
      </c>
      <c r="K196" t="inlineStr">
        <is>
          <t>All</t>
        </is>
      </c>
      <c r="L196" t="inlineStr">
        <is>
          <t>Text</t>
        </is>
      </c>
    </row>
    <row r="197" ht="18" customHeight="1" s="44">
      <c r="A197" t="inlineStr">
        <is>
          <t>C710</t>
        </is>
      </c>
      <c r="B197" t="inlineStr">
        <is>
          <t>Character/personal qualities</t>
        </is>
      </c>
      <c r="C197" t="inlineStr">
        <is>
          <t>Important</t>
        </is>
      </c>
      <c r="D197" t="inlineStr">
        <is>
          <t>First-Time, First-Year Admission</t>
        </is>
      </c>
      <c r="E197" t="inlineStr">
        <is>
          <t>Basis for Selection</t>
        </is>
      </c>
      <c r="F197" t="inlineStr">
        <is>
          <t>Nonacademic Factors</t>
        </is>
      </c>
      <c r="G197" t="inlineStr">
        <is>
          <t>Undergraduates</t>
        </is>
      </c>
      <c r="H197" s="2" t="inlineStr">
        <is>
          <t>First-time, first-year</t>
        </is>
      </c>
      <c r="I197" t="inlineStr">
        <is>
          <t>All</t>
        </is>
      </c>
      <c r="J197" t="inlineStr">
        <is>
          <t>All</t>
        </is>
      </c>
      <c r="K197" t="inlineStr">
        <is>
          <t>All</t>
        </is>
      </c>
      <c r="L197" t="inlineStr">
        <is>
          <t>Text</t>
        </is>
      </c>
    </row>
    <row r="198" ht="18" customHeight="1" s="44">
      <c r="A198" t="inlineStr">
        <is>
          <t>C711</t>
        </is>
      </c>
      <c r="B198" t="inlineStr">
        <is>
          <t xml:space="preserve">First generation </t>
        </is>
      </c>
      <c r="C198" t="inlineStr">
        <is>
          <t>Considered</t>
        </is>
      </c>
      <c r="D198" t="inlineStr">
        <is>
          <t>First-Time, First-Year Admission</t>
        </is>
      </c>
      <c r="E198" t="inlineStr">
        <is>
          <t>Basis for Selection</t>
        </is>
      </c>
      <c r="F198" t="inlineStr">
        <is>
          <t>Nonacademic Factors</t>
        </is>
      </c>
      <c r="G198" t="inlineStr">
        <is>
          <t>Undergraduates</t>
        </is>
      </c>
      <c r="H198" s="2" t="inlineStr">
        <is>
          <t>First-time, first-year</t>
        </is>
      </c>
      <c r="I198" t="inlineStr">
        <is>
          <t>All</t>
        </is>
      </c>
      <c r="J198" t="inlineStr">
        <is>
          <t>All</t>
        </is>
      </c>
      <c r="K198" t="inlineStr">
        <is>
          <t>All</t>
        </is>
      </c>
      <c r="L198" t="inlineStr">
        <is>
          <t>Text</t>
        </is>
      </c>
    </row>
    <row r="199" ht="18" customHeight="1" s="44">
      <c r="A199" t="inlineStr">
        <is>
          <t>C712</t>
        </is>
      </c>
      <c r="B199" t="inlineStr">
        <is>
          <t>Alumni/ae relation</t>
        </is>
      </c>
      <c r="C199" t="inlineStr">
        <is>
          <t>Not Considered</t>
        </is>
      </c>
      <c r="D199" t="inlineStr">
        <is>
          <t>First-Time, First-Year Admission</t>
        </is>
      </c>
      <c r="E199" t="inlineStr">
        <is>
          <t>Basis for Selection</t>
        </is>
      </c>
      <c r="F199" t="inlineStr">
        <is>
          <t>Nonacademic Factors</t>
        </is>
      </c>
      <c r="G199" t="inlineStr">
        <is>
          <t>Undergraduates</t>
        </is>
      </c>
      <c r="H199" s="2" t="inlineStr">
        <is>
          <t>First-time, first-year</t>
        </is>
      </c>
      <c r="I199" t="inlineStr">
        <is>
          <t>All</t>
        </is>
      </c>
      <c r="J199" t="inlineStr">
        <is>
          <t>All</t>
        </is>
      </c>
      <c r="K199" t="inlineStr">
        <is>
          <t>All</t>
        </is>
      </c>
      <c r="L199" t="inlineStr">
        <is>
          <t>Text</t>
        </is>
      </c>
    </row>
    <row r="200" ht="18" customHeight="1" s="44">
      <c r="A200" t="inlineStr">
        <is>
          <t>C713</t>
        </is>
      </c>
      <c r="B200" t="inlineStr">
        <is>
          <t>Geographical residence</t>
        </is>
      </c>
      <c r="C200" t="inlineStr">
        <is>
          <t>Considered</t>
        </is>
      </c>
      <c r="D200" t="inlineStr">
        <is>
          <t>First-Time, First-Year Admission</t>
        </is>
      </c>
      <c r="E200" t="inlineStr">
        <is>
          <t>Basis for Selection</t>
        </is>
      </c>
      <c r="F200" t="inlineStr">
        <is>
          <t>Nonacademic Factors</t>
        </is>
      </c>
      <c r="G200" t="inlineStr">
        <is>
          <t>Undergraduates</t>
        </is>
      </c>
      <c r="H200" s="2" t="inlineStr">
        <is>
          <t>First-time, first-year</t>
        </is>
      </c>
      <c r="I200" t="inlineStr">
        <is>
          <t>All</t>
        </is>
      </c>
      <c r="J200" t="inlineStr">
        <is>
          <t>All</t>
        </is>
      </c>
      <c r="K200" t="inlineStr">
        <is>
          <t>All</t>
        </is>
      </c>
      <c r="L200" t="inlineStr">
        <is>
          <t>Text</t>
        </is>
      </c>
    </row>
    <row r="201" ht="18" customHeight="1" s="44">
      <c r="A201" t="inlineStr">
        <is>
          <t>C714</t>
        </is>
      </c>
      <c r="B201" t="inlineStr">
        <is>
          <t>State residency</t>
        </is>
      </c>
      <c r="C201" t="inlineStr">
        <is>
          <t>Important</t>
        </is>
      </c>
      <c r="D201" t="inlineStr">
        <is>
          <t>First-Time, First-Year Admission</t>
        </is>
      </c>
      <c r="E201" t="inlineStr">
        <is>
          <t>Basis for Selection</t>
        </is>
      </c>
      <c r="F201" t="inlineStr">
        <is>
          <t>Nonacademic Factors</t>
        </is>
      </c>
      <c r="G201" t="inlineStr">
        <is>
          <t>Undergraduates</t>
        </is>
      </c>
      <c r="H201" s="2" t="inlineStr">
        <is>
          <t>First-time, first-year</t>
        </is>
      </c>
      <c r="I201" t="inlineStr">
        <is>
          <t>All</t>
        </is>
      </c>
      <c r="J201" t="inlineStr">
        <is>
          <t>All</t>
        </is>
      </c>
      <c r="K201" t="inlineStr">
        <is>
          <t>All</t>
        </is>
      </c>
      <c r="L201" t="inlineStr">
        <is>
          <t>Text</t>
        </is>
      </c>
    </row>
    <row r="202" ht="18" customHeight="1" s="44">
      <c r="A202" t="inlineStr">
        <is>
          <t>C715</t>
        </is>
      </c>
      <c r="B202" t="inlineStr">
        <is>
          <t>Religious affiliation/commitment</t>
        </is>
      </c>
      <c r="C202" t="inlineStr">
        <is>
          <t>Not Considered</t>
        </is>
      </c>
      <c r="D202" t="inlineStr">
        <is>
          <t>First-Time, First-Year Admission</t>
        </is>
      </c>
      <c r="E202" t="inlineStr">
        <is>
          <t>Basis for Selection</t>
        </is>
      </c>
      <c r="F202" t="inlineStr">
        <is>
          <t>Nonacademic Factors</t>
        </is>
      </c>
      <c r="G202" t="inlineStr">
        <is>
          <t>Undergraduates</t>
        </is>
      </c>
      <c r="H202" s="2" t="inlineStr">
        <is>
          <t>First-time, first-year</t>
        </is>
      </c>
      <c r="I202" t="inlineStr">
        <is>
          <t>All</t>
        </is>
      </c>
      <c r="J202" t="inlineStr">
        <is>
          <t>All</t>
        </is>
      </c>
      <c r="K202" t="inlineStr">
        <is>
          <t>All</t>
        </is>
      </c>
      <c r="L202" t="inlineStr">
        <is>
          <t>Text</t>
        </is>
      </c>
    </row>
    <row r="203" ht="18" customHeight="1" s="44">
      <c r="A203" t="inlineStr">
        <is>
          <t>C716</t>
        </is>
      </c>
      <c r="B203" t="inlineStr">
        <is>
          <t>Volunteer work</t>
        </is>
      </c>
      <c r="C203" t="inlineStr">
        <is>
          <t>Considered</t>
        </is>
      </c>
      <c r="D203" t="inlineStr">
        <is>
          <t>First-Time, First-Year Admission</t>
        </is>
      </c>
      <c r="E203" t="inlineStr">
        <is>
          <t>Basis for Selection</t>
        </is>
      </c>
      <c r="F203" t="inlineStr">
        <is>
          <t>Nonacademic Factors</t>
        </is>
      </c>
      <c r="G203" t="inlineStr">
        <is>
          <t>Undergraduates</t>
        </is>
      </c>
      <c r="H203" s="2" t="inlineStr">
        <is>
          <t>First-time, first-year</t>
        </is>
      </c>
      <c r="I203" t="inlineStr">
        <is>
          <t>All</t>
        </is>
      </c>
      <c r="J203" t="inlineStr">
        <is>
          <t>All</t>
        </is>
      </c>
      <c r="K203" t="inlineStr">
        <is>
          <t>All</t>
        </is>
      </c>
      <c r="L203" t="inlineStr">
        <is>
          <t>Text</t>
        </is>
      </c>
    </row>
    <row r="204" ht="18" customHeight="1" s="44">
      <c r="A204" t="inlineStr">
        <is>
          <t>C717</t>
        </is>
      </c>
      <c r="B204" t="inlineStr">
        <is>
          <t>Work experience</t>
        </is>
      </c>
      <c r="C204" t="inlineStr">
        <is>
          <t>Considered</t>
        </is>
      </c>
      <c r="D204" t="inlineStr">
        <is>
          <t>First-Time, First-Year Admission</t>
        </is>
      </c>
      <c r="E204" t="inlineStr">
        <is>
          <t>Basis for Selection</t>
        </is>
      </c>
      <c r="F204" t="inlineStr">
        <is>
          <t>Nonacademic Factors</t>
        </is>
      </c>
      <c r="G204" t="inlineStr">
        <is>
          <t>Undergraduates</t>
        </is>
      </c>
      <c r="H204" s="2" t="inlineStr">
        <is>
          <t>First-time, first-year</t>
        </is>
      </c>
      <c r="I204" t="inlineStr">
        <is>
          <t>All</t>
        </is>
      </c>
      <c r="J204" t="inlineStr">
        <is>
          <t>All</t>
        </is>
      </c>
      <c r="K204" t="inlineStr">
        <is>
          <t>All</t>
        </is>
      </c>
      <c r="L204" t="inlineStr">
        <is>
          <t>Text</t>
        </is>
      </c>
    </row>
    <row r="205" ht="18" customHeight="1" s="44">
      <c r="A205" t="inlineStr">
        <is>
          <t>C718</t>
        </is>
      </c>
      <c r="B205" t="inlineStr">
        <is>
          <t>Level of applicant’s interest</t>
        </is>
      </c>
      <c r="C205" t="inlineStr">
        <is>
          <t>Not Considered</t>
        </is>
      </c>
      <c r="D205" t="inlineStr">
        <is>
          <t>First-Time, First-Year Admission</t>
        </is>
      </c>
      <c r="E205" t="inlineStr">
        <is>
          <t>Basis for Selection</t>
        </is>
      </c>
      <c r="F205" t="inlineStr">
        <is>
          <t>Nonacademic Factors</t>
        </is>
      </c>
      <c r="G205" t="inlineStr">
        <is>
          <t>Undergraduates</t>
        </is>
      </c>
      <c r="H205" s="2" t="inlineStr">
        <is>
          <t>First-time, first-year</t>
        </is>
      </c>
      <c r="I205" t="inlineStr">
        <is>
          <t>All</t>
        </is>
      </c>
      <c r="J205" t="inlineStr">
        <is>
          <t>All</t>
        </is>
      </c>
      <c r="K205" t="inlineStr">
        <is>
          <t>All</t>
        </is>
      </c>
      <c r="L205" t="inlineStr">
        <is>
          <t>Text</t>
        </is>
      </c>
    </row>
    <row r="206"/>
    <row r="207"/>
    <row r="208"/>
    <row r="209"/>
    <row r="210" ht="18" customHeight="1" s="44"/>
    <row r="211" ht="45" customHeight="1" s="44">
      <c r="A211" t="inlineStr">
        <is>
          <t>C801</t>
        </is>
      </c>
      <c r="B211" s="2" t="inlineStr">
        <is>
          <t xml:space="preserve">Does your institution make use of SAT or ACT scores in admission decisions for first-time, first-year, degree-seeking applicants?   </t>
        </is>
      </c>
      <c r="C211" t="inlineStr">
        <is>
          <t>Y</t>
        </is>
      </c>
      <c r="D211" t="inlineStr">
        <is>
          <t>First-Time, First-Year Admission</t>
        </is>
      </c>
      <c r="E211" t="inlineStr">
        <is>
          <t>Entrance Exams</t>
        </is>
      </c>
      <c r="F211" t="inlineStr">
        <is>
          <t>SAT and ACT Policies</t>
        </is>
      </c>
      <c r="G211" t="inlineStr">
        <is>
          <t>Undergraduates</t>
        </is>
      </c>
      <c r="H211" s="2" t="inlineStr">
        <is>
          <t>First-time, first-year</t>
        </is>
      </c>
      <c r="I211" t="inlineStr">
        <is>
          <t>All</t>
        </is>
      </c>
      <c r="J211" t="inlineStr">
        <is>
          <t>All</t>
        </is>
      </c>
      <c r="K211" t="inlineStr">
        <is>
          <t>All</t>
        </is>
      </c>
      <c r="L211" t="inlineStr">
        <is>
          <t>YN</t>
        </is>
      </c>
    </row>
    <row r="212"/>
    <row r="213">
      <c r="C213" t="inlineStr">
        <is>
          <t>Required to be considered for admission</t>
        </is>
      </c>
    </row>
    <row r="214">
      <c r="C214" t="inlineStr">
        <is>
          <t>Required for some</t>
        </is>
      </c>
    </row>
    <row r="215">
      <c r="C215" t="inlineStr">
        <is>
          <t>Recommended</t>
        </is>
      </c>
    </row>
    <row r="216">
      <c r="C216" t="inlineStr">
        <is>
          <t>Not required for admission, but considered if submitted</t>
        </is>
      </c>
    </row>
    <row r="217">
      <c r="C217" t="inlineStr">
        <is>
          <t xml:space="preserve">Not considered for admission, even if submitted </t>
        </is>
      </c>
    </row>
    <row r="218"/>
    <row r="219"/>
    <row r="220"/>
    <row r="221" ht="18" customHeight="1" s="44">
      <c r="A221" t="inlineStr">
        <is>
          <t>C802</t>
        </is>
      </c>
      <c r="B221" t="inlineStr">
        <is>
          <t>SAT or ACT</t>
        </is>
      </c>
      <c r="C221" t="inlineStr">
        <is>
          <t>Not required for admission, but considered if submitted</t>
        </is>
      </c>
      <c r="D221" t="inlineStr">
        <is>
          <t>First-Time, First-Year Admission</t>
        </is>
      </c>
      <c r="E221" t="inlineStr">
        <is>
          <t>Entrance Exams</t>
        </is>
      </c>
      <c r="F221" t="inlineStr">
        <is>
          <t>SAT and ACT Policies</t>
        </is>
      </c>
      <c r="G221" t="inlineStr">
        <is>
          <t>Undergraduates</t>
        </is>
      </c>
      <c r="H221" s="2" t="inlineStr">
        <is>
          <t>First-time, first-year</t>
        </is>
      </c>
      <c r="I221" t="inlineStr">
        <is>
          <t>All</t>
        </is>
      </c>
      <c r="J221" t="inlineStr">
        <is>
          <t>All</t>
        </is>
      </c>
      <c r="K221" t="inlineStr">
        <is>
          <t>All</t>
        </is>
      </c>
      <c r="L221" t="inlineStr">
        <is>
          <t>Text</t>
        </is>
      </c>
    </row>
    <row r="222" ht="18" customHeight="1" s="44">
      <c r="A222" t="inlineStr">
        <is>
          <t>C803</t>
        </is>
      </c>
      <c r="B222" t="inlineStr">
        <is>
          <t>ACT Only</t>
        </is>
      </c>
      <c r="D222" t="inlineStr">
        <is>
          <t>First-Time, First-Year Admission</t>
        </is>
      </c>
      <c r="E222" t="inlineStr">
        <is>
          <t>Entrance Exams</t>
        </is>
      </c>
      <c r="F222" t="inlineStr">
        <is>
          <t>SAT and ACT Policies</t>
        </is>
      </c>
      <c r="G222" t="inlineStr">
        <is>
          <t>Undergraduates</t>
        </is>
      </c>
      <c r="H222" s="2" t="inlineStr">
        <is>
          <t>First-time, first-year</t>
        </is>
      </c>
      <c r="I222" t="inlineStr">
        <is>
          <t>All</t>
        </is>
      </c>
      <c r="J222" t="inlineStr">
        <is>
          <t>All</t>
        </is>
      </c>
      <c r="K222" t="inlineStr">
        <is>
          <t>All</t>
        </is>
      </c>
      <c r="L222" t="inlineStr">
        <is>
          <t>Text</t>
        </is>
      </c>
    </row>
    <row r="223" ht="18" customHeight="1" s="44">
      <c r="A223" t="inlineStr">
        <is>
          <t>C804</t>
        </is>
      </c>
      <c r="B223" t="inlineStr">
        <is>
          <t>SAT Only</t>
        </is>
      </c>
      <c r="D223" t="inlineStr">
        <is>
          <t>First-Time, First-Year Admission</t>
        </is>
      </c>
      <c r="E223" t="inlineStr">
        <is>
          <t>Entrance Exams</t>
        </is>
      </c>
      <c r="F223" t="inlineStr">
        <is>
          <t>SAT and ACT Policies</t>
        </is>
      </c>
      <c r="G223" t="inlineStr">
        <is>
          <t>Undergraduates</t>
        </is>
      </c>
      <c r="H223" s="2" t="inlineStr">
        <is>
          <t>First-time, first-year</t>
        </is>
      </c>
      <c r="I223" t="inlineStr">
        <is>
          <t>All</t>
        </is>
      </c>
      <c r="J223" t="inlineStr">
        <is>
          <t>All</t>
        </is>
      </c>
      <c r="K223" t="inlineStr">
        <is>
          <t>All</t>
        </is>
      </c>
      <c r="L223" t="inlineStr">
        <is>
          <t>Text</t>
        </is>
      </c>
    </row>
    <row r="224"/>
    <row r="225"/>
    <row r="226"/>
    <row r="227"/>
    <row r="228"/>
    <row r="229" ht="18" customHeight="1" s="44"/>
    <row r="230" ht="30" customHeight="1" s="44">
      <c r="A230" t="inlineStr">
        <is>
          <t>C8D</t>
        </is>
      </c>
      <c r="B230" s="2" t="inlineStr">
        <is>
          <t>In addition, does your institution use applicants' test scores for academic advising?</t>
        </is>
      </c>
      <c r="C230" t="inlineStr">
        <is>
          <t>N</t>
        </is>
      </c>
      <c r="D230" t="inlineStr">
        <is>
          <t>First-Time, First-Year Admission</t>
        </is>
      </c>
      <c r="E230" t="inlineStr">
        <is>
          <t>Entrance Exams</t>
        </is>
      </c>
      <c r="F230" t="inlineStr">
        <is>
          <t>SAT and ACT Policies</t>
        </is>
      </c>
      <c r="G230" t="inlineStr">
        <is>
          <t>Undergraduates</t>
        </is>
      </c>
      <c r="H230" s="2" t="inlineStr">
        <is>
          <t>First-time, first-year</t>
        </is>
      </c>
      <c r="I230" t="inlineStr">
        <is>
          <t>All</t>
        </is>
      </c>
      <c r="J230" t="inlineStr">
        <is>
          <t>All</t>
        </is>
      </c>
      <c r="K230" t="inlineStr">
        <is>
          <t>All</t>
        </is>
      </c>
      <c r="L230" t="inlineStr">
        <is>
          <t>YN</t>
        </is>
      </c>
    </row>
    <row r="231"/>
    <row r="232" ht="30" customHeight="1" s="44">
      <c r="A232" t="inlineStr">
        <is>
          <t>C8E</t>
        </is>
      </c>
      <c r="B232" s="2" t="inlineStr">
        <is>
          <t>Latest date by which SAT or ACT scores must be received for fall-term admission</t>
        </is>
      </c>
      <c r="C232" s="46" t="n">
        <v>46044</v>
      </c>
      <c r="D232" t="inlineStr">
        <is>
          <t>First-Time, First-Year Admission</t>
        </is>
      </c>
      <c r="E232" t="inlineStr">
        <is>
          <t>Entrance Exams</t>
        </is>
      </c>
      <c r="F232" t="inlineStr">
        <is>
          <t>SAT and ACT Policies</t>
        </is>
      </c>
      <c r="G232" t="inlineStr">
        <is>
          <t>Undergraduates</t>
        </is>
      </c>
      <c r="H232" s="2" t="inlineStr">
        <is>
          <t>First-time, first-year</t>
        </is>
      </c>
      <c r="I232" t="inlineStr">
        <is>
          <t>All</t>
        </is>
      </c>
      <c r="J232" t="inlineStr">
        <is>
          <t>All</t>
        </is>
      </c>
      <c r="K232" t="inlineStr">
        <is>
          <t>All</t>
        </is>
      </c>
      <c r="L232" t="inlineStr">
        <is>
          <t>YN</t>
        </is>
      </c>
    </row>
    <row r="233"/>
    <row r="234" ht="231" customHeight="1" s="44">
      <c r="A234" t="inlineStr">
        <is>
          <t>C8F</t>
        </is>
      </c>
      <c r="B234" s="2"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C234" s="2" t="inlineStr">
        <is>
          <t>Including scores from either the ACT or the SAT with your application is optional for students applying for admission through the spring 2027 term, with an application deadline of October 1, 2026.
You will not be disadvantaged in our evaluation process if you do not include these scores for consideration in your application.
You will indicate your choice regarding including test scores at the time of application. The choice that you indicate on your application is final.
If choosing to include ACT or SAT test scores with your application, submit your official scores directly from the testing site.</t>
        </is>
      </c>
      <c r="D234" t="inlineStr">
        <is>
          <t>First-Time, First-Year Admission</t>
        </is>
      </c>
      <c r="E234" t="inlineStr">
        <is>
          <t>Entrance Exams</t>
        </is>
      </c>
      <c r="F234" t="inlineStr">
        <is>
          <t>SAT and ACT Policies</t>
        </is>
      </c>
      <c r="G234" t="inlineStr">
        <is>
          <t>Undergraduates</t>
        </is>
      </c>
      <c r="H234" s="2" t="inlineStr">
        <is>
          <t>First-time, first-year</t>
        </is>
      </c>
      <c r="I234" t="inlineStr">
        <is>
          <t>All</t>
        </is>
      </c>
      <c r="J234" t="inlineStr">
        <is>
          <t>All</t>
        </is>
      </c>
      <c r="K234" t="inlineStr">
        <is>
          <t>All</t>
        </is>
      </c>
      <c r="L234" t="inlineStr">
        <is>
          <t>YN</t>
        </is>
      </c>
    </row>
    <row r="235"/>
    <row r="236" ht="18" customHeight="1" s="44"/>
    <row r="237" ht="30" customHeight="1" s="44">
      <c r="A237" t="inlineStr">
        <is>
          <t>C8G</t>
        </is>
      </c>
      <c r="B237" s="2" t="inlineStr">
        <is>
          <t>Please indicate which tests your institution uses for placement (e.g., state tests):</t>
        </is>
      </c>
      <c r="D237" t="inlineStr">
        <is>
          <t>First-Time, First-Year Admission</t>
        </is>
      </c>
      <c r="E237" t="inlineStr">
        <is>
          <t>Entrance Exams</t>
        </is>
      </c>
      <c r="F237" t="inlineStr">
        <is>
          <t>SAT and ACT Policies</t>
        </is>
      </c>
      <c r="G237" t="inlineStr">
        <is>
          <t>Undergraduates</t>
        </is>
      </c>
      <c r="H237" s="2" t="inlineStr">
        <is>
          <t>First-time, first-year</t>
        </is>
      </c>
      <c r="I237" t="inlineStr">
        <is>
          <t>All</t>
        </is>
      </c>
      <c r="J237" t="inlineStr">
        <is>
          <t>All</t>
        </is>
      </c>
      <c r="K237" t="inlineStr">
        <is>
          <t>All</t>
        </is>
      </c>
      <c r="L237" t="inlineStr">
        <is>
          <t>x</t>
        </is>
      </c>
    </row>
    <row r="238" ht="18" customHeight="1" s="44">
      <c r="A238" t="inlineStr">
        <is>
          <t>C8G01</t>
        </is>
      </c>
      <c r="B238" t="inlineStr">
        <is>
          <t>SAT</t>
        </is>
      </c>
      <c r="D238" t="inlineStr">
        <is>
          <t>First-Time, First-Year Admission</t>
        </is>
      </c>
      <c r="E238" t="inlineStr">
        <is>
          <t>Entrance Exams</t>
        </is>
      </c>
      <c r="F238" t="inlineStr">
        <is>
          <t>SAT and ACT Policies</t>
        </is>
      </c>
      <c r="G238" t="inlineStr">
        <is>
          <t>Undergraduates</t>
        </is>
      </c>
      <c r="H238" s="2" t="inlineStr">
        <is>
          <t>First-time, first-year</t>
        </is>
      </c>
      <c r="I238" t="inlineStr">
        <is>
          <t>All</t>
        </is>
      </c>
      <c r="J238" t="inlineStr">
        <is>
          <t>All</t>
        </is>
      </c>
      <c r="K238" t="inlineStr">
        <is>
          <t>All</t>
        </is>
      </c>
      <c r="L238" t="inlineStr">
        <is>
          <t>x</t>
        </is>
      </c>
    </row>
    <row r="239" ht="18" customHeight="1" s="44">
      <c r="A239" t="inlineStr">
        <is>
          <t>C8G02</t>
        </is>
      </c>
      <c r="B239" t="inlineStr">
        <is>
          <t>ACT</t>
        </is>
      </c>
      <c r="D239" t="inlineStr">
        <is>
          <t>First-Time, First-Year Admission</t>
        </is>
      </c>
      <c r="E239" t="inlineStr">
        <is>
          <t>Entrance Exams</t>
        </is>
      </c>
      <c r="F239" t="inlineStr">
        <is>
          <t>SAT and ACT Policies</t>
        </is>
      </c>
      <c r="G239" t="inlineStr">
        <is>
          <t>Undergraduates</t>
        </is>
      </c>
      <c r="H239" s="2" t="inlineStr">
        <is>
          <t>First-time, first-year</t>
        </is>
      </c>
      <c r="I239" t="inlineStr">
        <is>
          <t>All</t>
        </is>
      </c>
      <c r="J239" t="inlineStr">
        <is>
          <t>All</t>
        </is>
      </c>
      <c r="K239" t="inlineStr">
        <is>
          <t>All</t>
        </is>
      </c>
      <c r="L239" t="inlineStr">
        <is>
          <t>x</t>
        </is>
      </c>
    </row>
    <row r="240" ht="18" customHeight="1" s="44">
      <c r="A240" t="inlineStr">
        <is>
          <t>C8G03</t>
        </is>
      </c>
      <c r="B240" t="inlineStr">
        <is>
          <t>AP</t>
        </is>
      </c>
      <c r="C240" t="inlineStr">
        <is>
          <t>x</t>
        </is>
      </c>
      <c r="D240" t="inlineStr">
        <is>
          <t>First-Time, First-Year Admission</t>
        </is>
      </c>
      <c r="E240" t="inlineStr">
        <is>
          <t>Entrance Exams</t>
        </is>
      </c>
      <c r="F240" t="inlineStr">
        <is>
          <t>SAT and ACT Policies</t>
        </is>
      </c>
      <c r="G240" t="inlineStr">
        <is>
          <t>Undergraduates</t>
        </is>
      </c>
      <c r="H240" s="2" t="inlineStr">
        <is>
          <t>First-time, first-year</t>
        </is>
      </c>
      <c r="I240" t="inlineStr">
        <is>
          <t>All</t>
        </is>
      </c>
      <c r="J240" t="inlineStr">
        <is>
          <t>All</t>
        </is>
      </c>
      <c r="K240" t="inlineStr">
        <is>
          <t>All</t>
        </is>
      </c>
      <c r="L240" t="inlineStr">
        <is>
          <t>x</t>
        </is>
      </c>
    </row>
    <row r="241" ht="18" customHeight="1" s="44">
      <c r="A241" t="inlineStr">
        <is>
          <t>C8G04</t>
        </is>
      </c>
      <c r="B241" t="inlineStr">
        <is>
          <t>CLEP</t>
        </is>
      </c>
      <c r="D241" t="inlineStr">
        <is>
          <t>First-Time, First-Year Admission</t>
        </is>
      </c>
      <c r="E241" t="inlineStr">
        <is>
          <t>Entrance Exams</t>
        </is>
      </c>
      <c r="F241" t="inlineStr">
        <is>
          <t>SAT and ACT Policies</t>
        </is>
      </c>
      <c r="G241" t="inlineStr">
        <is>
          <t>Undergraduates</t>
        </is>
      </c>
      <c r="H241" s="2" t="inlineStr">
        <is>
          <t>First-time, first-year</t>
        </is>
      </c>
      <c r="I241" t="inlineStr">
        <is>
          <t>All</t>
        </is>
      </c>
      <c r="J241" t="inlineStr">
        <is>
          <t>All</t>
        </is>
      </c>
      <c r="K241" t="inlineStr">
        <is>
          <t>All</t>
        </is>
      </c>
      <c r="L241" t="inlineStr">
        <is>
          <t>x</t>
        </is>
      </c>
    </row>
    <row r="242" ht="18" customHeight="1" s="44">
      <c r="A242" t="inlineStr">
        <is>
          <t>C8G05</t>
        </is>
      </c>
      <c r="B242" t="inlineStr">
        <is>
          <t>Institutional Exam</t>
        </is>
      </c>
      <c r="C242" t="inlineStr">
        <is>
          <t>x</t>
        </is>
      </c>
      <c r="D242" t="inlineStr">
        <is>
          <t>First-Time, First-Year Admission</t>
        </is>
      </c>
      <c r="E242" t="inlineStr">
        <is>
          <t>Entrance Exams</t>
        </is>
      </c>
      <c r="F242" t="inlineStr">
        <is>
          <t>SAT and ACT Policies</t>
        </is>
      </c>
      <c r="G242" t="inlineStr">
        <is>
          <t>Undergraduates</t>
        </is>
      </c>
      <c r="H242" s="2" t="inlineStr">
        <is>
          <t>First-time, first-year</t>
        </is>
      </c>
      <c r="I242" t="inlineStr">
        <is>
          <t>All</t>
        </is>
      </c>
      <c r="J242" t="inlineStr">
        <is>
          <t>All</t>
        </is>
      </c>
      <c r="K242" t="inlineStr">
        <is>
          <t>All</t>
        </is>
      </c>
      <c r="L242" t="inlineStr">
        <is>
          <t>x</t>
        </is>
      </c>
    </row>
    <row r="243" ht="18" customHeight="1" s="44">
      <c r="A243" t="inlineStr">
        <is>
          <t>C8G06</t>
        </is>
      </c>
      <c r="B243" t="inlineStr">
        <is>
          <t>State Exam (specify):</t>
        </is>
      </c>
      <c r="D243" t="inlineStr">
        <is>
          <t>First-Time, First-Year Admission</t>
        </is>
      </c>
      <c r="E243" t="inlineStr">
        <is>
          <t>Entrance Exams</t>
        </is>
      </c>
      <c r="F243" t="inlineStr">
        <is>
          <t>SAT and ACT Policies</t>
        </is>
      </c>
      <c r="G243" t="inlineStr">
        <is>
          <t>Undergraduates</t>
        </is>
      </c>
      <c r="H243" s="2" t="inlineStr">
        <is>
          <t>First-time, first-year</t>
        </is>
      </c>
      <c r="I243" t="inlineStr">
        <is>
          <t>All</t>
        </is>
      </c>
      <c r="J243" t="inlineStr">
        <is>
          <t>All</t>
        </is>
      </c>
      <c r="K243" t="inlineStr">
        <is>
          <t>All</t>
        </is>
      </c>
      <c r="L243" t="inlineStr">
        <is>
          <t>x</t>
        </is>
      </c>
    </row>
    <row r="244" ht="30" customHeight="1" s="44">
      <c r="D244" t="inlineStr">
        <is>
          <t>First-Time, First-Year Admission</t>
        </is>
      </c>
      <c r="E244" t="inlineStr">
        <is>
          <t>Entrance Exams</t>
        </is>
      </c>
      <c r="F244" t="inlineStr">
        <is>
          <t>SAT and ACT Policies</t>
        </is>
      </c>
      <c r="G244" t="inlineStr">
        <is>
          <t>Undergraduates</t>
        </is>
      </c>
      <c r="H244" s="2" t="inlineStr">
        <is>
          <t>First-time, first-year</t>
        </is>
      </c>
      <c r="I244" t="inlineStr">
        <is>
          <t>All</t>
        </is>
      </c>
      <c r="J244" t="inlineStr">
        <is>
          <t>All</t>
        </is>
      </c>
      <c r="K244" t="inlineStr">
        <is>
          <t>All</t>
        </is>
      </c>
      <c r="L244" t="inlineStr">
        <is>
          <t>Text</t>
        </is>
      </c>
    </row>
    <row r="245"/>
    <row r="246"/>
    <row r="247"/>
    <row r="248"/>
    <row r="249"/>
    <row r="250"/>
    <row r="251"/>
    <row r="252"/>
    <row r="253"/>
    <row r="254"/>
    <row r="255"/>
    <row r="256"/>
    <row r="257"/>
    <row r="258"/>
    <row r="259"/>
    <row r="260"/>
    <row r="261" ht="18" customHeight="1" s="44"/>
    <row r="262" ht="18" customHeight="1" s="44">
      <c r="A262" t="inlineStr">
        <is>
          <t>C901</t>
        </is>
      </c>
      <c r="B262" t="inlineStr">
        <is>
          <t>Submitting SAT Scores</t>
        </is>
      </c>
      <c r="C262" t="n">
        <v>14.7</v>
      </c>
      <c r="D262" t="inlineStr">
        <is>
          <t>First-Time, First-Year Admission</t>
        </is>
      </c>
      <c r="E262" t="inlineStr">
        <is>
          <t>First-time, first-year Profile</t>
        </is>
      </c>
      <c r="F262" t="inlineStr">
        <is>
          <t>Test Scores</t>
        </is>
      </c>
      <c r="G262" t="inlineStr">
        <is>
          <t>Undergraduates</t>
        </is>
      </c>
      <c r="H262" s="2" t="inlineStr">
        <is>
          <t>First-time, first-year</t>
        </is>
      </c>
      <c r="I262" t="inlineStr">
        <is>
          <t>All</t>
        </is>
      </c>
      <c r="J262" t="inlineStr">
        <is>
          <t>All</t>
        </is>
      </c>
      <c r="K262" t="inlineStr">
        <is>
          <t>All</t>
        </is>
      </c>
      <c r="L262" t="inlineStr">
        <is>
          <t>Whole Number or Round to Nearest Tenths</t>
        </is>
      </c>
    </row>
    <row r="263" ht="18" customHeight="1" s="44">
      <c r="A263" t="inlineStr">
        <is>
          <t>C902</t>
        </is>
      </c>
      <c r="B263" t="inlineStr">
        <is>
          <t>Submitting ACT Scores</t>
        </is>
      </c>
      <c r="C263" t="n">
        <v>35.1</v>
      </c>
      <c r="D263" t="inlineStr">
        <is>
          <t>First-Time, First-Year Admission</t>
        </is>
      </c>
      <c r="E263" t="inlineStr">
        <is>
          <t>First-time, first-year Profile</t>
        </is>
      </c>
      <c r="F263" t="inlineStr">
        <is>
          <t>Test Scores</t>
        </is>
      </c>
      <c r="G263" t="inlineStr">
        <is>
          <t>Undergraduates</t>
        </is>
      </c>
      <c r="H263" s="2" t="inlineStr">
        <is>
          <t>First-time, first-year</t>
        </is>
      </c>
      <c r="I263" t="inlineStr">
        <is>
          <t>All</t>
        </is>
      </c>
      <c r="J263" t="inlineStr">
        <is>
          <t>All</t>
        </is>
      </c>
      <c r="K263" t="inlineStr">
        <is>
          <t>All</t>
        </is>
      </c>
      <c r="L263" t="inlineStr">
        <is>
          <t>Whole Number or Round to Nearest Tenths</t>
        </is>
      </c>
    </row>
    <row r="264" ht="18" customHeight="1" s="44"/>
    <row r="265" ht="18" customHeight="1" s="44">
      <c r="A265" t="inlineStr">
        <is>
          <t>C903</t>
        </is>
      </c>
      <c r="B265" t="inlineStr">
        <is>
          <t>Submitting SAT Scores</t>
        </is>
      </c>
      <c r="C265" t="n">
        <v>1253</v>
      </c>
      <c r="D265" t="inlineStr">
        <is>
          <t>First-Time, First-Year Admission</t>
        </is>
      </c>
      <c r="E265" t="inlineStr">
        <is>
          <t>First-time, first-year Profile</t>
        </is>
      </c>
      <c r="F265" t="inlineStr">
        <is>
          <t>Test Scores</t>
        </is>
      </c>
      <c r="G265" t="inlineStr">
        <is>
          <t>Undergraduates</t>
        </is>
      </c>
      <c r="H265" s="2" t="inlineStr">
        <is>
          <t>First-time, first-year</t>
        </is>
      </c>
      <c r="I265" t="inlineStr">
        <is>
          <t>All</t>
        </is>
      </c>
      <c r="J265" t="inlineStr">
        <is>
          <t>All</t>
        </is>
      </c>
      <c r="K265" t="inlineStr">
        <is>
          <t>All</t>
        </is>
      </c>
      <c r="L265" t="inlineStr">
        <is>
          <t>Number</t>
        </is>
      </c>
    </row>
    <row r="266" ht="18" customHeight="1" s="44">
      <c r="A266" t="inlineStr">
        <is>
          <t>C904</t>
        </is>
      </c>
      <c r="B266" t="inlineStr">
        <is>
          <t>Submitting ACT Scores</t>
        </is>
      </c>
      <c r="C266" t="n">
        <v>2988</v>
      </c>
      <c r="D266" t="inlineStr">
        <is>
          <t>First-Time, First-Year Admission</t>
        </is>
      </c>
      <c r="E266" t="inlineStr">
        <is>
          <t>First-time, first-year Profile</t>
        </is>
      </c>
      <c r="F266" t="inlineStr">
        <is>
          <t>Test Scores</t>
        </is>
      </c>
      <c r="G266" t="inlineStr">
        <is>
          <t>Undergraduates</t>
        </is>
      </c>
      <c r="H266" s="2" t="inlineStr">
        <is>
          <t>First-time, first-year</t>
        </is>
      </c>
      <c r="I266" t="inlineStr">
        <is>
          <t>All</t>
        </is>
      </c>
      <c r="J266" t="inlineStr">
        <is>
          <t>All</t>
        </is>
      </c>
      <c r="K266" t="inlineStr">
        <is>
          <t>All</t>
        </is>
      </c>
      <c r="L266" t="inlineStr">
        <is>
          <t>Number</t>
        </is>
      </c>
    </row>
    <row r="267"/>
    <row r="268"/>
    <row r="269"/>
    <row r="270"/>
    <row r="271"/>
    <row r="272"/>
    <row r="273"/>
    <row r="274" ht="18" customHeight="1" s="44"/>
    <row r="275" ht="18" customHeight="1" s="44">
      <c r="A275" t="inlineStr">
        <is>
          <t>C905</t>
        </is>
      </c>
      <c r="B275" t="inlineStr">
        <is>
          <t>SAT Composite: 25th Percentile</t>
        </is>
      </c>
      <c r="C275" t="n">
        <v>1370</v>
      </c>
      <c r="D275" t="inlineStr">
        <is>
          <t>First-Time, First-Year Admission</t>
        </is>
      </c>
      <c r="E275" t="inlineStr">
        <is>
          <t>First-time, first-year Profile</t>
        </is>
      </c>
      <c r="F275" t="inlineStr">
        <is>
          <t>Test Scores</t>
        </is>
      </c>
      <c r="G275" t="inlineStr">
        <is>
          <t>Undergraduates</t>
        </is>
      </c>
      <c r="H275" s="2" t="inlineStr">
        <is>
          <t>First-time, first-year</t>
        </is>
      </c>
      <c r="I275" t="inlineStr">
        <is>
          <t>All</t>
        </is>
      </c>
      <c r="J275" t="inlineStr">
        <is>
          <t>All</t>
        </is>
      </c>
      <c r="K275" t="inlineStr">
        <is>
          <t>All</t>
        </is>
      </c>
      <c r="L275" t="inlineStr">
        <is>
          <t>Whole Number or Round to Nearest Tenths</t>
        </is>
      </c>
    </row>
    <row r="276" ht="18" customHeight="1" s="44">
      <c r="A276" t="inlineStr">
        <is>
          <t>C906</t>
        </is>
      </c>
      <c r="B276" t="inlineStr">
        <is>
          <t>SAT Composite: 50th Percentile</t>
        </is>
      </c>
      <c r="C276" t="n">
        <v>1400</v>
      </c>
      <c r="D276" t="inlineStr">
        <is>
          <t>First-Time, First-Year Admission</t>
        </is>
      </c>
      <c r="E276" t="inlineStr">
        <is>
          <t>First-time, first-year Profile</t>
        </is>
      </c>
      <c r="F276" t="inlineStr">
        <is>
          <t>Test Scores</t>
        </is>
      </c>
      <c r="G276" t="inlineStr">
        <is>
          <t>Undergraduates</t>
        </is>
      </c>
      <c r="H276" s="2" t="inlineStr">
        <is>
          <t>First-time, first-year</t>
        </is>
      </c>
      <c r="I276" t="inlineStr">
        <is>
          <t>All</t>
        </is>
      </c>
      <c r="J276" t="inlineStr">
        <is>
          <t>All</t>
        </is>
      </c>
      <c r="K276" t="inlineStr">
        <is>
          <t>All</t>
        </is>
      </c>
      <c r="L276" t="inlineStr">
        <is>
          <t>Whole Number or Round to Nearest Tenths</t>
        </is>
      </c>
    </row>
    <row r="277" ht="18" customHeight="1" s="44">
      <c r="A277" t="inlineStr">
        <is>
          <t>C907</t>
        </is>
      </c>
      <c r="B277" t="inlineStr">
        <is>
          <t>SAT Composite: 75th Percentile</t>
        </is>
      </c>
      <c r="C277" t="n">
        <v>1490</v>
      </c>
      <c r="D277" t="inlineStr">
        <is>
          <t>First-Time, First-Year Admission</t>
        </is>
      </c>
      <c r="E277" t="inlineStr">
        <is>
          <t>First-time, first-year Profile</t>
        </is>
      </c>
      <c r="F277" t="inlineStr">
        <is>
          <t>Test Scores</t>
        </is>
      </c>
      <c r="G277" t="inlineStr">
        <is>
          <t>Undergraduates</t>
        </is>
      </c>
      <c r="H277" s="2" t="inlineStr">
        <is>
          <t>First-time, first-year</t>
        </is>
      </c>
      <c r="I277" t="inlineStr">
        <is>
          <t>All</t>
        </is>
      </c>
      <c r="J277" t="inlineStr">
        <is>
          <t>All</t>
        </is>
      </c>
      <c r="K277" t="inlineStr">
        <is>
          <t>All</t>
        </is>
      </c>
      <c r="L277" t="inlineStr">
        <is>
          <t>Whole Number or Round to Nearest Tenths</t>
        </is>
      </c>
    </row>
    <row r="278" ht="18" customHeight="1" s="44"/>
    <row r="279" ht="18" customHeight="1" s="44">
      <c r="A279" t="inlineStr">
        <is>
          <t>C908</t>
        </is>
      </c>
      <c r="B279" t="inlineStr">
        <is>
          <t>SAT Evidence-Based Reading and Writing: 25th Percentile</t>
        </is>
      </c>
      <c r="C279" t="n">
        <v>660</v>
      </c>
      <c r="D279" t="inlineStr">
        <is>
          <t>First-Time, First-Year Admission</t>
        </is>
      </c>
      <c r="E279" t="inlineStr">
        <is>
          <t>First-time, first-year Profile</t>
        </is>
      </c>
      <c r="F279" t="inlineStr">
        <is>
          <t>Test Scores</t>
        </is>
      </c>
      <c r="G279" t="inlineStr">
        <is>
          <t>Undergraduates</t>
        </is>
      </c>
      <c r="H279" s="2" t="inlineStr">
        <is>
          <t>First-time, first-year</t>
        </is>
      </c>
      <c r="I279" t="inlineStr">
        <is>
          <t>All</t>
        </is>
      </c>
      <c r="J279" t="inlineStr">
        <is>
          <t>All</t>
        </is>
      </c>
      <c r="K279" t="inlineStr">
        <is>
          <t>All</t>
        </is>
      </c>
      <c r="L279" t="inlineStr">
        <is>
          <t>Whole Number or Round to Nearest Tenths</t>
        </is>
      </c>
    </row>
    <row r="280" ht="18" customHeight="1" s="44">
      <c r="A280" t="inlineStr">
        <is>
          <t>C909</t>
        </is>
      </c>
      <c r="B280" t="inlineStr">
        <is>
          <t>SAT Evidence-Based Reading and Writing: 50th Percentile</t>
        </is>
      </c>
      <c r="C280" t="n">
        <v>700</v>
      </c>
      <c r="D280" t="inlineStr">
        <is>
          <t>First-Time, First-Year Admission</t>
        </is>
      </c>
      <c r="E280" t="inlineStr">
        <is>
          <t>First-time, first-year Profile</t>
        </is>
      </c>
      <c r="F280" t="inlineStr">
        <is>
          <t>Test Scores</t>
        </is>
      </c>
      <c r="G280" t="inlineStr">
        <is>
          <t>Undergraduates</t>
        </is>
      </c>
      <c r="H280" s="2" t="inlineStr">
        <is>
          <t>First-time, first-year</t>
        </is>
      </c>
      <c r="I280" t="inlineStr">
        <is>
          <t>All</t>
        </is>
      </c>
      <c r="J280" t="inlineStr">
        <is>
          <t>All</t>
        </is>
      </c>
      <c r="K280" t="inlineStr">
        <is>
          <t>All</t>
        </is>
      </c>
      <c r="L280" t="inlineStr">
        <is>
          <t>Whole Number or Round to Nearest Tenths</t>
        </is>
      </c>
    </row>
    <row r="281" ht="18" customHeight="1" s="44">
      <c r="A281" t="inlineStr">
        <is>
          <t>C910</t>
        </is>
      </c>
      <c r="B281" t="inlineStr">
        <is>
          <t>SAT Evidence-Based Reading and Writing: 75th Percentile</t>
        </is>
      </c>
      <c r="C281" t="n">
        <v>730</v>
      </c>
      <c r="D281" t="inlineStr">
        <is>
          <t>First-Time, First-Year Admission</t>
        </is>
      </c>
      <c r="E281" t="inlineStr">
        <is>
          <t>First-time, first-year Profile</t>
        </is>
      </c>
      <c r="F281" t="inlineStr">
        <is>
          <t>Test Scores</t>
        </is>
      </c>
      <c r="G281" t="inlineStr">
        <is>
          <t>Undergraduates</t>
        </is>
      </c>
      <c r="H281" s="2" t="inlineStr">
        <is>
          <t>First-time, first-year</t>
        </is>
      </c>
      <c r="I281" t="inlineStr">
        <is>
          <t>All</t>
        </is>
      </c>
      <c r="J281" t="inlineStr">
        <is>
          <t>All</t>
        </is>
      </c>
      <c r="K281" t="inlineStr">
        <is>
          <t>All</t>
        </is>
      </c>
      <c r="L281" t="inlineStr">
        <is>
          <t>Whole Number or Round to Nearest Tenths</t>
        </is>
      </c>
    </row>
    <row r="282" ht="18" customHeight="1" s="44"/>
    <row r="283" ht="18" customHeight="1" s="44">
      <c r="A283" t="inlineStr">
        <is>
          <t>C911</t>
        </is>
      </c>
      <c r="B283" t="inlineStr">
        <is>
          <t>SAT Math: 25th Percentile</t>
        </is>
      </c>
      <c r="C283" t="n">
        <v>690</v>
      </c>
      <c r="D283" t="inlineStr">
        <is>
          <t>First-Time, First-Year Admission</t>
        </is>
      </c>
      <c r="E283" t="inlineStr">
        <is>
          <t>First-time, first-year Profile</t>
        </is>
      </c>
      <c r="F283" t="inlineStr">
        <is>
          <t>Test Scores</t>
        </is>
      </c>
      <c r="G283" t="inlineStr">
        <is>
          <t>Undergraduates</t>
        </is>
      </c>
      <c r="H283" s="2" t="inlineStr">
        <is>
          <t>First-time, first-year</t>
        </is>
      </c>
      <c r="I283" t="inlineStr">
        <is>
          <t>All</t>
        </is>
      </c>
      <c r="J283" t="inlineStr">
        <is>
          <t>All</t>
        </is>
      </c>
      <c r="K283" t="inlineStr">
        <is>
          <t>All</t>
        </is>
      </c>
      <c r="L283" t="inlineStr">
        <is>
          <t>Whole Number or Round to Nearest Tenths</t>
        </is>
      </c>
    </row>
    <row r="284" ht="18" customHeight="1" s="44">
      <c r="A284" t="inlineStr">
        <is>
          <t>C912</t>
        </is>
      </c>
      <c r="B284" t="inlineStr">
        <is>
          <t>SAT Math: 50th Percentile</t>
        </is>
      </c>
      <c r="C284" t="n">
        <v>750</v>
      </c>
      <c r="D284" t="inlineStr">
        <is>
          <t>First-Time, First-Year Admission</t>
        </is>
      </c>
      <c r="E284" t="inlineStr">
        <is>
          <t>First-time, first-year Profile</t>
        </is>
      </c>
      <c r="F284" t="inlineStr">
        <is>
          <t>Test Scores</t>
        </is>
      </c>
      <c r="G284" t="inlineStr">
        <is>
          <t>Undergraduates</t>
        </is>
      </c>
      <c r="H284" s="2" t="inlineStr">
        <is>
          <t>First-time, first-year</t>
        </is>
      </c>
      <c r="I284" t="inlineStr">
        <is>
          <t>All</t>
        </is>
      </c>
      <c r="J284" t="inlineStr">
        <is>
          <t>All</t>
        </is>
      </c>
      <c r="K284" t="inlineStr">
        <is>
          <t>All</t>
        </is>
      </c>
      <c r="L284" t="inlineStr">
        <is>
          <t>Whole Number or Round to Nearest Tenths</t>
        </is>
      </c>
    </row>
    <row r="285" ht="18" customHeight="1" s="44">
      <c r="A285" t="inlineStr">
        <is>
          <t>C913</t>
        </is>
      </c>
      <c r="B285" t="inlineStr">
        <is>
          <t>SAT Math: 75th Percentile</t>
        </is>
      </c>
      <c r="C285" t="n">
        <v>780</v>
      </c>
      <c r="D285" t="inlineStr">
        <is>
          <t>First-Time, First-Year Admission</t>
        </is>
      </c>
      <c r="E285" t="inlineStr">
        <is>
          <t>First-time, first-year Profile</t>
        </is>
      </c>
      <c r="F285" t="inlineStr">
        <is>
          <t>Test Scores</t>
        </is>
      </c>
      <c r="G285" t="inlineStr">
        <is>
          <t>Undergraduates</t>
        </is>
      </c>
      <c r="H285" s="2" t="inlineStr">
        <is>
          <t>First-time, first-year</t>
        </is>
      </c>
      <c r="I285" t="inlineStr">
        <is>
          <t>All</t>
        </is>
      </c>
      <c r="J285" t="inlineStr">
        <is>
          <t>All</t>
        </is>
      </c>
      <c r="K285" t="inlineStr">
        <is>
          <t>All</t>
        </is>
      </c>
      <c r="L285" t="inlineStr">
        <is>
          <t>Whole Number or Round to Nearest Tenths</t>
        </is>
      </c>
    </row>
    <row r="286"/>
    <row r="287" ht="18" customHeight="1" s="44"/>
    <row r="288" ht="18" customHeight="1" s="44">
      <c r="A288" t="inlineStr">
        <is>
          <t>C914</t>
        </is>
      </c>
      <c r="B288" t="inlineStr">
        <is>
          <t>ACT Composite: 25th Percentile</t>
        </is>
      </c>
      <c r="C288" t="n">
        <v>29</v>
      </c>
      <c r="D288" t="inlineStr">
        <is>
          <t>First-Time, First-Year Admission</t>
        </is>
      </c>
      <c r="E288" t="inlineStr">
        <is>
          <t>First-time, first-year Profile</t>
        </is>
      </c>
      <c r="F288" t="inlineStr">
        <is>
          <t>Test Scores</t>
        </is>
      </c>
      <c r="G288" t="inlineStr">
        <is>
          <t>Undergraduates</t>
        </is>
      </c>
      <c r="H288" s="2" t="inlineStr">
        <is>
          <t>First-time, first-year</t>
        </is>
      </c>
      <c r="I288" t="inlineStr">
        <is>
          <t>All</t>
        </is>
      </c>
      <c r="J288" t="inlineStr">
        <is>
          <t>All</t>
        </is>
      </c>
      <c r="K288" t="inlineStr">
        <is>
          <t>All</t>
        </is>
      </c>
      <c r="L288" t="inlineStr">
        <is>
          <t>Whole Number or Round to Nearest Tenths</t>
        </is>
      </c>
    </row>
    <row r="289" ht="18" customHeight="1" s="44">
      <c r="A289" t="inlineStr">
        <is>
          <t>C915</t>
        </is>
      </c>
      <c r="B289" t="inlineStr">
        <is>
          <t>ACT Composite: 50th Percentile</t>
        </is>
      </c>
      <c r="C289" t="n">
        <v>31</v>
      </c>
      <c r="D289" t="inlineStr">
        <is>
          <t>First-Time, First-Year Admission</t>
        </is>
      </c>
      <c r="E289" t="inlineStr">
        <is>
          <t>First-time, first-year Profile</t>
        </is>
      </c>
      <c r="F289" t="inlineStr">
        <is>
          <t>Test Scores</t>
        </is>
      </c>
      <c r="G289" t="inlineStr">
        <is>
          <t>Undergraduates</t>
        </is>
      </c>
      <c r="H289" s="2" t="inlineStr">
        <is>
          <t>First-time, first-year</t>
        </is>
      </c>
      <c r="I289" t="inlineStr">
        <is>
          <t>All</t>
        </is>
      </c>
      <c r="J289" t="inlineStr">
        <is>
          <t>All</t>
        </is>
      </c>
      <c r="K289" t="inlineStr">
        <is>
          <t>All</t>
        </is>
      </c>
      <c r="L289" t="inlineStr">
        <is>
          <t>Whole Number or Round to Nearest Tenths</t>
        </is>
      </c>
    </row>
    <row r="290" ht="18" customHeight="1" s="44">
      <c r="A290" t="inlineStr">
        <is>
          <t>C916</t>
        </is>
      </c>
      <c r="B290" t="inlineStr">
        <is>
          <t>ACT Composite: 75th Percentile</t>
        </is>
      </c>
      <c r="C290" t="n">
        <v>33</v>
      </c>
      <c r="D290" t="inlineStr">
        <is>
          <t>First-Time, First-Year Admission</t>
        </is>
      </c>
      <c r="E290" t="inlineStr">
        <is>
          <t>First-time, first-year Profile</t>
        </is>
      </c>
      <c r="F290" t="inlineStr">
        <is>
          <t>Test Scores</t>
        </is>
      </c>
      <c r="G290" t="inlineStr">
        <is>
          <t>Undergraduates</t>
        </is>
      </c>
      <c r="H290" s="2" t="inlineStr">
        <is>
          <t>First-time, first-year</t>
        </is>
      </c>
      <c r="I290" t="inlineStr">
        <is>
          <t>All</t>
        </is>
      </c>
      <c r="J290" t="inlineStr">
        <is>
          <t>All</t>
        </is>
      </c>
      <c r="K290" t="inlineStr">
        <is>
          <t>All</t>
        </is>
      </c>
      <c r="L290" t="inlineStr">
        <is>
          <t>Whole Number or Round to Nearest Tenths</t>
        </is>
      </c>
    </row>
    <row r="291" ht="18" customHeight="1" s="44"/>
    <row r="292" ht="18" customHeight="1" s="44">
      <c r="A292" t="inlineStr">
        <is>
          <t>C917</t>
        </is>
      </c>
      <c r="B292" t="inlineStr">
        <is>
          <t>ACT Math: 25th Percentile</t>
        </is>
      </c>
      <c r="C292" t="n">
        <v>27</v>
      </c>
      <c r="D292" t="inlineStr">
        <is>
          <t>First-Time, First-Year Admission</t>
        </is>
      </c>
      <c r="E292" t="inlineStr">
        <is>
          <t>First-time, first-year Profile</t>
        </is>
      </c>
      <c r="F292" t="inlineStr">
        <is>
          <t>Test Scores</t>
        </is>
      </c>
      <c r="G292" t="inlineStr">
        <is>
          <t>Undergraduates</t>
        </is>
      </c>
      <c r="H292" s="2" t="inlineStr">
        <is>
          <t>First-time, first-year</t>
        </is>
      </c>
      <c r="I292" t="inlineStr">
        <is>
          <t>All</t>
        </is>
      </c>
      <c r="J292" t="inlineStr">
        <is>
          <t>All</t>
        </is>
      </c>
      <c r="K292" t="inlineStr">
        <is>
          <t>All</t>
        </is>
      </c>
      <c r="L292" t="inlineStr">
        <is>
          <t>Whole Number or Round to Nearest Tenths</t>
        </is>
      </c>
    </row>
    <row r="293" ht="18" customHeight="1" s="44">
      <c r="A293" t="inlineStr">
        <is>
          <t>C918</t>
        </is>
      </c>
      <c r="B293" t="inlineStr">
        <is>
          <t>ACT Math: 50th Percentile</t>
        </is>
      </c>
      <c r="C293" t="n">
        <v>30</v>
      </c>
      <c r="D293" t="inlineStr">
        <is>
          <t>First-Time, First-Year Admission</t>
        </is>
      </c>
      <c r="E293" t="inlineStr">
        <is>
          <t>First-time, first-year Profile</t>
        </is>
      </c>
      <c r="F293" t="inlineStr">
        <is>
          <t>Test Scores</t>
        </is>
      </c>
      <c r="G293" t="inlineStr">
        <is>
          <t>Undergraduates</t>
        </is>
      </c>
      <c r="H293" s="2" t="inlineStr">
        <is>
          <t>First-time, first-year</t>
        </is>
      </c>
      <c r="I293" t="inlineStr">
        <is>
          <t>All</t>
        </is>
      </c>
      <c r="J293" t="inlineStr">
        <is>
          <t>All</t>
        </is>
      </c>
      <c r="K293" t="inlineStr">
        <is>
          <t>All</t>
        </is>
      </c>
      <c r="L293" t="inlineStr">
        <is>
          <t>Whole Number or Round to Nearest Tenths</t>
        </is>
      </c>
    </row>
    <row r="294" ht="18" customHeight="1" s="44">
      <c r="A294" t="inlineStr">
        <is>
          <t>C919</t>
        </is>
      </c>
      <c r="B294" t="inlineStr">
        <is>
          <t>ACT Math: 75th Percentile</t>
        </is>
      </c>
      <c r="C294" t="n">
        <v>33</v>
      </c>
      <c r="D294" t="inlineStr">
        <is>
          <t>First-Time, First-Year Admission</t>
        </is>
      </c>
      <c r="E294" t="inlineStr">
        <is>
          <t>First-time, first-year Profile</t>
        </is>
      </c>
      <c r="F294" t="inlineStr">
        <is>
          <t>Test Scores</t>
        </is>
      </c>
      <c r="G294" t="inlineStr">
        <is>
          <t>Undergraduates</t>
        </is>
      </c>
      <c r="H294" s="2" t="inlineStr">
        <is>
          <t>First-time, first-year</t>
        </is>
      </c>
      <c r="I294" t="inlineStr">
        <is>
          <t>All</t>
        </is>
      </c>
      <c r="J294" t="inlineStr">
        <is>
          <t>All</t>
        </is>
      </c>
      <c r="K294" t="inlineStr">
        <is>
          <t>All</t>
        </is>
      </c>
      <c r="L294" t="inlineStr">
        <is>
          <t>Whole Number or Round to Nearest Tenths</t>
        </is>
      </c>
    </row>
    <row r="295" ht="18" customHeight="1" s="44"/>
    <row r="296" ht="18" customHeight="1" s="44">
      <c r="A296" t="inlineStr">
        <is>
          <t>C920</t>
        </is>
      </c>
      <c r="B296" t="inlineStr">
        <is>
          <t>ACT English: 25th Percentile</t>
        </is>
      </c>
      <c r="C296" t="n">
        <v>28</v>
      </c>
      <c r="D296" t="inlineStr">
        <is>
          <t>First-Time, First-Year Admission</t>
        </is>
      </c>
      <c r="E296" t="inlineStr">
        <is>
          <t>First-time, first-year Profile</t>
        </is>
      </c>
      <c r="F296" t="inlineStr">
        <is>
          <t>Test Scores</t>
        </is>
      </c>
      <c r="G296" t="inlineStr">
        <is>
          <t>Undergraduates</t>
        </is>
      </c>
      <c r="H296" s="2" t="inlineStr">
        <is>
          <t>First-time, first-year</t>
        </is>
      </c>
      <c r="I296" t="inlineStr">
        <is>
          <t>All</t>
        </is>
      </c>
      <c r="J296" t="inlineStr">
        <is>
          <t>All</t>
        </is>
      </c>
      <c r="K296" t="inlineStr">
        <is>
          <t>All</t>
        </is>
      </c>
      <c r="L296" t="inlineStr">
        <is>
          <t>Whole Number or Round to Nearest Tenths</t>
        </is>
      </c>
    </row>
    <row r="297" ht="18" customHeight="1" s="44">
      <c r="A297" t="inlineStr">
        <is>
          <t>C921</t>
        </is>
      </c>
      <c r="B297" t="inlineStr">
        <is>
          <t>ACT English: 50th Percentile</t>
        </is>
      </c>
      <c r="C297" t="n">
        <v>32</v>
      </c>
      <c r="D297" t="inlineStr">
        <is>
          <t>First-Time, First-Year Admission</t>
        </is>
      </c>
      <c r="E297" t="inlineStr">
        <is>
          <t>First-time, first-year Profile</t>
        </is>
      </c>
      <c r="F297" t="inlineStr">
        <is>
          <t>Test Scores</t>
        </is>
      </c>
      <c r="G297" t="inlineStr">
        <is>
          <t>Undergraduates</t>
        </is>
      </c>
      <c r="H297" s="2" t="inlineStr">
        <is>
          <t>First-time, first-year</t>
        </is>
      </c>
      <c r="I297" t="inlineStr">
        <is>
          <t>All</t>
        </is>
      </c>
      <c r="J297" t="inlineStr">
        <is>
          <t>All</t>
        </is>
      </c>
      <c r="K297" t="inlineStr">
        <is>
          <t>All</t>
        </is>
      </c>
      <c r="L297" t="inlineStr">
        <is>
          <t>Whole Number or Round to Nearest Tenths</t>
        </is>
      </c>
    </row>
    <row r="298" ht="18" customHeight="1" s="44">
      <c r="A298" t="inlineStr">
        <is>
          <t>C922</t>
        </is>
      </c>
      <c r="B298" t="inlineStr">
        <is>
          <t>ACT English: 75th Percentile</t>
        </is>
      </c>
      <c r="C298" t="n">
        <v>34</v>
      </c>
      <c r="D298" t="inlineStr">
        <is>
          <t>First-Time, First-Year Admission</t>
        </is>
      </c>
      <c r="E298" t="inlineStr">
        <is>
          <t>First-time, first-year Profile</t>
        </is>
      </c>
      <c r="F298" t="inlineStr">
        <is>
          <t>Test Scores</t>
        </is>
      </c>
      <c r="G298" t="inlineStr">
        <is>
          <t>Undergraduates</t>
        </is>
      </c>
      <c r="H298" s="2" t="inlineStr">
        <is>
          <t>First-time, first-year</t>
        </is>
      </c>
      <c r="I298" t="inlineStr">
        <is>
          <t>All</t>
        </is>
      </c>
      <c r="J298" t="inlineStr">
        <is>
          <t>All</t>
        </is>
      </c>
      <c r="K298" t="inlineStr">
        <is>
          <t>All</t>
        </is>
      </c>
      <c r="L298" t="inlineStr">
        <is>
          <t>Whole Number or Round to Nearest Tenths</t>
        </is>
      </c>
    </row>
    <row r="299" ht="18" customHeight="1" s="44"/>
    <row r="300" ht="18" customHeight="1" s="44">
      <c r="A300" t="inlineStr">
        <is>
          <t>C923</t>
        </is>
      </c>
      <c r="B300" t="inlineStr">
        <is>
          <t>ACT Writing: 25th Percentile</t>
        </is>
      </c>
      <c r="D300" t="inlineStr">
        <is>
          <t>First-Time, First-Year Admission</t>
        </is>
      </c>
      <c r="E300" t="inlineStr">
        <is>
          <t>First-time, first-year Profile</t>
        </is>
      </c>
      <c r="F300" t="inlineStr">
        <is>
          <t>Test Scores</t>
        </is>
      </c>
      <c r="G300" t="inlineStr">
        <is>
          <t>Undergraduates</t>
        </is>
      </c>
      <c r="H300" s="2" t="inlineStr">
        <is>
          <t>First-time, first-year</t>
        </is>
      </c>
      <c r="I300" t="inlineStr">
        <is>
          <t>All</t>
        </is>
      </c>
      <c r="J300" t="inlineStr">
        <is>
          <t>All</t>
        </is>
      </c>
      <c r="K300" t="inlineStr">
        <is>
          <t>All</t>
        </is>
      </c>
      <c r="L300" t="inlineStr">
        <is>
          <t>Whole Number or Round to Nearest Tenths</t>
        </is>
      </c>
    </row>
    <row r="301" ht="18" customHeight="1" s="44">
      <c r="A301" t="inlineStr">
        <is>
          <t>C924</t>
        </is>
      </c>
      <c r="B301" t="inlineStr">
        <is>
          <t>ACT Writing: 50th Percentile</t>
        </is>
      </c>
      <c r="D301" t="inlineStr">
        <is>
          <t>First-Time, First-Year Admission</t>
        </is>
      </c>
      <c r="E301" t="inlineStr">
        <is>
          <t>First-time, first-year Profile</t>
        </is>
      </c>
      <c r="F301" t="inlineStr">
        <is>
          <t>Test Scores</t>
        </is>
      </c>
      <c r="G301" t="inlineStr">
        <is>
          <t>Undergraduates</t>
        </is>
      </c>
      <c r="H301" s="2" t="inlineStr">
        <is>
          <t>First-time, first-year</t>
        </is>
      </c>
      <c r="I301" t="inlineStr">
        <is>
          <t>All</t>
        </is>
      </c>
      <c r="J301" t="inlineStr">
        <is>
          <t>All</t>
        </is>
      </c>
      <c r="K301" t="inlineStr">
        <is>
          <t>All</t>
        </is>
      </c>
      <c r="L301" t="inlineStr">
        <is>
          <t>Whole Number or Round to Nearest Tenths</t>
        </is>
      </c>
    </row>
    <row r="302" ht="18" customHeight="1" s="44">
      <c r="A302" t="inlineStr">
        <is>
          <t>C925</t>
        </is>
      </c>
      <c r="B302" t="inlineStr">
        <is>
          <t>ACT Writing: 75th Percentile</t>
        </is>
      </c>
      <c r="D302" t="inlineStr">
        <is>
          <t>First-Time, First-Year Admission</t>
        </is>
      </c>
      <c r="E302" t="inlineStr">
        <is>
          <t>First-time, first-year Profile</t>
        </is>
      </c>
      <c r="F302" t="inlineStr">
        <is>
          <t>Test Scores</t>
        </is>
      </c>
      <c r="G302" t="inlineStr">
        <is>
          <t>Undergraduates</t>
        </is>
      </c>
      <c r="H302" s="2" t="inlineStr">
        <is>
          <t>First-time, first-year</t>
        </is>
      </c>
      <c r="I302" t="inlineStr">
        <is>
          <t>All</t>
        </is>
      </c>
      <c r="J302" t="inlineStr">
        <is>
          <t>All</t>
        </is>
      </c>
      <c r="K302" t="inlineStr">
        <is>
          <t>All</t>
        </is>
      </c>
      <c r="L302" t="inlineStr">
        <is>
          <t>Whole Number or Round to Nearest Tenths</t>
        </is>
      </c>
    </row>
    <row r="303" ht="18" customHeight="1" s="44"/>
    <row r="304" ht="18" customHeight="1" s="44">
      <c r="A304" t="inlineStr">
        <is>
          <t>C926</t>
        </is>
      </c>
      <c r="B304" t="inlineStr">
        <is>
          <t>ACT Science: 25th Percentile</t>
        </is>
      </c>
      <c r="C304" t="n">
        <v>27</v>
      </c>
      <c r="D304" t="inlineStr">
        <is>
          <t>First-Time, First-Year Admission</t>
        </is>
      </c>
      <c r="E304" t="inlineStr">
        <is>
          <t>First-time, first-year Profile</t>
        </is>
      </c>
      <c r="F304" t="inlineStr">
        <is>
          <t>Test Scores</t>
        </is>
      </c>
      <c r="G304" t="inlineStr">
        <is>
          <t>Undergraduates</t>
        </is>
      </c>
      <c r="H304" s="2" t="inlineStr">
        <is>
          <t>First-time, first-year</t>
        </is>
      </c>
      <c r="I304" t="inlineStr">
        <is>
          <t>All</t>
        </is>
      </c>
      <c r="J304" t="inlineStr">
        <is>
          <t>All</t>
        </is>
      </c>
      <c r="K304" t="inlineStr">
        <is>
          <t>All</t>
        </is>
      </c>
      <c r="L304" t="inlineStr">
        <is>
          <t>Whole Number or Round to Nearest Tenths</t>
        </is>
      </c>
    </row>
    <row r="305" ht="18" customHeight="1" s="44">
      <c r="A305" t="inlineStr">
        <is>
          <t>C927</t>
        </is>
      </c>
      <c r="B305" t="inlineStr">
        <is>
          <t>ACT Science: 50th Percentile</t>
        </is>
      </c>
      <c r="C305" t="n">
        <v>30</v>
      </c>
      <c r="D305" t="inlineStr">
        <is>
          <t>First-Time, First-Year Admission</t>
        </is>
      </c>
      <c r="E305" t="inlineStr">
        <is>
          <t>First-time, first-year Profile</t>
        </is>
      </c>
      <c r="F305" t="inlineStr">
        <is>
          <t>Test Scores</t>
        </is>
      </c>
      <c r="G305" t="inlineStr">
        <is>
          <t>Undergraduates</t>
        </is>
      </c>
      <c r="H305" s="2" t="inlineStr">
        <is>
          <t>First-time, first-year</t>
        </is>
      </c>
      <c r="I305" t="inlineStr">
        <is>
          <t>All</t>
        </is>
      </c>
      <c r="J305" t="inlineStr">
        <is>
          <t>All</t>
        </is>
      </c>
      <c r="K305" t="inlineStr">
        <is>
          <t>All</t>
        </is>
      </c>
      <c r="L305" t="inlineStr">
        <is>
          <t>Whole Number or Round to Nearest Tenths</t>
        </is>
      </c>
    </row>
    <row r="306" ht="18" customHeight="1" s="44">
      <c r="A306" t="inlineStr">
        <is>
          <t>C928</t>
        </is>
      </c>
      <c r="B306" t="inlineStr">
        <is>
          <t>ACT Science: 75th Percentile</t>
        </is>
      </c>
      <c r="C306" t="n">
        <v>33</v>
      </c>
      <c r="D306" t="inlineStr">
        <is>
          <t>First-Time, First-Year Admission</t>
        </is>
      </c>
      <c r="E306" t="inlineStr">
        <is>
          <t>First-time, first-year Profile</t>
        </is>
      </c>
      <c r="F306" t="inlineStr">
        <is>
          <t>Test Scores</t>
        </is>
      </c>
      <c r="G306" t="inlineStr">
        <is>
          <t>Undergraduates</t>
        </is>
      </c>
      <c r="H306" s="2" t="inlineStr">
        <is>
          <t>First-time, first-year</t>
        </is>
      </c>
      <c r="I306" t="inlineStr">
        <is>
          <t>All</t>
        </is>
      </c>
      <c r="J306" t="inlineStr">
        <is>
          <t>All</t>
        </is>
      </c>
      <c r="K306" t="inlineStr">
        <is>
          <t>All</t>
        </is>
      </c>
      <c r="L306" t="inlineStr">
        <is>
          <t>Whole Number or Round to Nearest Tenths</t>
        </is>
      </c>
    </row>
    <row r="307" ht="18" customHeight="1" s="44"/>
    <row r="308" ht="18" customHeight="1" s="44">
      <c r="A308" t="inlineStr">
        <is>
          <t>C929</t>
        </is>
      </c>
      <c r="B308" t="inlineStr">
        <is>
          <t>ACT Reading: 25th Percentile</t>
        </is>
      </c>
      <c r="C308" t="n">
        <v>29</v>
      </c>
      <c r="D308" t="inlineStr">
        <is>
          <t>First-Time, First-Year Admission</t>
        </is>
      </c>
      <c r="E308" t="inlineStr">
        <is>
          <t>First-time, first-year Profile</t>
        </is>
      </c>
      <c r="F308" t="inlineStr">
        <is>
          <t>Test Scores</t>
        </is>
      </c>
      <c r="G308" t="inlineStr">
        <is>
          <t>Undergraduates</t>
        </is>
      </c>
      <c r="H308" s="2" t="inlineStr">
        <is>
          <t>First-time, first-year</t>
        </is>
      </c>
      <c r="I308" t="inlineStr">
        <is>
          <t>All</t>
        </is>
      </c>
      <c r="J308" t="inlineStr">
        <is>
          <t>All</t>
        </is>
      </c>
      <c r="K308" t="inlineStr">
        <is>
          <t>All</t>
        </is>
      </c>
      <c r="L308" t="inlineStr">
        <is>
          <t>Whole Number or Round to Nearest Tenths</t>
        </is>
      </c>
    </row>
    <row r="309" ht="18" customHeight="1" s="44">
      <c r="A309" t="inlineStr">
        <is>
          <t>C930</t>
        </is>
      </c>
      <c r="B309" t="inlineStr">
        <is>
          <t>ACT Reading: 50th Percentile</t>
        </is>
      </c>
      <c r="C309" t="n">
        <v>32</v>
      </c>
      <c r="D309" t="inlineStr">
        <is>
          <t>First-Time, First-Year Admission</t>
        </is>
      </c>
      <c r="E309" t="inlineStr">
        <is>
          <t>First-time, first-year Profile</t>
        </is>
      </c>
      <c r="F309" t="inlineStr">
        <is>
          <t>Test Scores</t>
        </is>
      </c>
      <c r="G309" t="inlineStr">
        <is>
          <t>Undergraduates</t>
        </is>
      </c>
      <c r="H309" s="2" t="inlineStr">
        <is>
          <t>First-time, first-year</t>
        </is>
      </c>
      <c r="I309" t="inlineStr">
        <is>
          <t>All</t>
        </is>
      </c>
      <c r="J309" t="inlineStr">
        <is>
          <t>All</t>
        </is>
      </c>
      <c r="K309" t="inlineStr">
        <is>
          <t>All</t>
        </is>
      </c>
      <c r="L309" t="inlineStr">
        <is>
          <t>Whole Number or Round to Nearest Tenths</t>
        </is>
      </c>
    </row>
    <row r="310" ht="18" customHeight="1" s="44">
      <c r="A310" t="inlineStr">
        <is>
          <t>C931</t>
        </is>
      </c>
      <c r="B310" t="inlineStr">
        <is>
          <t>ACT Reading: 75th Percentile</t>
        </is>
      </c>
      <c r="C310" t="n">
        <v>34</v>
      </c>
      <c r="D310" t="inlineStr">
        <is>
          <t>First-Time, First-Year Admission</t>
        </is>
      </c>
      <c r="E310" t="inlineStr">
        <is>
          <t>First-time, first-year Profile</t>
        </is>
      </c>
      <c r="F310" t="inlineStr">
        <is>
          <t>Test Scores</t>
        </is>
      </c>
      <c r="G310" t="inlineStr">
        <is>
          <t>Undergraduates</t>
        </is>
      </c>
      <c r="H310" s="2" t="inlineStr">
        <is>
          <t>First-time, first-year</t>
        </is>
      </c>
      <c r="I310" t="inlineStr">
        <is>
          <t>All</t>
        </is>
      </c>
      <c r="J310" t="inlineStr">
        <is>
          <t>All</t>
        </is>
      </c>
      <c r="K310" t="inlineStr">
        <is>
          <t>All</t>
        </is>
      </c>
      <c r="L310" t="inlineStr">
        <is>
          <t>Whole Number or Round to Nearest Tenths</t>
        </is>
      </c>
    </row>
    <row r="311" ht="18" customHeight="1" s="44"/>
    <row r="312" ht="18" customHeight="1" s="44"/>
    <row r="313" ht="18" customHeight="1" s="44"/>
    <row r="314" ht="18" customHeight="1" s="44"/>
    <row r="315" ht="18" customHeight="1" s="44">
      <c r="A315" t="inlineStr">
        <is>
          <t>C905</t>
        </is>
      </c>
      <c r="B315" t="inlineStr">
        <is>
          <t>SAT Evidence-Based Reading and Writing: 700-800</t>
        </is>
      </c>
      <c r="C315" t="n">
        <v>0.512</v>
      </c>
      <c r="D315" t="inlineStr">
        <is>
          <t>First-Time, First-Year Admission</t>
        </is>
      </c>
      <c r="E315" t="inlineStr">
        <is>
          <t>First-time, first-year Profile</t>
        </is>
      </c>
      <c r="F315" t="inlineStr">
        <is>
          <t>Test Scores</t>
        </is>
      </c>
      <c r="G315" t="inlineStr">
        <is>
          <t>Undergraduates</t>
        </is>
      </c>
      <c r="H315" s="2" t="inlineStr">
        <is>
          <t>First-time, first-year</t>
        </is>
      </c>
      <c r="I315" t="inlineStr">
        <is>
          <t>All</t>
        </is>
      </c>
      <c r="J315" t="inlineStr">
        <is>
          <t>All</t>
        </is>
      </c>
      <c r="K315" t="inlineStr">
        <is>
          <t>All</t>
        </is>
      </c>
      <c r="L315" t="inlineStr">
        <is>
          <t>Whole Number or Round to Nearest Tenths</t>
        </is>
      </c>
    </row>
    <row r="316" ht="18" customHeight="1" s="44">
      <c r="A316" t="inlineStr">
        <is>
          <t>C906</t>
        </is>
      </c>
      <c r="B316" t="inlineStr">
        <is>
          <t>SAT Evidence-Based Reading and Writing: 600-699</t>
        </is>
      </c>
      <c r="C316" t="n">
        <v>0.445</v>
      </c>
      <c r="D316" t="inlineStr">
        <is>
          <t>First-Time, First-Year Admission</t>
        </is>
      </c>
      <c r="E316" t="inlineStr">
        <is>
          <t>First-time, first-year Profile</t>
        </is>
      </c>
      <c r="F316" t="inlineStr">
        <is>
          <t>Test Scores</t>
        </is>
      </c>
      <c r="G316" t="inlineStr">
        <is>
          <t>Undergraduates</t>
        </is>
      </c>
      <c r="H316" s="2" t="inlineStr">
        <is>
          <t>First-time, first-year</t>
        </is>
      </c>
      <c r="I316" t="inlineStr">
        <is>
          <t>All</t>
        </is>
      </c>
      <c r="J316" t="inlineStr">
        <is>
          <t>All</t>
        </is>
      </c>
      <c r="K316" t="inlineStr">
        <is>
          <t>All</t>
        </is>
      </c>
      <c r="L316" t="inlineStr">
        <is>
          <t>Whole Number or Round to Nearest Tenths</t>
        </is>
      </c>
    </row>
    <row r="317" ht="18" customHeight="1" s="44">
      <c r="A317" t="inlineStr">
        <is>
          <t>C907</t>
        </is>
      </c>
      <c r="B317" t="inlineStr">
        <is>
          <t>SAT Evidence-Based Reading and Writing: 500-599</t>
        </is>
      </c>
      <c r="C317" t="n">
        <v>0.041</v>
      </c>
      <c r="D317" t="inlineStr">
        <is>
          <t>First-Time, First-Year Admission</t>
        </is>
      </c>
      <c r="E317" t="inlineStr">
        <is>
          <t>First-time, first-year Profile</t>
        </is>
      </c>
      <c r="F317" t="inlineStr">
        <is>
          <t>Test Scores</t>
        </is>
      </c>
      <c r="G317" t="inlineStr">
        <is>
          <t>Undergraduates</t>
        </is>
      </c>
      <c r="H317" s="2" t="inlineStr">
        <is>
          <t>First-time, first-year</t>
        </is>
      </c>
      <c r="I317" t="inlineStr">
        <is>
          <t>All</t>
        </is>
      </c>
      <c r="J317" t="inlineStr">
        <is>
          <t>All</t>
        </is>
      </c>
      <c r="K317" t="inlineStr">
        <is>
          <t>All</t>
        </is>
      </c>
      <c r="L317" t="inlineStr">
        <is>
          <t>Whole Number or Round to Nearest Tenths</t>
        </is>
      </c>
    </row>
    <row r="318" ht="18" customHeight="1" s="44">
      <c r="A318" t="inlineStr">
        <is>
          <t>C908</t>
        </is>
      </c>
      <c r="B318" t="inlineStr">
        <is>
          <t>SAT Evidence-Based Reading and Writing: 400-499</t>
        </is>
      </c>
      <c r="C318" t="n">
        <v>0.002</v>
      </c>
      <c r="D318" t="inlineStr">
        <is>
          <t>First-Time, First-Year Admission</t>
        </is>
      </c>
      <c r="E318" t="inlineStr">
        <is>
          <t>First-time, first-year Profile</t>
        </is>
      </c>
      <c r="F318" t="inlineStr">
        <is>
          <t>Test Scores</t>
        </is>
      </c>
      <c r="G318" t="inlineStr">
        <is>
          <t>Undergraduates</t>
        </is>
      </c>
      <c r="H318" s="2" t="inlineStr">
        <is>
          <t>First-time, first-year</t>
        </is>
      </c>
      <c r="I318" t="inlineStr">
        <is>
          <t>All</t>
        </is>
      </c>
      <c r="J318" t="inlineStr">
        <is>
          <t>All</t>
        </is>
      </c>
      <c r="K318" t="inlineStr">
        <is>
          <t>All</t>
        </is>
      </c>
      <c r="L318" t="inlineStr">
        <is>
          <t>Whole Number or Round to Nearest Tenths</t>
        </is>
      </c>
    </row>
    <row r="319" ht="18" customHeight="1" s="44">
      <c r="A319" t="inlineStr">
        <is>
          <t>C909</t>
        </is>
      </c>
      <c r="B319" t="inlineStr">
        <is>
          <t>SAT Evidence-Based Reading and Writing: 300-399</t>
        </is>
      </c>
      <c r="C319" t="n">
        <v>0</v>
      </c>
      <c r="D319" t="inlineStr">
        <is>
          <t>First-Time, First-Year Admission</t>
        </is>
      </c>
      <c r="E319" t="inlineStr">
        <is>
          <t>First-time, first-year Profile</t>
        </is>
      </c>
      <c r="F319" t="inlineStr">
        <is>
          <t>Test Scores</t>
        </is>
      </c>
      <c r="G319" t="inlineStr">
        <is>
          <t>Undergraduates</t>
        </is>
      </c>
      <c r="H319" s="2" t="inlineStr">
        <is>
          <t>First-time, first-year</t>
        </is>
      </c>
      <c r="I319" t="inlineStr">
        <is>
          <t>All</t>
        </is>
      </c>
      <c r="J319" t="inlineStr">
        <is>
          <t>All</t>
        </is>
      </c>
      <c r="K319" t="inlineStr">
        <is>
          <t>All</t>
        </is>
      </c>
      <c r="L319" t="inlineStr">
        <is>
          <t>Whole Number or Round to Nearest Tenths</t>
        </is>
      </c>
    </row>
    <row r="320" ht="18" customHeight="1" s="44">
      <c r="A320" t="inlineStr">
        <is>
          <t>C910</t>
        </is>
      </c>
      <c r="B320" t="inlineStr">
        <is>
          <t>SAT Evidence-Based Reading and Writing: 200-299</t>
        </is>
      </c>
      <c r="C320" t="n">
        <v>0</v>
      </c>
      <c r="D320" t="inlineStr">
        <is>
          <t>First-Time, First-Year Admission</t>
        </is>
      </c>
      <c r="E320" t="inlineStr">
        <is>
          <t>First-time, first-year Profile</t>
        </is>
      </c>
      <c r="F320" t="inlineStr">
        <is>
          <t>Test Scores</t>
        </is>
      </c>
      <c r="G320" t="inlineStr">
        <is>
          <t>Undergraduates</t>
        </is>
      </c>
      <c r="H320" s="2" t="inlineStr">
        <is>
          <t>First-time, first-year</t>
        </is>
      </c>
      <c r="I320" t="inlineStr">
        <is>
          <t>All</t>
        </is>
      </c>
      <c r="J320" t="inlineStr">
        <is>
          <t>All</t>
        </is>
      </c>
      <c r="K320" t="inlineStr">
        <is>
          <t>All</t>
        </is>
      </c>
      <c r="L320" t="inlineStr">
        <is>
          <t>Whole Number or Round to Nearest Tenths</t>
        </is>
      </c>
    </row>
    <row r="321" ht="18" customHeight="1" s="44">
      <c r="A321" t="inlineStr">
        <is>
          <t>C911</t>
        </is>
      </c>
      <c r="B321" t="inlineStr">
        <is>
          <t>SAT Evidence-Based Reading and Writing: Total</t>
        </is>
      </c>
      <c r="C321" s="40">
        <f>SUM(C315:C320)</f>
        <v/>
      </c>
      <c r="D321" t="inlineStr">
        <is>
          <t>First-Time, First-Year Admission</t>
        </is>
      </c>
      <c r="E321" t="inlineStr">
        <is>
          <t>First-time, first-year Profile</t>
        </is>
      </c>
      <c r="F321" t="inlineStr">
        <is>
          <t>Test Scores</t>
        </is>
      </c>
      <c r="G321" t="inlineStr">
        <is>
          <t>Undergraduates</t>
        </is>
      </c>
      <c r="H321" s="2" t="inlineStr">
        <is>
          <t>First-time, first-year</t>
        </is>
      </c>
      <c r="I321" t="inlineStr">
        <is>
          <t>All</t>
        </is>
      </c>
      <c r="J321" t="inlineStr">
        <is>
          <t>All</t>
        </is>
      </c>
      <c r="K321" t="inlineStr">
        <is>
          <t>All</t>
        </is>
      </c>
      <c r="L321" t="inlineStr">
        <is>
          <t>Whole Number or Round to Nearest Tenths</t>
        </is>
      </c>
    </row>
    <row r="322"/>
    <row r="323" ht="18" customHeight="1" s="44"/>
    <row r="324" ht="18" customHeight="1" s="44">
      <c r="A324" t="inlineStr">
        <is>
          <t>C912</t>
        </is>
      </c>
      <c r="B324" t="inlineStr">
        <is>
          <t>SAT Math: 700-800</t>
        </is>
      </c>
      <c r="C324" t="n">
        <v>0.746</v>
      </c>
      <c r="D324" t="inlineStr">
        <is>
          <t>First-Time, First-Year Admission</t>
        </is>
      </c>
      <c r="E324" t="inlineStr">
        <is>
          <t>First-time, first-year Profile</t>
        </is>
      </c>
      <c r="F324" t="inlineStr">
        <is>
          <t>Test Scores</t>
        </is>
      </c>
      <c r="G324" t="inlineStr">
        <is>
          <t>Undergraduates</t>
        </is>
      </c>
      <c r="H324" s="2" t="inlineStr">
        <is>
          <t>First-time, first-year</t>
        </is>
      </c>
      <c r="I324" t="inlineStr">
        <is>
          <t>All</t>
        </is>
      </c>
      <c r="J324" t="inlineStr">
        <is>
          <t>All</t>
        </is>
      </c>
      <c r="K324" t="inlineStr">
        <is>
          <t>All</t>
        </is>
      </c>
      <c r="L324" t="inlineStr">
        <is>
          <t>Whole Number or Round to Nearest Tenths</t>
        </is>
      </c>
    </row>
    <row r="325" ht="18" customHeight="1" s="44">
      <c r="A325" t="inlineStr">
        <is>
          <t>C913</t>
        </is>
      </c>
      <c r="B325" t="inlineStr">
        <is>
          <t>SAT Math: 600-699</t>
        </is>
      </c>
      <c r="C325" t="n">
        <v>0.224</v>
      </c>
      <c r="D325" t="inlineStr">
        <is>
          <t>First-Time, First-Year Admission</t>
        </is>
      </c>
      <c r="E325" t="inlineStr">
        <is>
          <t>First-time, first-year Profile</t>
        </is>
      </c>
      <c r="F325" t="inlineStr">
        <is>
          <t>Test Scores</t>
        </is>
      </c>
      <c r="G325" t="inlineStr">
        <is>
          <t>Undergraduates</t>
        </is>
      </c>
      <c r="H325" s="2" t="inlineStr">
        <is>
          <t>First-time, first-year</t>
        </is>
      </c>
      <c r="I325" t="inlineStr">
        <is>
          <t>All</t>
        </is>
      </c>
      <c r="J325" t="inlineStr">
        <is>
          <t>All</t>
        </is>
      </c>
      <c r="K325" t="inlineStr">
        <is>
          <t>All</t>
        </is>
      </c>
      <c r="L325" t="inlineStr">
        <is>
          <t>Whole Number or Round to Nearest Tenths</t>
        </is>
      </c>
    </row>
    <row r="326" ht="18" customHeight="1" s="44">
      <c r="A326" t="inlineStr">
        <is>
          <t>C914</t>
        </is>
      </c>
      <c r="B326" t="inlineStr">
        <is>
          <t>SAT Math: 500-599</t>
        </is>
      </c>
      <c r="C326" t="n">
        <v>0.027</v>
      </c>
      <c r="D326" t="inlineStr">
        <is>
          <t>First-Time, First-Year Admission</t>
        </is>
      </c>
      <c r="E326" t="inlineStr">
        <is>
          <t>First-time, first-year Profile</t>
        </is>
      </c>
      <c r="F326" t="inlineStr">
        <is>
          <t>Test Scores</t>
        </is>
      </c>
      <c r="G326" t="inlineStr">
        <is>
          <t>Undergraduates</t>
        </is>
      </c>
      <c r="H326" s="2" t="inlineStr">
        <is>
          <t>First-time, first-year</t>
        </is>
      </c>
      <c r="I326" t="inlineStr">
        <is>
          <t>All</t>
        </is>
      </c>
      <c r="J326" t="inlineStr">
        <is>
          <t>All</t>
        </is>
      </c>
      <c r="K326" t="inlineStr">
        <is>
          <t>All</t>
        </is>
      </c>
      <c r="L326" t="inlineStr">
        <is>
          <t>Whole Number or Round to Nearest Tenths</t>
        </is>
      </c>
    </row>
    <row r="327" ht="18" customHeight="1" s="44">
      <c r="A327" t="inlineStr">
        <is>
          <t>C915</t>
        </is>
      </c>
      <c r="B327" t="inlineStr">
        <is>
          <t>SAT Math: 400-499</t>
        </is>
      </c>
      <c r="C327" t="n">
        <v>0.003</v>
      </c>
      <c r="D327" t="inlineStr">
        <is>
          <t>First-Time, First-Year Admission</t>
        </is>
      </c>
      <c r="E327" t="inlineStr">
        <is>
          <t>First-time, first-year Profile</t>
        </is>
      </c>
      <c r="F327" t="inlineStr">
        <is>
          <t>Test Scores</t>
        </is>
      </c>
      <c r="G327" t="inlineStr">
        <is>
          <t>Undergraduates</t>
        </is>
      </c>
      <c r="H327" s="2" t="inlineStr">
        <is>
          <t>First-time, first-year</t>
        </is>
      </c>
      <c r="I327" t="inlineStr">
        <is>
          <t>All</t>
        </is>
      </c>
      <c r="J327" t="inlineStr">
        <is>
          <t>All</t>
        </is>
      </c>
      <c r="K327" t="inlineStr">
        <is>
          <t>All</t>
        </is>
      </c>
      <c r="L327" t="inlineStr">
        <is>
          <t>Whole Number or Round to Nearest Tenths</t>
        </is>
      </c>
    </row>
    <row r="328" ht="18" customHeight="1" s="44">
      <c r="A328" t="inlineStr">
        <is>
          <t>C916</t>
        </is>
      </c>
      <c r="B328" t="inlineStr">
        <is>
          <t>SAT Math: 300-399</t>
        </is>
      </c>
      <c r="C328" t="n">
        <v>0</v>
      </c>
      <c r="D328" t="inlineStr">
        <is>
          <t>First-Time, First-Year Admission</t>
        </is>
      </c>
      <c r="E328" t="inlineStr">
        <is>
          <t>First-time, first-year Profile</t>
        </is>
      </c>
      <c r="F328" t="inlineStr">
        <is>
          <t>Test Scores</t>
        </is>
      </c>
      <c r="G328" t="inlineStr">
        <is>
          <t>Undergraduates</t>
        </is>
      </c>
      <c r="H328" s="2" t="inlineStr">
        <is>
          <t>First-time, first-year</t>
        </is>
      </c>
      <c r="I328" t="inlineStr">
        <is>
          <t>All</t>
        </is>
      </c>
      <c r="J328" t="inlineStr">
        <is>
          <t>All</t>
        </is>
      </c>
      <c r="K328" t="inlineStr">
        <is>
          <t>All</t>
        </is>
      </c>
      <c r="L328" t="inlineStr">
        <is>
          <t>Whole Number or Round to Nearest Tenths</t>
        </is>
      </c>
    </row>
    <row r="329" ht="18" customHeight="1" s="44">
      <c r="A329" t="inlineStr">
        <is>
          <t>C917</t>
        </is>
      </c>
      <c r="B329" t="inlineStr">
        <is>
          <t>SAT Math: 200-299</t>
        </is>
      </c>
      <c r="C329" t="n">
        <v>0</v>
      </c>
      <c r="D329" t="inlineStr">
        <is>
          <t>First-Time, First-Year Admission</t>
        </is>
      </c>
      <c r="E329" t="inlineStr">
        <is>
          <t>First-time, first-year Profile</t>
        </is>
      </c>
      <c r="F329" t="inlineStr">
        <is>
          <t>Test Scores</t>
        </is>
      </c>
      <c r="G329" t="inlineStr">
        <is>
          <t>Undergraduates</t>
        </is>
      </c>
      <c r="H329" s="2" t="inlineStr">
        <is>
          <t>First-time, first-year</t>
        </is>
      </c>
      <c r="I329" t="inlineStr">
        <is>
          <t>All</t>
        </is>
      </c>
      <c r="J329" t="inlineStr">
        <is>
          <t>All</t>
        </is>
      </c>
      <c r="K329" t="inlineStr">
        <is>
          <t>All</t>
        </is>
      </c>
      <c r="L329" t="inlineStr">
        <is>
          <t>Whole Number or Round to Nearest Tenths</t>
        </is>
      </c>
    </row>
    <row r="330" ht="18" customHeight="1" s="44">
      <c r="A330" t="inlineStr">
        <is>
          <t>C918</t>
        </is>
      </c>
      <c r="B330" t="inlineStr">
        <is>
          <t>SAT Math: Total</t>
        </is>
      </c>
      <c r="C330" s="40">
        <f>SUM(C324:C329)</f>
        <v/>
      </c>
      <c r="D330" t="inlineStr">
        <is>
          <t>First-Time, First-Year Admission</t>
        </is>
      </c>
      <c r="E330" t="inlineStr">
        <is>
          <t>First-time, first-year Profile</t>
        </is>
      </c>
      <c r="F330" t="inlineStr">
        <is>
          <t>Test Scores</t>
        </is>
      </c>
      <c r="G330" t="inlineStr">
        <is>
          <t>Undergraduates</t>
        </is>
      </c>
      <c r="H330" s="2" t="inlineStr">
        <is>
          <t>First-time, first-year</t>
        </is>
      </c>
      <c r="I330" t="inlineStr">
        <is>
          <t>All</t>
        </is>
      </c>
      <c r="J330" t="inlineStr">
        <is>
          <t>All</t>
        </is>
      </c>
      <c r="K330" t="inlineStr">
        <is>
          <t>All</t>
        </is>
      </c>
      <c r="L330" t="inlineStr">
        <is>
          <t>Whole Number or Round to Nearest Tenths</t>
        </is>
      </c>
    </row>
    <row r="331"/>
    <row r="332" ht="18" customHeight="1" s="44"/>
    <row r="333" ht="18" customHeight="1" s="44">
      <c r="A333" t="inlineStr">
        <is>
          <t>C919</t>
        </is>
      </c>
      <c r="B333" t="inlineStr">
        <is>
          <t>SAT Composite: 1400-1600</t>
        </is>
      </c>
      <c r="C333" t="n">
        <v>0.673</v>
      </c>
      <c r="D333" t="inlineStr">
        <is>
          <t>First-Time, First-Year Admission</t>
        </is>
      </c>
      <c r="E333" t="inlineStr">
        <is>
          <t>First-time, first-year Profile</t>
        </is>
      </c>
      <c r="F333" t="inlineStr">
        <is>
          <t>Test Scores</t>
        </is>
      </c>
      <c r="G333" t="inlineStr">
        <is>
          <t>Undergraduates</t>
        </is>
      </c>
      <c r="H333" s="2" t="inlineStr">
        <is>
          <t>First-time, first-year</t>
        </is>
      </c>
      <c r="I333" t="inlineStr">
        <is>
          <t>All</t>
        </is>
      </c>
      <c r="J333" t="inlineStr">
        <is>
          <t>All</t>
        </is>
      </c>
      <c r="K333" t="inlineStr">
        <is>
          <t>All</t>
        </is>
      </c>
      <c r="L333" t="inlineStr">
        <is>
          <t>Whole Number or Round to Nearest Tenths</t>
        </is>
      </c>
    </row>
    <row r="334" ht="18" customHeight="1" s="44">
      <c r="A334" t="inlineStr">
        <is>
          <t>C920</t>
        </is>
      </c>
      <c r="B334" t="inlineStr">
        <is>
          <t>SAT Composite: 1200-1399</t>
        </is>
      </c>
      <c r="C334" t="n">
        <v>0.311</v>
      </c>
      <c r="D334" t="inlineStr">
        <is>
          <t>First-Time, First-Year Admission</t>
        </is>
      </c>
      <c r="E334" t="inlineStr">
        <is>
          <t>First-time, first-year Profile</t>
        </is>
      </c>
      <c r="F334" t="inlineStr">
        <is>
          <t>Test Scores</t>
        </is>
      </c>
      <c r="G334" t="inlineStr">
        <is>
          <t>Undergraduates</t>
        </is>
      </c>
      <c r="H334" s="2" t="inlineStr">
        <is>
          <t>First-time, first-year</t>
        </is>
      </c>
      <c r="I334" t="inlineStr">
        <is>
          <t>All</t>
        </is>
      </c>
      <c r="J334" t="inlineStr">
        <is>
          <t>All</t>
        </is>
      </c>
      <c r="K334" t="inlineStr">
        <is>
          <t>All</t>
        </is>
      </c>
      <c r="L334" t="inlineStr">
        <is>
          <t>Whole Number or Round to Nearest Tenths</t>
        </is>
      </c>
    </row>
    <row r="335" ht="18" customHeight="1" s="44">
      <c r="A335" t="inlineStr">
        <is>
          <t>C921</t>
        </is>
      </c>
      <c r="B335" t="inlineStr">
        <is>
          <t>SAT Composite: 1000-1199</t>
        </is>
      </c>
      <c r="C335" t="n">
        <v>0.014</v>
      </c>
      <c r="D335" t="inlineStr">
        <is>
          <t>First-Time, First-Year Admission</t>
        </is>
      </c>
      <c r="E335" t="inlineStr">
        <is>
          <t>First-time, first-year Profile</t>
        </is>
      </c>
      <c r="F335" t="inlineStr">
        <is>
          <t>Test Scores</t>
        </is>
      </c>
      <c r="G335" t="inlineStr">
        <is>
          <t>Undergraduates</t>
        </is>
      </c>
      <c r="H335" s="2" t="inlineStr">
        <is>
          <t>First-time, first-year</t>
        </is>
      </c>
      <c r="I335" t="inlineStr">
        <is>
          <t>All</t>
        </is>
      </c>
      <c r="J335" t="inlineStr">
        <is>
          <t>All</t>
        </is>
      </c>
      <c r="K335" t="inlineStr">
        <is>
          <t>All</t>
        </is>
      </c>
      <c r="L335" t="inlineStr">
        <is>
          <t>Whole Number or Round to Nearest Tenths</t>
        </is>
      </c>
    </row>
    <row r="336" ht="18" customHeight="1" s="44">
      <c r="A336" t="inlineStr">
        <is>
          <t>C922</t>
        </is>
      </c>
      <c r="B336" t="inlineStr">
        <is>
          <t>SAT Composite: 800-999</t>
        </is>
      </c>
      <c r="C336" t="n">
        <v>0.002</v>
      </c>
      <c r="D336" t="inlineStr">
        <is>
          <t>First-Time, First-Year Admission</t>
        </is>
      </c>
      <c r="E336" t="inlineStr">
        <is>
          <t>First-time, first-year Profile</t>
        </is>
      </c>
      <c r="F336" t="inlineStr">
        <is>
          <t>Test Scores</t>
        </is>
      </c>
      <c r="G336" t="inlineStr">
        <is>
          <t>Undergraduates</t>
        </is>
      </c>
      <c r="H336" s="2" t="inlineStr">
        <is>
          <t>First-time, first-year</t>
        </is>
      </c>
      <c r="I336" t="inlineStr">
        <is>
          <t>All</t>
        </is>
      </c>
      <c r="J336" t="inlineStr">
        <is>
          <t>All</t>
        </is>
      </c>
      <c r="K336" t="inlineStr">
        <is>
          <t>All</t>
        </is>
      </c>
      <c r="L336" t="inlineStr">
        <is>
          <t>Whole Number or Round to Nearest Tenths</t>
        </is>
      </c>
    </row>
    <row r="337" ht="18" customHeight="1" s="44">
      <c r="A337" t="inlineStr">
        <is>
          <t>C923</t>
        </is>
      </c>
      <c r="B337" t="inlineStr">
        <is>
          <t>SAT Composite: 600-799</t>
        </is>
      </c>
      <c r="C337" t="n">
        <v>0</v>
      </c>
      <c r="D337" t="inlineStr">
        <is>
          <t>First-Time, First-Year Admission</t>
        </is>
      </c>
      <c r="E337" t="inlineStr">
        <is>
          <t>First-time, first-year Profile</t>
        </is>
      </c>
      <c r="F337" t="inlineStr">
        <is>
          <t>Test Scores</t>
        </is>
      </c>
      <c r="G337" t="inlineStr">
        <is>
          <t>Undergraduates</t>
        </is>
      </c>
      <c r="H337" s="2" t="inlineStr">
        <is>
          <t>First-time, first-year</t>
        </is>
      </c>
      <c r="I337" t="inlineStr">
        <is>
          <t>All</t>
        </is>
      </c>
      <c r="J337" t="inlineStr">
        <is>
          <t>All</t>
        </is>
      </c>
      <c r="K337" t="inlineStr">
        <is>
          <t>All</t>
        </is>
      </c>
      <c r="L337" t="inlineStr">
        <is>
          <t>Whole Number or Round to Nearest Tenths</t>
        </is>
      </c>
    </row>
    <row r="338" ht="18" customHeight="1" s="44">
      <c r="A338" t="inlineStr">
        <is>
          <t>C924</t>
        </is>
      </c>
      <c r="B338" t="inlineStr">
        <is>
          <t>SAT Composite: 400-599</t>
        </is>
      </c>
      <c r="C338" t="n">
        <v>0</v>
      </c>
      <c r="D338" t="inlineStr">
        <is>
          <t>First-Time, First-Year Admission</t>
        </is>
      </c>
      <c r="E338" t="inlineStr">
        <is>
          <t>First-time, first-year Profile</t>
        </is>
      </c>
      <c r="F338" t="inlineStr">
        <is>
          <t>Test Scores</t>
        </is>
      </c>
      <c r="G338" t="inlineStr">
        <is>
          <t>Undergraduates</t>
        </is>
      </c>
      <c r="H338" s="2" t="inlineStr">
        <is>
          <t>First-time, first-year</t>
        </is>
      </c>
      <c r="I338" t="inlineStr">
        <is>
          <t>All</t>
        </is>
      </c>
      <c r="J338" t="inlineStr">
        <is>
          <t>All</t>
        </is>
      </c>
      <c r="K338" t="inlineStr">
        <is>
          <t>All</t>
        </is>
      </c>
      <c r="L338" t="inlineStr">
        <is>
          <t>Whole Number or Round to Nearest Tenths</t>
        </is>
      </c>
    </row>
    <row r="339" ht="18" customHeight="1" s="44">
      <c r="A339" t="inlineStr">
        <is>
          <t>C925</t>
        </is>
      </c>
      <c r="B339" t="inlineStr">
        <is>
          <t>SAT Composite: Total</t>
        </is>
      </c>
      <c r="C339" s="40">
        <f>SUM(C333:C338)</f>
        <v/>
      </c>
      <c r="D339" t="inlineStr">
        <is>
          <t>First-Time, First-Year Admission</t>
        </is>
      </c>
      <c r="E339" t="inlineStr">
        <is>
          <t>First-time, first-year Profile</t>
        </is>
      </c>
      <c r="F339" t="inlineStr">
        <is>
          <t>Test Scores</t>
        </is>
      </c>
      <c r="G339" t="inlineStr">
        <is>
          <t>Undergraduates</t>
        </is>
      </c>
      <c r="H339" s="2" t="inlineStr">
        <is>
          <t>First-time, first-year</t>
        </is>
      </c>
      <c r="I339" t="inlineStr">
        <is>
          <t>All</t>
        </is>
      </c>
      <c r="J339" t="inlineStr">
        <is>
          <t>All</t>
        </is>
      </c>
      <c r="K339" t="inlineStr">
        <is>
          <t>All</t>
        </is>
      </c>
      <c r="L339" t="inlineStr">
        <is>
          <t>Whole Number or Round to Nearest Tenths</t>
        </is>
      </c>
    </row>
    <row r="340"/>
    <row r="341" ht="18" customHeight="1" s="44"/>
    <row r="342" ht="18" customHeight="1" s="44">
      <c r="A342" t="inlineStr">
        <is>
          <t>C926</t>
        </is>
      </c>
      <c r="B342" t="inlineStr">
        <is>
          <t>ACT Composite: 30-36</t>
        </is>
      </c>
      <c r="C342" t="n">
        <v>0.661</v>
      </c>
      <c r="D342" t="inlineStr">
        <is>
          <t>First-Time, First-Year Admission</t>
        </is>
      </c>
      <c r="E342" t="inlineStr">
        <is>
          <t>First-time, first-year Profile</t>
        </is>
      </c>
      <c r="F342" t="inlineStr">
        <is>
          <t>Test Scores</t>
        </is>
      </c>
      <c r="G342" t="inlineStr">
        <is>
          <t>Undergraduates</t>
        </is>
      </c>
      <c r="H342" s="2" t="inlineStr">
        <is>
          <t>First-time, first-year</t>
        </is>
      </c>
      <c r="I342" t="inlineStr">
        <is>
          <t>All</t>
        </is>
      </c>
      <c r="J342" t="inlineStr">
        <is>
          <t>All</t>
        </is>
      </c>
      <c r="K342" t="inlineStr">
        <is>
          <t>All</t>
        </is>
      </c>
      <c r="L342" t="inlineStr">
        <is>
          <t>Whole Number or Round to Nearest Tenths</t>
        </is>
      </c>
    </row>
    <row r="343" ht="18" customHeight="1" s="44">
      <c r="A343" t="inlineStr">
        <is>
          <t>C927</t>
        </is>
      </c>
      <c r="B343" t="inlineStr">
        <is>
          <t>ACT Composite: 24-29</t>
        </is>
      </c>
      <c r="C343" t="n">
        <v>0.322</v>
      </c>
      <c r="D343" t="inlineStr">
        <is>
          <t>First-Time, First-Year Admission</t>
        </is>
      </c>
      <c r="E343" t="inlineStr">
        <is>
          <t>First-time, first-year Profile</t>
        </is>
      </c>
      <c r="F343" t="inlineStr">
        <is>
          <t>Test Scores</t>
        </is>
      </c>
      <c r="G343" t="inlineStr">
        <is>
          <t>Undergraduates</t>
        </is>
      </c>
      <c r="H343" s="2" t="inlineStr">
        <is>
          <t>First-time, first-year</t>
        </is>
      </c>
      <c r="I343" t="inlineStr">
        <is>
          <t>All</t>
        </is>
      </c>
      <c r="J343" t="inlineStr">
        <is>
          <t>All</t>
        </is>
      </c>
      <c r="K343" t="inlineStr">
        <is>
          <t>All</t>
        </is>
      </c>
      <c r="L343" t="inlineStr">
        <is>
          <t>Whole Number or Round to Nearest Tenths</t>
        </is>
      </c>
    </row>
    <row r="344" ht="18" customHeight="1" s="44">
      <c r="A344" t="inlineStr">
        <is>
          <t>C928</t>
        </is>
      </c>
      <c r="B344" t="inlineStr">
        <is>
          <t>ACT Composite: 18-23</t>
        </is>
      </c>
      <c r="C344" t="n">
        <v>0.017</v>
      </c>
      <c r="D344" t="inlineStr">
        <is>
          <t>First-Time, First-Year Admission</t>
        </is>
      </c>
      <c r="E344" t="inlineStr">
        <is>
          <t>First-time, first-year Profile</t>
        </is>
      </c>
      <c r="F344" t="inlineStr">
        <is>
          <t>Test Scores</t>
        </is>
      </c>
      <c r="G344" t="inlineStr">
        <is>
          <t>Undergraduates</t>
        </is>
      </c>
      <c r="H344" s="2" t="inlineStr">
        <is>
          <t>First-time, first-year</t>
        </is>
      </c>
      <c r="I344" t="inlineStr">
        <is>
          <t>All</t>
        </is>
      </c>
      <c r="J344" t="inlineStr">
        <is>
          <t>All</t>
        </is>
      </c>
      <c r="K344" t="inlineStr">
        <is>
          <t>All</t>
        </is>
      </c>
      <c r="L344" t="inlineStr">
        <is>
          <t>Whole Number or Round to Nearest Tenths</t>
        </is>
      </c>
    </row>
    <row r="345" ht="18" customHeight="1" s="44">
      <c r="A345" t="inlineStr">
        <is>
          <t>C929</t>
        </is>
      </c>
      <c r="B345" t="inlineStr">
        <is>
          <t>ACT Composite: 12-17</t>
        </is>
      </c>
      <c r="C345" t="n">
        <v>0</v>
      </c>
      <c r="D345" t="inlineStr">
        <is>
          <t>First-Time, First-Year Admission</t>
        </is>
      </c>
      <c r="E345" t="inlineStr">
        <is>
          <t>First-time, first-year Profile</t>
        </is>
      </c>
      <c r="F345" t="inlineStr">
        <is>
          <t>Test Scores</t>
        </is>
      </c>
      <c r="G345" t="inlineStr">
        <is>
          <t>Undergraduates</t>
        </is>
      </c>
      <c r="H345" s="2" t="inlineStr">
        <is>
          <t>First-time, first-year</t>
        </is>
      </c>
      <c r="I345" t="inlineStr">
        <is>
          <t>All</t>
        </is>
      </c>
      <c r="J345" t="inlineStr">
        <is>
          <t>All</t>
        </is>
      </c>
      <c r="K345" t="inlineStr">
        <is>
          <t>All</t>
        </is>
      </c>
      <c r="L345" t="inlineStr">
        <is>
          <t>Whole Number or Round to Nearest Tenths</t>
        </is>
      </c>
    </row>
    <row r="346" ht="18" customHeight="1" s="44">
      <c r="A346" t="inlineStr">
        <is>
          <t>C930</t>
        </is>
      </c>
      <c r="B346" t="inlineStr">
        <is>
          <t>ACT Composite: 6-11</t>
        </is>
      </c>
      <c r="C346" t="n">
        <v>0</v>
      </c>
      <c r="D346" t="inlineStr">
        <is>
          <t>First-Time, First-Year Admission</t>
        </is>
      </c>
      <c r="E346" t="inlineStr">
        <is>
          <t>First-time, first-year Profile</t>
        </is>
      </c>
      <c r="F346" t="inlineStr">
        <is>
          <t>Test Scores</t>
        </is>
      </c>
      <c r="G346" t="inlineStr">
        <is>
          <t>Undergraduates</t>
        </is>
      </c>
      <c r="H346" s="2" t="inlineStr">
        <is>
          <t>First-time, first-year</t>
        </is>
      </c>
      <c r="I346" t="inlineStr">
        <is>
          <t>All</t>
        </is>
      </c>
      <c r="J346" t="inlineStr">
        <is>
          <t>All</t>
        </is>
      </c>
      <c r="K346" t="inlineStr">
        <is>
          <t>All</t>
        </is>
      </c>
      <c r="L346" t="inlineStr">
        <is>
          <t>Whole Number or Round to Nearest Tenths</t>
        </is>
      </c>
    </row>
    <row r="347" ht="18" customHeight="1" s="44">
      <c r="A347" t="inlineStr">
        <is>
          <t>C931</t>
        </is>
      </c>
      <c r="B347" t="inlineStr">
        <is>
          <t>ACT Composite: Below 6</t>
        </is>
      </c>
      <c r="C347" t="n">
        <v>0</v>
      </c>
      <c r="D347" t="inlineStr">
        <is>
          <t>First-Time, First-Year Admission</t>
        </is>
      </c>
      <c r="E347" t="inlineStr">
        <is>
          <t>First-time, first-year Profile</t>
        </is>
      </c>
      <c r="F347" t="inlineStr">
        <is>
          <t>Test Scores</t>
        </is>
      </c>
      <c r="G347" t="inlineStr">
        <is>
          <t>Undergraduates</t>
        </is>
      </c>
      <c r="H347" s="2" t="inlineStr">
        <is>
          <t>First-time, first-year</t>
        </is>
      </c>
      <c r="I347" t="inlineStr">
        <is>
          <t>All</t>
        </is>
      </c>
      <c r="J347" t="inlineStr">
        <is>
          <t>All</t>
        </is>
      </c>
      <c r="K347" t="inlineStr">
        <is>
          <t>All</t>
        </is>
      </c>
      <c r="L347" t="inlineStr">
        <is>
          <t>Whole Number or Round to Nearest Tenths</t>
        </is>
      </c>
    </row>
    <row r="348" ht="18" customHeight="1" s="44">
      <c r="A348" t="inlineStr">
        <is>
          <t>C932</t>
        </is>
      </c>
      <c r="B348" t="inlineStr">
        <is>
          <t>ACT Composite: Total</t>
        </is>
      </c>
      <c r="C348" s="40">
        <f>SUM(C342:C347)</f>
        <v/>
      </c>
      <c r="D348" t="inlineStr">
        <is>
          <t>First-Time, First-Year Admission</t>
        </is>
      </c>
      <c r="E348" t="inlineStr">
        <is>
          <t>First-time, first-year Profile</t>
        </is>
      </c>
      <c r="F348" t="inlineStr">
        <is>
          <t>Test Scores</t>
        </is>
      </c>
      <c r="G348" t="inlineStr">
        <is>
          <t>Undergraduates</t>
        </is>
      </c>
      <c r="H348" s="2" t="inlineStr">
        <is>
          <t>First-time, first-year</t>
        </is>
      </c>
      <c r="I348" t="inlineStr">
        <is>
          <t>All</t>
        </is>
      </c>
      <c r="J348" t="inlineStr">
        <is>
          <t>All</t>
        </is>
      </c>
      <c r="K348" t="inlineStr">
        <is>
          <t>All</t>
        </is>
      </c>
      <c r="L348" t="inlineStr">
        <is>
          <t>Whole Number or Round to Nearest Tenths</t>
        </is>
      </c>
    </row>
    <row r="349"/>
    <row r="350" ht="18" customHeight="1" s="44"/>
    <row r="351" ht="18" customHeight="1" s="44">
      <c r="A351" t="inlineStr">
        <is>
          <t>C933</t>
        </is>
      </c>
      <c r="B351" t="inlineStr">
        <is>
          <t>ACT Math: 30-36</t>
        </is>
      </c>
      <c r="C351" t="n">
        <v>0.511</v>
      </c>
      <c r="D351" t="inlineStr">
        <is>
          <t>First-Time, First-Year Admission</t>
        </is>
      </c>
      <c r="E351" t="inlineStr">
        <is>
          <t>First-time, first-year Profile</t>
        </is>
      </c>
      <c r="F351" t="inlineStr">
        <is>
          <t>Test Scores</t>
        </is>
      </c>
      <c r="G351" t="inlineStr">
        <is>
          <t>Undergraduates</t>
        </is>
      </c>
      <c r="H351" s="2" t="inlineStr">
        <is>
          <t>First-time, first-year</t>
        </is>
      </c>
      <c r="I351" t="inlineStr">
        <is>
          <t>All</t>
        </is>
      </c>
      <c r="J351" t="inlineStr">
        <is>
          <t>All</t>
        </is>
      </c>
      <c r="K351" t="inlineStr">
        <is>
          <t>All</t>
        </is>
      </c>
      <c r="L351" t="inlineStr">
        <is>
          <t>Whole Number or Round to Nearest Tenths</t>
        </is>
      </c>
    </row>
    <row r="352" ht="18" customHeight="1" s="44">
      <c r="A352" t="inlineStr">
        <is>
          <t>C934</t>
        </is>
      </c>
      <c r="B352" t="inlineStr">
        <is>
          <t>ACT Math: 24-29</t>
        </is>
      </c>
      <c r="C352" t="n">
        <v>0.436</v>
      </c>
      <c r="D352" t="inlineStr">
        <is>
          <t>First-Time, First-Year Admission</t>
        </is>
      </c>
      <c r="E352" t="inlineStr">
        <is>
          <t>First-time, first-year Profile</t>
        </is>
      </c>
      <c r="F352" t="inlineStr">
        <is>
          <t>Test Scores</t>
        </is>
      </c>
      <c r="G352" t="inlineStr">
        <is>
          <t>Undergraduates</t>
        </is>
      </c>
      <c r="H352" s="2" t="inlineStr">
        <is>
          <t>First-time, first-year</t>
        </is>
      </c>
      <c r="I352" t="inlineStr">
        <is>
          <t>All</t>
        </is>
      </c>
      <c r="J352" t="inlineStr">
        <is>
          <t>All</t>
        </is>
      </c>
      <c r="K352" t="inlineStr">
        <is>
          <t>All</t>
        </is>
      </c>
      <c r="L352" t="inlineStr">
        <is>
          <t>Whole Number or Round to Nearest Tenths</t>
        </is>
      </c>
    </row>
    <row r="353" ht="18" customHeight="1" s="44">
      <c r="A353" t="inlineStr">
        <is>
          <t>C935</t>
        </is>
      </c>
      <c r="B353" t="inlineStr">
        <is>
          <t>ACT Math: 18-23</t>
        </is>
      </c>
      <c r="C353" t="n">
        <v>0.049</v>
      </c>
      <c r="D353" t="inlineStr">
        <is>
          <t>First-Time, First-Year Admission</t>
        </is>
      </c>
      <c r="E353" t="inlineStr">
        <is>
          <t>First-time, first-year Profile</t>
        </is>
      </c>
      <c r="F353" t="inlineStr">
        <is>
          <t>Test Scores</t>
        </is>
      </c>
      <c r="G353" t="inlineStr">
        <is>
          <t>Undergraduates</t>
        </is>
      </c>
      <c r="H353" s="2" t="inlineStr">
        <is>
          <t>First-time, first-year</t>
        </is>
      </c>
      <c r="I353" t="inlineStr">
        <is>
          <t>All</t>
        </is>
      </c>
      <c r="J353" t="inlineStr">
        <is>
          <t>All</t>
        </is>
      </c>
      <c r="K353" t="inlineStr">
        <is>
          <t>All</t>
        </is>
      </c>
      <c r="L353" t="inlineStr">
        <is>
          <t>Whole Number or Round to Nearest Tenths</t>
        </is>
      </c>
    </row>
    <row r="354" ht="18" customHeight="1" s="44">
      <c r="A354" t="inlineStr">
        <is>
          <t>C936</t>
        </is>
      </c>
      <c r="B354" t="inlineStr">
        <is>
          <t>ACT Math: 12-17</t>
        </is>
      </c>
      <c r="C354" t="n">
        <v>0.004</v>
      </c>
      <c r="D354" t="inlineStr">
        <is>
          <t>First-Time, First-Year Admission</t>
        </is>
      </c>
      <c r="E354" t="inlineStr">
        <is>
          <t>First-time, first-year Profile</t>
        </is>
      </c>
      <c r="F354" t="inlineStr">
        <is>
          <t>Test Scores</t>
        </is>
      </c>
      <c r="G354" t="inlineStr">
        <is>
          <t>Undergraduates</t>
        </is>
      </c>
      <c r="H354" s="2" t="inlineStr">
        <is>
          <t>First-time, first-year</t>
        </is>
      </c>
      <c r="I354" t="inlineStr">
        <is>
          <t>All</t>
        </is>
      </c>
      <c r="J354" t="inlineStr">
        <is>
          <t>All</t>
        </is>
      </c>
      <c r="K354" t="inlineStr">
        <is>
          <t>All</t>
        </is>
      </c>
      <c r="L354" t="inlineStr">
        <is>
          <t>Whole Number or Round to Nearest Tenths</t>
        </is>
      </c>
    </row>
    <row r="355" ht="18" customHeight="1" s="44">
      <c r="A355" t="inlineStr">
        <is>
          <t>C937</t>
        </is>
      </c>
      <c r="B355" t="inlineStr">
        <is>
          <t>ACT Math: 6-11</t>
        </is>
      </c>
      <c r="C355" t="n">
        <v>0</v>
      </c>
      <c r="D355" t="inlineStr">
        <is>
          <t>First-Time, First-Year Admission</t>
        </is>
      </c>
      <c r="E355" t="inlineStr">
        <is>
          <t>First-time, first-year Profile</t>
        </is>
      </c>
      <c r="F355" t="inlineStr">
        <is>
          <t>Test Scores</t>
        </is>
      </c>
      <c r="G355" t="inlineStr">
        <is>
          <t>Undergraduates</t>
        </is>
      </c>
      <c r="H355" s="2" t="inlineStr">
        <is>
          <t>First-time, first-year</t>
        </is>
      </c>
      <c r="I355" t="inlineStr">
        <is>
          <t>All</t>
        </is>
      </c>
      <c r="J355" t="inlineStr">
        <is>
          <t>All</t>
        </is>
      </c>
      <c r="K355" t="inlineStr">
        <is>
          <t>All</t>
        </is>
      </c>
      <c r="L355" t="inlineStr">
        <is>
          <t>Whole Number or Round to Nearest Tenths</t>
        </is>
      </c>
    </row>
    <row r="356" ht="18" customHeight="1" s="44">
      <c r="A356" t="inlineStr">
        <is>
          <t>C938</t>
        </is>
      </c>
      <c r="B356" t="inlineStr">
        <is>
          <t>ACT Math: Below 6</t>
        </is>
      </c>
      <c r="C356" t="n">
        <v>0</v>
      </c>
      <c r="D356" t="inlineStr">
        <is>
          <t>First-Time, First-Year Admission</t>
        </is>
      </c>
      <c r="E356" t="inlineStr">
        <is>
          <t>First-time, first-year Profile</t>
        </is>
      </c>
      <c r="F356" t="inlineStr">
        <is>
          <t>Test Scores</t>
        </is>
      </c>
      <c r="G356" t="inlineStr">
        <is>
          <t>Undergraduates</t>
        </is>
      </c>
      <c r="H356" s="2" t="inlineStr">
        <is>
          <t>First-time, first-year</t>
        </is>
      </c>
      <c r="I356" t="inlineStr">
        <is>
          <t>All</t>
        </is>
      </c>
      <c r="J356" t="inlineStr">
        <is>
          <t>All</t>
        </is>
      </c>
      <c r="K356" t="inlineStr">
        <is>
          <t>All</t>
        </is>
      </c>
      <c r="L356" t="inlineStr">
        <is>
          <t>Whole Number or Round to Nearest Tenths</t>
        </is>
      </c>
    </row>
    <row r="357" ht="18" customHeight="1" s="44">
      <c r="A357" t="inlineStr">
        <is>
          <t>C939</t>
        </is>
      </c>
      <c r="B357" t="inlineStr">
        <is>
          <t>ACT Math: Total</t>
        </is>
      </c>
      <c r="C357" s="40">
        <f>SUM(C351:C356)</f>
        <v/>
      </c>
      <c r="D357" t="inlineStr">
        <is>
          <t>First-Time, First-Year Admission</t>
        </is>
      </c>
      <c r="E357" t="inlineStr">
        <is>
          <t>First-time, first-year Profile</t>
        </is>
      </c>
      <c r="F357" t="inlineStr">
        <is>
          <t>Test Scores</t>
        </is>
      </c>
      <c r="G357" t="inlineStr">
        <is>
          <t>Undergraduates</t>
        </is>
      </c>
      <c r="H357" s="2" t="inlineStr">
        <is>
          <t>First-time, first-year</t>
        </is>
      </c>
      <c r="I357" t="inlineStr">
        <is>
          <t>All</t>
        </is>
      </c>
      <c r="J357" t="inlineStr">
        <is>
          <t>All</t>
        </is>
      </c>
      <c r="K357" t="inlineStr">
        <is>
          <t>All</t>
        </is>
      </c>
      <c r="L357" t="inlineStr">
        <is>
          <t>Whole Number or Round to Nearest Tenths</t>
        </is>
      </c>
    </row>
    <row r="358"/>
    <row r="359" ht="18" customHeight="1" s="44"/>
    <row r="360" ht="18" customHeight="1" s="44">
      <c r="A360" t="inlineStr">
        <is>
          <t>C940</t>
        </is>
      </c>
      <c r="B360" t="inlineStr">
        <is>
          <t>ACT English: 30-36</t>
        </is>
      </c>
      <c r="C360" t="n">
        <v>0.657</v>
      </c>
      <c r="D360" t="inlineStr">
        <is>
          <t>First-Time, First-Year Admission</t>
        </is>
      </c>
      <c r="E360" t="inlineStr">
        <is>
          <t>First-time, first-year Profile</t>
        </is>
      </c>
      <c r="F360" t="inlineStr">
        <is>
          <t>Test Scores</t>
        </is>
      </c>
      <c r="G360" t="inlineStr">
        <is>
          <t>Undergraduates</t>
        </is>
      </c>
      <c r="H360" s="2" t="inlineStr">
        <is>
          <t>First-time, first-year</t>
        </is>
      </c>
      <c r="I360" t="inlineStr">
        <is>
          <t>All</t>
        </is>
      </c>
      <c r="J360" t="inlineStr">
        <is>
          <t>All</t>
        </is>
      </c>
      <c r="K360" t="inlineStr">
        <is>
          <t>All</t>
        </is>
      </c>
      <c r="L360" t="inlineStr">
        <is>
          <t>Whole Number or Round to Nearest Tenths</t>
        </is>
      </c>
    </row>
    <row r="361" ht="18" customHeight="1" s="44">
      <c r="A361" t="inlineStr">
        <is>
          <t>C941</t>
        </is>
      </c>
      <c r="B361" t="inlineStr">
        <is>
          <t>ACT English: 24-29</t>
        </is>
      </c>
      <c r="C361" t="n">
        <v>0.293</v>
      </c>
      <c r="D361" t="inlineStr">
        <is>
          <t>First-Time, First-Year Admission</t>
        </is>
      </c>
      <c r="E361" t="inlineStr">
        <is>
          <t>First-time, first-year Profile</t>
        </is>
      </c>
      <c r="F361" t="inlineStr">
        <is>
          <t>Test Scores</t>
        </is>
      </c>
      <c r="G361" t="inlineStr">
        <is>
          <t>Undergraduates</t>
        </is>
      </c>
      <c r="H361" s="2" t="inlineStr">
        <is>
          <t>First-time, first-year</t>
        </is>
      </c>
      <c r="I361" t="inlineStr">
        <is>
          <t>All</t>
        </is>
      </c>
      <c r="J361" t="inlineStr">
        <is>
          <t>All</t>
        </is>
      </c>
      <c r="K361" t="inlineStr">
        <is>
          <t>All</t>
        </is>
      </c>
      <c r="L361" t="inlineStr">
        <is>
          <t>Whole Number or Round to Nearest Tenths</t>
        </is>
      </c>
    </row>
    <row r="362" ht="18" customHeight="1" s="44">
      <c r="A362" t="inlineStr">
        <is>
          <t>C942</t>
        </is>
      </c>
      <c r="B362" t="inlineStr">
        <is>
          <t>ACT English: 18-23</t>
        </is>
      </c>
      <c r="C362" t="n">
        <v>0.049</v>
      </c>
      <c r="D362" t="inlineStr">
        <is>
          <t>First-Time, First-Year Admission</t>
        </is>
      </c>
      <c r="E362" t="inlineStr">
        <is>
          <t>First-time, first-year Profile</t>
        </is>
      </c>
      <c r="F362" t="inlineStr">
        <is>
          <t>Test Scores</t>
        </is>
      </c>
      <c r="G362" t="inlineStr">
        <is>
          <t>Undergraduates</t>
        </is>
      </c>
      <c r="H362" s="2" t="inlineStr">
        <is>
          <t>First-time, first-year</t>
        </is>
      </c>
      <c r="I362" t="inlineStr">
        <is>
          <t>All</t>
        </is>
      </c>
      <c r="J362" t="inlineStr">
        <is>
          <t>All</t>
        </is>
      </c>
      <c r="K362" t="inlineStr">
        <is>
          <t>All</t>
        </is>
      </c>
      <c r="L362" t="inlineStr">
        <is>
          <t>Whole Number or Round to Nearest Tenths</t>
        </is>
      </c>
    </row>
    <row r="363" ht="18" customHeight="1" s="44">
      <c r="A363" t="inlineStr">
        <is>
          <t>C943</t>
        </is>
      </c>
      <c r="B363" t="inlineStr">
        <is>
          <t>ACT English: 12-17</t>
        </is>
      </c>
      <c r="C363" t="n">
        <v>0.001</v>
      </c>
      <c r="D363" t="inlineStr">
        <is>
          <t>First-Time, First-Year Admission</t>
        </is>
      </c>
      <c r="E363" t="inlineStr">
        <is>
          <t>First-time, first-year Profile</t>
        </is>
      </c>
      <c r="F363" t="inlineStr">
        <is>
          <t>Test Scores</t>
        </is>
      </c>
      <c r="G363" t="inlineStr">
        <is>
          <t>Undergraduates</t>
        </is>
      </c>
      <c r="H363" s="2" t="inlineStr">
        <is>
          <t>First-time, first-year</t>
        </is>
      </c>
      <c r="I363" t="inlineStr">
        <is>
          <t>All</t>
        </is>
      </c>
      <c r="J363" t="inlineStr">
        <is>
          <t>All</t>
        </is>
      </c>
      <c r="K363" t="inlineStr">
        <is>
          <t>All</t>
        </is>
      </c>
      <c r="L363" t="inlineStr">
        <is>
          <t>Whole Number or Round to Nearest Tenths</t>
        </is>
      </c>
    </row>
    <row r="364" ht="18" customHeight="1" s="44">
      <c r="A364" t="inlineStr">
        <is>
          <t>C944</t>
        </is>
      </c>
      <c r="B364" t="inlineStr">
        <is>
          <t>ACT English: 6-11</t>
        </is>
      </c>
      <c r="C364" t="n">
        <v>0</v>
      </c>
      <c r="D364" t="inlineStr">
        <is>
          <t>First-Time, First-Year Admission</t>
        </is>
      </c>
      <c r="E364" t="inlineStr">
        <is>
          <t>First-time, first-year Profile</t>
        </is>
      </c>
      <c r="F364" t="inlineStr">
        <is>
          <t>Test Scores</t>
        </is>
      </c>
      <c r="G364" t="inlineStr">
        <is>
          <t>Undergraduates</t>
        </is>
      </c>
      <c r="H364" s="2" t="inlineStr">
        <is>
          <t>First-time, first-year</t>
        </is>
      </c>
      <c r="I364" t="inlineStr">
        <is>
          <t>All</t>
        </is>
      </c>
      <c r="J364" t="inlineStr">
        <is>
          <t>All</t>
        </is>
      </c>
      <c r="K364" t="inlineStr">
        <is>
          <t>All</t>
        </is>
      </c>
      <c r="L364" t="inlineStr">
        <is>
          <t>Whole Number or Round to Nearest Tenths</t>
        </is>
      </c>
    </row>
    <row r="365" ht="18" customHeight="1" s="44">
      <c r="A365" t="inlineStr">
        <is>
          <t>C945</t>
        </is>
      </c>
      <c r="B365" t="inlineStr">
        <is>
          <t>ACT English: Below 6</t>
        </is>
      </c>
      <c r="C365" t="n">
        <v>0</v>
      </c>
      <c r="D365" t="inlineStr">
        <is>
          <t>First-Time, First-Year Admission</t>
        </is>
      </c>
      <c r="E365" t="inlineStr">
        <is>
          <t>First-time, first-year Profile</t>
        </is>
      </c>
      <c r="F365" t="inlineStr">
        <is>
          <t>Test Scores</t>
        </is>
      </c>
      <c r="G365" t="inlineStr">
        <is>
          <t>Undergraduates</t>
        </is>
      </c>
      <c r="H365" s="2" t="inlineStr">
        <is>
          <t>First-time, first-year</t>
        </is>
      </c>
      <c r="I365" t="inlineStr">
        <is>
          <t>All</t>
        </is>
      </c>
      <c r="J365" t="inlineStr">
        <is>
          <t>All</t>
        </is>
      </c>
      <c r="K365" t="inlineStr">
        <is>
          <t>All</t>
        </is>
      </c>
      <c r="L365" t="inlineStr">
        <is>
          <t>Whole Number or Round to Nearest Tenths</t>
        </is>
      </c>
    </row>
    <row r="366" ht="18" customHeight="1" s="44">
      <c r="A366" t="inlineStr">
        <is>
          <t>C946</t>
        </is>
      </c>
      <c r="B366" t="inlineStr">
        <is>
          <t>ACT English: Total</t>
        </is>
      </c>
      <c r="C366" s="40">
        <f>SUM(C360:C365)</f>
        <v/>
      </c>
      <c r="D366" t="inlineStr">
        <is>
          <t>First-Time, First-Year Admission</t>
        </is>
      </c>
      <c r="E366" t="inlineStr">
        <is>
          <t>First-time, first-year Profile</t>
        </is>
      </c>
      <c r="F366" t="inlineStr">
        <is>
          <t>Test Scores</t>
        </is>
      </c>
      <c r="G366" t="inlineStr">
        <is>
          <t>Undergraduates</t>
        </is>
      </c>
      <c r="H366" s="2" t="inlineStr">
        <is>
          <t>First-time, first-year</t>
        </is>
      </c>
      <c r="I366" t="inlineStr">
        <is>
          <t>All</t>
        </is>
      </c>
      <c r="J366" t="inlineStr">
        <is>
          <t>All</t>
        </is>
      </c>
      <c r="K366" t="inlineStr">
        <is>
          <t>All</t>
        </is>
      </c>
      <c r="L366" t="inlineStr">
        <is>
          <t>Whole Number or Round to Nearest Tenths</t>
        </is>
      </c>
    </row>
    <row r="367"/>
    <row r="368" ht="18" customHeight="1" s="44"/>
    <row r="369" ht="18" customHeight="1" s="44">
      <c r="A369" t="inlineStr">
        <is>
          <t>C947</t>
        </is>
      </c>
      <c r="B369" t="inlineStr">
        <is>
          <t>ACT Writing: 30-36</t>
        </is>
      </c>
      <c r="D369" t="inlineStr">
        <is>
          <t>First-Time, First-Year Admission</t>
        </is>
      </c>
      <c r="E369" t="inlineStr">
        <is>
          <t>First-time, first-year Profile</t>
        </is>
      </c>
      <c r="F369" t="inlineStr">
        <is>
          <t>Test Scores</t>
        </is>
      </c>
      <c r="G369" t="inlineStr">
        <is>
          <t>Undergraduates</t>
        </is>
      </c>
      <c r="H369" s="2" t="inlineStr">
        <is>
          <t>First-time, first-year</t>
        </is>
      </c>
      <c r="I369" t="inlineStr">
        <is>
          <t>All</t>
        </is>
      </c>
      <c r="J369" t="inlineStr">
        <is>
          <t>All</t>
        </is>
      </c>
      <c r="K369" t="inlineStr">
        <is>
          <t>All</t>
        </is>
      </c>
      <c r="L369" t="inlineStr">
        <is>
          <t>Whole Number or Round to Nearest Tenths</t>
        </is>
      </c>
    </row>
    <row r="370" ht="18" customHeight="1" s="44">
      <c r="A370" t="inlineStr">
        <is>
          <t>C948</t>
        </is>
      </c>
      <c r="B370" t="inlineStr">
        <is>
          <t>ACT Writing: 24-29</t>
        </is>
      </c>
      <c r="D370" t="inlineStr">
        <is>
          <t>First-Time, First-Year Admission</t>
        </is>
      </c>
      <c r="E370" t="inlineStr">
        <is>
          <t>First-time, first-year Profile</t>
        </is>
      </c>
      <c r="F370" t="inlineStr">
        <is>
          <t>Test Scores</t>
        </is>
      </c>
      <c r="G370" t="inlineStr">
        <is>
          <t>Undergraduates</t>
        </is>
      </c>
      <c r="H370" s="2" t="inlineStr">
        <is>
          <t>First-time, first-year</t>
        </is>
      </c>
      <c r="I370" t="inlineStr">
        <is>
          <t>All</t>
        </is>
      </c>
      <c r="J370" t="inlineStr">
        <is>
          <t>All</t>
        </is>
      </c>
      <c r="K370" t="inlineStr">
        <is>
          <t>All</t>
        </is>
      </c>
      <c r="L370" t="inlineStr">
        <is>
          <t>Whole Number or Round to Nearest Tenths</t>
        </is>
      </c>
    </row>
    <row r="371" ht="18" customHeight="1" s="44">
      <c r="A371" t="inlineStr">
        <is>
          <t>C949</t>
        </is>
      </c>
      <c r="B371" t="inlineStr">
        <is>
          <t>ACT Writing: 18-23</t>
        </is>
      </c>
      <c r="D371" t="inlineStr">
        <is>
          <t>First-Time, First-Year Admission</t>
        </is>
      </c>
      <c r="E371" t="inlineStr">
        <is>
          <t>First-time, first-year Profile</t>
        </is>
      </c>
      <c r="F371" t="inlineStr">
        <is>
          <t>Test Scores</t>
        </is>
      </c>
      <c r="G371" t="inlineStr">
        <is>
          <t>Undergraduates</t>
        </is>
      </c>
      <c r="H371" s="2" t="inlineStr">
        <is>
          <t>First-time, first-year</t>
        </is>
      </c>
      <c r="I371" t="inlineStr">
        <is>
          <t>All</t>
        </is>
      </c>
      <c r="J371" t="inlineStr">
        <is>
          <t>All</t>
        </is>
      </c>
      <c r="K371" t="inlineStr">
        <is>
          <t>All</t>
        </is>
      </c>
      <c r="L371" t="inlineStr">
        <is>
          <t>Whole Number or Round to Nearest Tenths</t>
        </is>
      </c>
    </row>
    <row r="372" ht="18" customHeight="1" s="44">
      <c r="A372" t="inlineStr">
        <is>
          <t>C950</t>
        </is>
      </c>
      <c r="B372" t="inlineStr">
        <is>
          <t>ACT Writing: 12-17</t>
        </is>
      </c>
      <c r="D372" t="inlineStr">
        <is>
          <t>First-Time, First-Year Admission</t>
        </is>
      </c>
      <c r="E372" t="inlineStr">
        <is>
          <t>First-time, first-year Profile</t>
        </is>
      </c>
      <c r="F372" t="inlineStr">
        <is>
          <t>Test Scores</t>
        </is>
      </c>
      <c r="G372" t="inlineStr">
        <is>
          <t>Undergraduates</t>
        </is>
      </c>
      <c r="H372" s="2" t="inlineStr">
        <is>
          <t>First-time, first-year</t>
        </is>
      </c>
      <c r="I372" t="inlineStr">
        <is>
          <t>All</t>
        </is>
      </c>
      <c r="J372" t="inlineStr">
        <is>
          <t>All</t>
        </is>
      </c>
      <c r="K372" t="inlineStr">
        <is>
          <t>All</t>
        </is>
      </c>
      <c r="L372" t="inlineStr">
        <is>
          <t>Whole Number or Round to Nearest Tenths</t>
        </is>
      </c>
    </row>
    <row r="373" ht="18" customHeight="1" s="44">
      <c r="A373" t="inlineStr">
        <is>
          <t>C951</t>
        </is>
      </c>
      <c r="B373" t="inlineStr">
        <is>
          <t>ACT Writing: 6-11</t>
        </is>
      </c>
      <c r="D373" t="inlineStr">
        <is>
          <t>First-Time, First-Year Admission</t>
        </is>
      </c>
      <c r="E373" t="inlineStr">
        <is>
          <t>First-time, first-year Profile</t>
        </is>
      </c>
      <c r="F373" t="inlineStr">
        <is>
          <t>Test Scores</t>
        </is>
      </c>
      <c r="G373" t="inlineStr">
        <is>
          <t>Undergraduates</t>
        </is>
      </c>
      <c r="H373" s="2" t="inlineStr">
        <is>
          <t>First-time, first-year</t>
        </is>
      </c>
      <c r="I373" t="inlineStr">
        <is>
          <t>All</t>
        </is>
      </c>
      <c r="J373" t="inlineStr">
        <is>
          <t>All</t>
        </is>
      </c>
      <c r="K373" t="inlineStr">
        <is>
          <t>All</t>
        </is>
      </c>
      <c r="L373" t="inlineStr">
        <is>
          <t>Whole Number or Round to Nearest Tenths</t>
        </is>
      </c>
    </row>
    <row r="374" ht="18" customHeight="1" s="44">
      <c r="A374" t="inlineStr">
        <is>
          <t>C952</t>
        </is>
      </c>
      <c r="B374" t="inlineStr">
        <is>
          <t>ACT Writing: Below 6</t>
        </is>
      </c>
      <c r="D374" t="inlineStr">
        <is>
          <t>First-Time, First-Year Admission</t>
        </is>
      </c>
      <c r="E374" t="inlineStr">
        <is>
          <t>First-time, first-year Profile</t>
        </is>
      </c>
      <c r="F374" t="inlineStr">
        <is>
          <t>Test Scores</t>
        </is>
      </c>
      <c r="G374" t="inlineStr">
        <is>
          <t>Undergraduates</t>
        </is>
      </c>
      <c r="H374" s="2" t="inlineStr">
        <is>
          <t>First-time, first-year</t>
        </is>
      </c>
      <c r="I374" t="inlineStr">
        <is>
          <t>All</t>
        </is>
      </c>
      <c r="J374" t="inlineStr">
        <is>
          <t>All</t>
        </is>
      </c>
      <c r="K374" t="inlineStr">
        <is>
          <t>All</t>
        </is>
      </c>
      <c r="L374" t="inlineStr">
        <is>
          <t>Whole Number or Round to Nearest Tenths</t>
        </is>
      </c>
    </row>
    <row r="375" ht="18" customHeight="1" s="44">
      <c r="A375" t="inlineStr">
        <is>
          <t>C953</t>
        </is>
      </c>
      <c r="B375" t="inlineStr">
        <is>
          <t>ACT Writing: Total</t>
        </is>
      </c>
      <c r="C375" s="40">
        <f>SUM(C369:C374)</f>
        <v/>
      </c>
      <c r="D375" t="inlineStr">
        <is>
          <t>First-Time, First-Year Admission</t>
        </is>
      </c>
      <c r="E375" t="inlineStr">
        <is>
          <t>First-time, first-year Profile</t>
        </is>
      </c>
      <c r="F375" t="inlineStr">
        <is>
          <t>Test Scores</t>
        </is>
      </c>
      <c r="G375" t="inlineStr">
        <is>
          <t>Undergraduates</t>
        </is>
      </c>
      <c r="H375" s="2" t="inlineStr">
        <is>
          <t>First-time, first-year</t>
        </is>
      </c>
      <c r="I375" t="inlineStr">
        <is>
          <t>All</t>
        </is>
      </c>
      <c r="J375" t="inlineStr">
        <is>
          <t>All</t>
        </is>
      </c>
      <c r="K375" t="inlineStr">
        <is>
          <t>All</t>
        </is>
      </c>
      <c r="L375" t="inlineStr">
        <is>
          <t>Whole Number or Round to Nearest Tenths</t>
        </is>
      </c>
    </row>
    <row r="376"/>
    <row r="377" ht="18" customHeight="1" s="44"/>
    <row r="378" ht="18" customHeight="1" s="44">
      <c r="A378" t="inlineStr">
        <is>
          <t>C954</t>
        </is>
      </c>
      <c r="B378" t="inlineStr">
        <is>
          <t>ACT Science: 30-36</t>
        </is>
      </c>
      <c r="C378" t="n">
        <v>0.569</v>
      </c>
      <c r="D378" t="inlineStr">
        <is>
          <t>First-Time, First-Year Admission</t>
        </is>
      </c>
      <c r="E378" t="inlineStr">
        <is>
          <t>First-time, first-year Profile</t>
        </is>
      </c>
      <c r="F378" t="inlineStr">
        <is>
          <t>Test Scores</t>
        </is>
      </c>
      <c r="G378" t="inlineStr">
        <is>
          <t>Undergraduates</t>
        </is>
      </c>
      <c r="H378" s="2" t="inlineStr">
        <is>
          <t>First-time, first-year</t>
        </is>
      </c>
      <c r="I378" t="inlineStr">
        <is>
          <t>All</t>
        </is>
      </c>
      <c r="J378" t="inlineStr">
        <is>
          <t>All</t>
        </is>
      </c>
      <c r="K378" t="inlineStr">
        <is>
          <t>All</t>
        </is>
      </c>
      <c r="L378" t="inlineStr">
        <is>
          <t>Whole Number or Round to Nearest Tenths</t>
        </is>
      </c>
    </row>
    <row r="379" ht="18" customHeight="1" s="44">
      <c r="A379" t="inlineStr">
        <is>
          <t>C955</t>
        </is>
      </c>
      <c r="B379" t="inlineStr">
        <is>
          <t>ACT Science: 24-29</t>
        </is>
      </c>
      <c r="C379" t="n">
        <v>0.388</v>
      </c>
      <c r="D379" t="inlineStr">
        <is>
          <t>First-Time, First-Year Admission</t>
        </is>
      </c>
      <c r="E379" t="inlineStr">
        <is>
          <t>First-time, first-year Profile</t>
        </is>
      </c>
      <c r="F379" t="inlineStr">
        <is>
          <t>Test Scores</t>
        </is>
      </c>
      <c r="G379" t="inlineStr">
        <is>
          <t>Undergraduates</t>
        </is>
      </c>
      <c r="H379" s="2" t="inlineStr">
        <is>
          <t>First-time, first-year</t>
        </is>
      </c>
      <c r="I379" t="inlineStr">
        <is>
          <t>All</t>
        </is>
      </c>
      <c r="J379" t="inlineStr">
        <is>
          <t>All</t>
        </is>
      </c>
      <c r="K379" t="inlineStr">
        <is>
          <t>All</t>
        </is>
      </c>
      <c r="L379" t="inlineStr">
        <is>
          <t>Whole Number or Round to Nearest Tenths</t>
        </is>
      </c>
    </row>
    <row r="380" ht="18" customHeight="1" s="44">
      <c r="A380" t="inlineStr">
        <is>
          <t>C956</t>
        </is>
      </c>
      <c r="B380" t="inlineStr">
        <is>
          <t>ACT Science: 18-23</t>
        </is>
      </c>
      <c r="C380" t="n">
        <v>0.043</v>
      </c>
      <c r="D380" t="inlineStr">
        <is>
          <t>First-Time, First-Year Admission</t>
        </is>
      </c>
      <c r="E380" t="inlineStr">
        <is>
          <t>First-time, first-year Profile</t>
        </is>
      </c>
      <c r="F380" t="inlineStr">
        <is>
          <t>Test Scores</t>
        </is>
      </c>
      <c r="G380" t="inlineStr">
        <is>
          <t>Undergraduates</t>
        </is>
      </c>
      <c r="H380" s="2" t="inlineStr">
        <is>
          <t>First-time, first-year</t>
        </is>
      </c>
      <c r="I380" t="inlineStr">
        <is>
          <t>All</t>
        </is>
      </c>
      <c r="J380" t="inlineStr">
        <is>
          <t>All</t>
        </is>
      </c>
      <c r="K380" t="inlineStr">
        <is>
          <t>All</t>
        </is>
      </c>
      <c r="L380" t="inlineStr">
        <is>
          <t>Whole Number or Round to Nearest Tenths</t>
        </is>
      </c>
    </row>
    <row r="381" ht="18" customHeight="1" s="44">
      <c r="A381" t="inlineStr">
        <is>
          <t>C957</t>
        </is>
      </c>
      <c r="B381" t="inlineStr">
        <is>
          <t>ACT Science: 12-17</t>
        </is>
      </c>
      <c r="C381" t="n">
        <v>0</v>
      </c>
      <c r="D381" t="inlineStr">
        <is>
          <t>First-Time, First-Year Admission</t>
        </is>
      </c>
      <c r="E381" t="inlineStr">
        <is>
          <t>First-time, first-year Profile</t>
        </is>
      </c>
      <c r="F381" t="inlineStr">
        <is>
          <t>Test Scores</t>
        </is>
      </c>
      <c r="G381" t="inlineStr">
        <is>
          <t>Undergraduates</t>
        </is>
      </c>
      <c r="H381" s="2" t="inlineStr">
        <is>
          <t>First-time, first-year</t>
        </is>
      </c>
      <c r="I381" t="inlineStr">
        <is>
          <t>All</t>
        </is>
      </c>
      <c r="J381" t="inlineStr">
        <is>
          <t>All</t>
        </is>
      </c>
      <c r="K381" t="inlineStr">
        <is>
          <t>All</t>
        </is>
      </c>
      <c r="L381" t="inlineStr">
        <is>
          <t>Whole Number or Round to Nearest Tenths</t>
        </is>
      </c>
    </row>
    <row r="382" ht="18" customHeight="1" s="44">
      <c r="A382" t="inlineStr">
        <is>
          <t>C958</t>
        </is>
      </c>
      <c r="B382" t="inlineStr">
        <is>
          <t>ACT Science: 6-11</t>
        </is>
      </c>
      <c r="C382" t="n">
        <v>0</v>
      </c>
      <c r="D382" t="inlineStr">
        <is>
          <t>First-Time, First-Year Admission</t>
        </is>
      </c>
      <c r="E382" t="inlineStr">
        <is>
          <t>First-time, first-year Profile</t>
        </is>
      </c>
      <c r="F382" t="inlineStr">
        <is>
          <t>Test Scores</t>
        </is>
      </c>
      <c r="G382" t="inlineStr">
        <is>
          <t>Undergraduates</t>
        </is>
      </c>
      <c r="H382" s="2" t="inlineStr">
        <is>
          <t>First-time, first-year</t>
        </is>
      </c>
      <c r="I382" t="inlineStr">
        <is>
          <t>All</t>
        </is>
      </c>
      <c r="J382" t="inlineStr">
        <is>
          <t>All</t>
        </is>
      </c>
      <c r="K382" t="inlineStr">
        <is>
          <t>All</t>
        </is>
      </c>
      <c r="L382" t="inlineStr">
        <is>
          <t>Whole Number or Round to Nearest Tenths</t>
        </is>
      </c>
    </row>
    <row r="383" ht="18" customHeight="1" s="44">
      <c r="A383" t="inlineStr">
        <is>
          <t>C959</t>
        </is>
      </c>
      <c r="B383" t="inlineStr">
        <is>
          <t>ACT Science: Below 6</t>
        </is>
      </c>
      <c r="C383" t="n">
        <v>0</v>
      </c>
      <c r="D383" t="inlineStr">
        <is>
          <t>First-Time, First-Year Admission</t>
        </is>
      </c>
      <c r="E383" t="inlineStr">
        <is>
          <t>First-time, first-year Profile</t>
        </is>
      </c>
      <c r="F383" t="inlineStr">
        <is>
          <t>Test Scores</t>
        </is>
      </c>
      <c r="G383" t="inlineStr">
        <is>
          <t>Undergraduates</t>
        </is>
      </c>
      <c r="H383" s="2" t="inlineStr">
        <is>
          <t>First-time, first-year</t>
        </is>
      </c>
      <c r="I383" t="inlineStr">
        <is>
          <t>All</t>
        </is>
      </c>
      <c r="J383" t="inlineStr">
        <is>
          <t>All</t>
        </is>
      </c>
      <c r="K383" t="inlineStr">
        <is>
          <t>All</t>
        </is>
      </c>
      <c r="L383" t="inlineStr">
        <is>
          <t>Whole Number or Round to Nearest Tenths</t>
        </is>
      </c>
    </row>
    <row r="384" ht="18" customHeight="1" s="44">
      <c r="A384" t="inlineStr">
        <is>
          <t>C960</t>
        </is>
      </c>
      <c r="B384" t="inlineStr">
        <is>
          <t>ACT Science: Total</t>
        </is>
      </c>
      <c r="C384" s="40">
        <f>SUM(C378:C383)</f>
        <v/>
      </c>
      <c r="D384" t="inlineStr">
        <is>
          <t>First-Time, First-Year Admission</t>
        </is>
      </c>
      <c r="E384" t="inlineStr">
        <is>
          <t>First-time, first-year Profile</t>
        </is>
      </c>
      <c r="F384" t="inlineStr">
        <is>
          <t>Test Scores</t>
        </is>
      </c>
      <c r="G384" t="inlineStr">
        <is>
          <t>Undergraduates</t>
        </is>
      </c>
      <c r="H384" s="2" t="inlineStr">
        <is>
          <t>First-time, first-year</t>
        </is>
      </c>
      <c r="I384" t="inlineStr">
        <is>
          <t>All</t>
        </is>
      </c>
      <c r="J384" t="inlineStr">
        <is>
          <t>All</t>
        </is>
      </c>
      <c r="K384" t="inlineStr">
        <is>
          <t>All</t>
        </is>
      </c>
      <c r="L384" t="inlineStr">
        <is>
          <t>Whole Number or Round to Nearest Tenths</t>
        </is>
      </c>
    </row>
    <row r="385"/>
    <row r="386" ht="18" customHeight="1" s="44"/>
    <row r="387" ht="18" customHeight="1" s="44">
      <c r="A387" t="inlineStr">
        <is>
          <t>C961</t>
        </is>
      </c>
      <c r="B387" t="inlineStr">
        <is>
          <t>ACT Reading: 30-36</t>
        </is>
      </c>
      <c r="C387" t="n">
        <v>0.72</v>
      </c>
      <c r="D387" t="inlineStr">
        <is>
          <t>First-Time, First-Year Admission</t>
        </is>
      </c>
      <c r="E387" t="inlineStr">
        <is>
          <t>First-time, first-year Profile</t>
        </is>
      </c>
      <c r="F387" t="inlineStr">
        <is>
          <t>Test Scores</t>
        </is>
      </c>
      <c r="G387" t="inlineStr">
        <is>
          <t>Undergraduates</t>
        </is>
      </c>
      <c r="H387" s="2" t="inlineStr">
        <is>
          <t>First-time, first-year</t>
        </is>
      </c>
      <c r="I387" t="inlineStr">
        <is>
          <t>All</t>
        </is>
      </c>
      <c r="J387" t="inlineStr">
        <is>
          <t>All</t>
        </is>
      </c>
      <c r="K387" t="inlineStr">
        <is>
          <t>All</t>
        </is>
      </c>
      <c r="L387" t="inlineStr">
        <is>
          <t>Whole Number or Round to Nearest Tenths</t>
        </is>
      </c>
    </row>
    <row r="388" ht="18" customHeight="1" s="44">
      <c r="A388" t="inlineStr">
        <is>
          <t>C962</t>
        </is>
      </c>
      <c r="B388" t="inlineStr">
        <is>
          <t>ACT Reading: 24-29</t>
        </is>
      </c>
      <c r="C388" t="n">
        <v>0.233</v>
      </c>
      <c r="D388" t="inlineStr">
        <is>
          <t>First-Time, First-Year Admission</t>
        </is>
      </c>
      <c r="E388" t="inlineStr">
        <is>
          <t>First-time, first-year Profile</t>
        </is>
      </c>
      <c r="F388" t="inlineStr">
        <is>
          <t>Test Scores</t>
        </is>
      </c>
      <c r="G388" t="inlineStr">
        <is>
          <t>Undergraduates</t>
        </is>
      </c>
      <c r="H388" s="2" t="inlineStr">
        <is>
          <t>First-time, first-year</t>
        </is>
      </c>
      <c r="I388" t="inlineStr">
        <is>
          <t>All</t>
        </is>
      </c>
      <c r="J388" t="inlineStr">
        <is>
          <t>All</t>
        </is>
      </c>
      <c r="K388" t="inlineStr">
        <is>
          <t>All</t>
        </is>
      </c>
      <c r="L388" t="inlineStr">
        <is>
          <t>Whole Number or Round to Nearest Tenths</t>
        </is>
      </c>
    </row>
    <row r="389" ht="18" customHeight="1" s="44">
      <c r="A389" t="inlineStr">
        <is>
          <t>C963</t>
        </is>
      </c>
      <c r="B389" t="inlineStr">
        <is>
          <t>ACT Reading: 18-23</t>
        </is>
      </c>
      <c r="C389" t="n">
        <v>0.047</v>
      </c>
      <c r="D389" t="inlineStr">
        <is>
          <t>First-Time, First-Year Admission</t>
        </is>
      </c>
      <c r="E389" t="inlineStr">
        <is>
          <t>First-time, first-year Profile</t>
        </is>
      </c>
      <c r="F389" t="inlineStr">
        <is>
          <t>Test Scores</t>
        </is>
      </c>
      <c r="G389" t="inlineStr">
        <is>
          <t>Undergraduates</t>
        </is>
      </c>
      <c r="H389" s="2" t="inlineStr">
        <is>
          <t>First-time, first-year</t>
        </is>
      </c>
      <c r="I389" t="inlineStr">
        <is>
          <t>All</t>
        </is>
      </c>
      <c r="J389" t="inlineStr">
        <is>
          <t>All</t>
        </is>
      </c>
      <c r="K389" t="inlineStr">
        <is>
          <t>All</t>
        </is>
      </c>
      <c r="L389" t="inlineStr">
        <is>
          <t>Whole Number or Round to Nearest Tenths</t>
        </is>
      </c>
    </row>
    <row r="390" ht="18" customHeight="1" s="44">
      <c r="A390" t="inlineStr">
        <is>
          <t>C964</t>
        </is>
      </c>
      <c r="B390" t="inlineStr">
        <is>
          <t>ACT Reading: 12-17</t>
        </is>
      </c>
      <c r="C390" t="n">
        <v>0</v>
      </c>
      <c r="D390" t="inlineStr">
        <is>
          <t>First-Time, First-Year Admission</t>
        </is>
      </c>
      <c r="E390" t="inlineStr">
        <is>
          <t>First-time, first-year Profile</t>
        </is>
      </c>
      <c r="F390" t="inlineStr">
        <is>
          <t>Test Scores</t>
        </is>
      </c>
      <c r="G390" t="inlineStr">
        <is>
          <t>Undergraduates</t>
        </is>
      </c>
      <c r="H390" s="2" t="inlineStr">
        <is>
          <t>First-time, first-year</t>
        </is>
      </c>
      <c r="I390" t="inlineStr">
        <is>
          <t>All</t>
        </is>
      </c>
      <c r="J390" t="inlineStr">
        <is>
          <t>All</t>
        </is>
      </c>
      <c r="K390" t="inlineStr">
        <is>
          <t>All</t>
        </is>
      </c>
      <c r="L390" t="inlineStr">
        <is>
          <t>Whole Number or Round to Nearest Tenths</t>
        </is>
      </c>
    </row>
    <row r="391" ht="18" customHeight="1" s="44">
      <c r="A391" t="inlineStr">
        <is>
          <t>C965</t>
        </is>
      </c>
      <c r="B391" t="inlineStr">
        <is>
          <t>ACT Reading: 6-11</t>
        </is>
      </c>
      <c r="C391" t="n">
        <v>0</v>
      </c>
      <c r="D391" t="inlineStr">
        <is>
          <t>First-Time, First-Year Admission</t>
        </is>
      </c>
      <c r="E391" t="inlineStr">
        <is>
          <t>First-time, first-year Profile</t>
        </is>
      </c>
      <c r="F391" t="inlineStr">
        <is>
          <t>Test Scores</t>
        </is>
      </c>
      <c r="G391" t="inlineStr">
        <is>
          <t>Undergraduates</t>
        </is>
      </c>
      <c r="H391" s="2" t="inlineStr">
        <is>
          <t>First-time, first-year</t>
        </is>
      </c>
      <c r="I391" t="inlineStr">
        <is>
          <t>All</t>
        </is>
      </c>
      <c r="J391" t="inlineStr">
        <is>
          <t>All</t>
        </is>
      </c>
      <c r="K391" t="inlineStr">
        <is>
          <t>All</t>
        </is>
      </c>
      <c r="L391" t="inlineStr">
        <is>
          <t>Whole Number or Round to Nearest Tenths</t>
        </is>
      </c>
    </row>
    <row r="392" ht="18" customHeight="1" s="44">
      <c r="A392" t="inlineStr">
        <is>
          <t>C966</t>
        </is>
      </c>
      <c r="B392" t="inlineStr">
        <is>
          <t>ACT Reading: Below 6</t>
        </is>
      </c>
      <c r="C392" t="n">
        <v>0</v>
      </c>
      <c r="D392" t="inlineStr">
        <is>
          <t>First-Time, First-Year Admission</t>
        </is>
      </c>
      <c r="E392" t="inlineStr">
        <is>
          <t>First-time, first-year Profile</t>
        </is>
      </c>
      <c r="F392" t="inlineStr">
        <is>
          <t>Test Scores</t>
        </is>
      </c>
      <c r="G392" t="inlineStr">
        <is>
          <t>Undergraduates</t>
        </is>
      </c>
      <c r="H392" s="2" t="inlineStr">
        <is>
          <t>First-time, first-year</t>
        </is>
      </c>
      <c r="I392" t="inlineStr">
        <is>
          <t>All</t>
        </is>
      </c>
      <c r="J392" t="inlineStr">
        <is>
          <t>All</t>
        </is>
      </c>
      <c r="K392" t="inlineStr">
        <is>
          <t>All</t>
        </is>
      </c>
      <c r="L392" t="inlineStr">
        <is>
          <t>Whole Number or Round to Nearest Tenths</t>
        </is>
      </c>
    </row>
    <row r="393" ht="18" customHeight="1" s="44">
      <c r="A393" t="inlineStr">
        <is>
          <t>C967</t>
        </is>
      </c>
      <c r="B393" t="inlineStr">
        <is>
          <t>ACT Reading: Total</t>
        </is>
      </c>
      <c r="C393" s="40">
        <f>SUM(C387:C392)</f>
        <v/>
      </c>
      <c r="D393" t="inlineStr">
        <is>
          <t>First-Time, First-Year Admission</t>
        </is>
      </c>
      <c r="E393" t="inlineStr">
        <is>
          <t>First-time, first-year Profile</t>
        </is>
      </c>
      <c r="F393" t="inlineStr">
        <is>
          <t>Test Scores</t>
        </is>
      </c>
      <c r="G393" t="inlineStr">
        <is>
          <t>Undergraduates</t>
        </is>
      </c>
      <c r="H393" s="2" t="inlineStr">
        <is>
          <t>First-time, first-year</t>
        </is>
      </c>
      <c r="I393" t="inlineStr">
        <is>
          <t>All</t>
        </is>
      </c>
      <c r="J393" t="inlineStr">
        <is>
          <t>All</t>
        </is>
      </c>
      <c r="K393" t="inlineStr">
        <is>
          <t>All</t>
        </is>
      </c>
      <c r="L393" t="inlineStr">
        <is>
          <t>Whole Number or Round to Nearest Tenths</t>
        </is>
      </c>
    </row>
    <row r="394"/>
    <row r="395"/>
    <row r="396" ht="18" customHeight="1" s="44"/>
    <row r="397" ht="18" customHeight="1" s="44"/>
    <row r="398" ht="18" customHeight="1" s="44"/>
    <row r="399" ht="18" customHeight="1" s="44"/>
    <row r="400" ht="18" customHeight="1" s="44"/>
    <row r="401" ht="18" customHeight="1" s="44"/>
    <row r="402" ht="18" customHeight="1" s="44">
      <c r="A402" t="inlineStr">
        <is>
          <t>C1001</t>
        </is>
      </c>
      <c r="B402" t="inlineStr">
        <is>
          <t>Percent in top tenth of high school graduating class</t>
        </is>
      </c>
      <c r="C402" t="n">
        <v>0.538</v>
      </c>
      <c r="D402" t="inlineStr">
        <is>
          <t>First-Time, First-Year Admission</t>
        </is>
      </c>
      <c r="E402" t="inlineStr">
        <is>
          <t>First-time, first-year Profile</t>
        </is>
      </c>
      <c r="F402" t="inlineStr">
        <is>
          <t>Test Scores</t>
        </is>
      </c>
      <c r="G402" t="inlineStr">
        <is>
          <t>Undergraduates</t>
        </is>
      </c>
      <c r="H402" s="2" t="inlineStr">
        <is>
          <t>First-time, first-year</t>
        </is>
      </c>
      <c r="I402" t="inlineStr">
        <is>
          <t>All</t>
        </is>
      </c>
      <c r="J402" t="inlineStr">
        <is>
          <t>All</t>
        </is>
      </c>
      <c r="K402" t="inlineStr">
        <is>
          <t>All</t>
        </is>
      </c>
      <c r="L402" t="inlineStr">
        <is>
          <t>Whole Number or Round to Nearest Tenths</t>
        </is>
      </c>
    </row>
    <row r="403" ht="18" customHeight="1" s="44">
      <c r="A403" t="inlineStr">
        <is>
          <t>C1002</t>
        </is>
      </c>
      <c r="B403" t="inlineStr">
        <is>
          <t>Percent in top quarter of high school graduating class</t>
        </is>
      </c>
      <c r="C403" t="n">
        <v>0.869</v>
      </c>
      <c r="D403" t="inlineStr">
        <is>
          <t>First-Time, First-Year Admission</t>
        </is>
      </c>
      <c r="E403" t="inlineStr">
        <is>
          <t>First-time, first-year Profile</t>
        </is>
      </c>
      <c r="F403" t="inlineStr">
        <is>
          <t>Test Scores</t>
        </is>
      </c>
      <c r="G403" t="inlineStr">
        <is>
          <t>Undergraduates</t>
        </is>
      </c>
      <c r="H403" s="2" t="inlineStr">
        <is>
          <t>First-time, first-year</t>
        </is>
      </c>
      <c r="I403" t="inlineStr">
        <is>
          <t>All</t>
        </is>
      </c>
      <c r="J403" t="inlineStr">
        <is>
          <t>All</t>
        </is>
      </c>
      <c r="K403" t="inlineStr">
        <is>
          <t>All</t>
        </is>
      </c>
      <c r="L403" t="inlineStr">
        <is>
          <t>Whole Number or Round to Nearest Tenths</t>
        </is>
      </c>
    </row>
    <row r="404" ht="18" customHeight="1" s="44">
      <c r="A404" t="inlineStr">
        <is>
          <t>C1003</t>
        </is>
      </c>
      <c r="B404" t="inlineStr">
        <is>
          <t>Percent in top half of high school graduating class</t>
        </is>
      </c>
      <c r="C404" t="n">
        <v>0.988</v>
      </c>
      <c r="D404" t="inlineStr">
        <is>
          <t>First-Time, First-Year Admission</t>
        </is>
      </c>
      <c r="E404" t="inlineStr">
        <is>
          <t>First-time, first-year Profile</t>
        </is>
      </c>
      <c r="F404" t="inlineStr">
        <is>
          <t>Test Scores</t>
        </is>
      </c>
      <c r="G404" t="inlineStr">
        <is>
          <t>Undergraduates</t>
        </is>
      </c>
      <c r="H404" s="2" t="inlineStr">
        <is>
          <t>First-time, first-year</t>
        </is>
      </c>
      <c r="I404" t="inlineStr">
        <is>
          <t>All</t>
        </is>
      </c>
      <c r="J404" t="inlineStr">
        <is>
          <t>All</t>
        </is>
      </c>
      <c r="K404" t="inlineStr">
        <is>
          <t>All</t>
        </is>
      </c>
      <c r="L404" t="inlineStr">
        <is>
          <t>Whole Number or Round to Nearest Tenths</t>
        </is>
      </c>
    </row>
    <row r="405" ht="18" customHeight="1" s="44">
      <c r="A405" t="inlineStr">
        <is>
          <t>C1004</t>
        </is>
      </c>
      <c r="B405" t="inlineStr">
        <is>
          <t>Percent in bottom half of high school graduating class</t>
        </is>
      </c>
      <c r="C405" t="n">
        <v>0.012</v>
      </c>
      <c r="D405" t="inlineStr">
        <is>
          <t>First-Time, First-Year Admission</t>
        </is>
      </c>
      <c r="E405" t="inlineStr">
        <is>
          <t>First-time, first-year Profile</t>
        </is>
      </c>
      <c r="F405" t="inlineStr">
        <is>
          <t>Test Scores</t>
        </is>
      </c>
      <c r="G405" t="inlineStr">
        <is>
          <t>Undergraduates</t>
        </is>
      </c>
      <c r="H405" s="2" t="inlineStr">
        <is>
          <t>First-time, first-year</t>
        </is>
      </c>
      <c r="I405" t="inlineStr">
        <is>
          <t>All</t>
        </is>
      </c>
      <c r="J405" t="inlineStr">
        <is>
          <t>All</t>
        </is>
      </c>
      <c r="K405" t="inlineStr">
        <is>
          <t>All</t>
        </is>
      </c>
      <c r="L405" t="inlineStr">
        <is>
          <t>Whole Number or Round to Nearest Tenths</t>
        </is>
      </c>
    </row>
    <row r="406" ht="18" customHeight="1" s="44">
      <c r="A406" t="inlineStr">
        <is>
          <t>C1005</t>
        </is>
      </c>
      <c r="B406" t="inlineStr">
        <is>
          <t>Percent in bottom quarter of high school graduating class</t>
        </is>
      </c>
      <c r="C406" t="n">
        <v>0.001</v>
      </c>
      <c r="D406" t="inlineStr">
        <is>
          <t>First-Time, First-Year Admission</t>
        </is>
      </c>
      <c r="E406" t="inlineStr">
        <is>
          <t>First-time, first-year Profile</t>
        </is>
      </c>
      <c r="F406" t="inlineStr">
        <is>
          <t>Test Scores</t>
        </is>
      </c>
      <c r="G406" t="inlineStr">
        <is>
          <t>Undergraduates</t>
        </is>
      </c>
      <c r="H406" s="2" t="inlineStr">
        <is>
          <t>First-time, first-year</t>
        </is>
      </c>
      <c r="I406" t="inlineStr">
        <is>
          <t>All</t>
        </is>
      </c>
      <c r="J406" t="inlineStr">
        <is>
          <t>All</t>
        </is>
      </c>
      <c r="K406" t="inlineStr">
        <is>
          <t>All</t>
        </is>
      </c>
      <c r="L406" t="inlineStr">
        <is>
          <t>Whole Number or Round to Nearest Tenths</t>
        </is>
      </c>
    </row>
    <row r="407" ht="30" customHeight="1" s="44">
      <c r="A407" t="inlineStr">
        <is>
          <t>C1006</t>
        </is>
      </c>
      <c r="B407" s="2" t="inlineStr">
        <is>
          <t>Percent of total first-time, first-year students who submitted high school class rank:</t>
        </is>
      </c>
      <c r="C407" t="n">
        <v>0.273</v>
      </c>
      <c r="D407" t="inlineStr">
        <is>
          <t>First-Time, First-Year Admission</t>
        </is>
      </c>
      <c r="E407" t="inlineStr">
        <is>
          <t>First-time, first-year Profile</t>
        </is>
      </c>
      <c r="F407" t="inlineStr">
        <is>
          <t>Test Scores</t>
        </is>
      </c>
      <c r="G407" t="inlineStr">
        <is>
          <t>Undergraduates</t>
        </is>
      </c>
      <c r="H407" s="2" t="inlineStr">
        <is>
          <t>First-time, first-year</t>
        </is>
      </c>
      <c r="I407" t="inlineStr">
        <is>
          <t>All</t>
        </is>
      </c>
      <c r="J407" t="inlineStr">
        <is>
          <t>All</t>
        </is>
      </c>
      <c r="K407" t="inlineStr">
        <is>
          <t>All</t>
        </is>
      </c>
      <c r="L407" t="inlineStr">
        <is>
          <t>Whole Number or Round to Nearest Tenths</t>
        </is>
      </c>
    </row>
    <row r="408" ht="18" customHeight="1" s="44">
      <c r="E408" s="40">
        <f>SUM(C402:C407)</f>
        <v/>
      </c>
    </row>
    <row r="409"/>
    <row r="410"/>
    <row r="411"/>
    <row r="412"/>
    <row r="413"/>
    <row r="414"/>
    <row r="415"/>
    <row r="416"/>
    <row r="417"/>
    <row r="418"/>
    <row r="419"/>
    <row r="420"/>
    <row r="421" ht="18" customHeight="1" s="44"/>
    <row r="422" ht="18" customHeight="1" s="44">
      <c r="A422" t="inlineStr">
        <is>
          <t>C1101</t>
        </is>
      </c>
      <c r="B422" t="inlineStr">
        <is>
          <t>Percent who had GPA of 4.0</t>
        </is>
      </c>
      <c r="D422" t="inlineStr">
        <is>
          <t>First-Time, First-Year Admission</t>
        </is>
      </c>
      <c r="E422" t="inlineStr">
        <is>
          <t>First-time, first-year Profile</t>
        </is>
      </c>
      <c r="F422" t="inlineStr">
        <is>
          <t>High School GPA</t>
        </is>
      </c>
      <c r="G422" t="inlineStr">
        <is>
          <t>Undergraduates</t>
        </is>
      </c>
      <c r="H422" s="2" t="inlineStr">
        <is>
          <t>First-time, first-year</t>
        </is>
      </c>
      <c r="I422" t="inlineStr">
        <is>
          <t>All</t>
        </is>
      </c>
      <c r="J422" t="inlineStr">
        <is>
          <t>All</t>
        </is>
      </c>
      <c r="K422" t="inlineStr">
        <is>
          <t>All</t>
        </is>
      </c>
      <c r="L422" t="inlineStr">
        <is>
          <t>Whole Number or Round to Nearest Tenths</t>
        </is>
      </c>
    </row>
    <row r="423" ht="18" customHeight="1" s="44">
      <c r="A423" t="inlineStr">
        <is>
          <t>C1102</t>
        </is>
      </c>
      <c r="B423" t="inlineStr">
        <is>
          <t>Percent who had GPA between 3.75 and 3.99</t>
        </is>
      </c>
      <c r="D423" t="inlineStr">
        <is>
          <t>First-Time, First-Year Admission</t>
        </is>
      </c>
      <c r="E423" t="inlineStr">
        <is>
          <t>First-time, first-year Profile</t>
        </is>
      </c>
      <c r="F423" t="inlineStr">
        <is>
          <t>High School GPA</t>
        </is>
      </c>
      <c r="G423" t="inlineStr">
        <is>
          <t>Undergraduates</t>
        </is>
      </c>
      <c r="H423" s="2" t="inlineStr">
        <is>
          <t>First-time, first-year</t>
        </is>
      </c>
      <c r="I423" t="inlineStr">
        <is>
          <t>All</t>
        </is>
      </c>
      <c r="J423" t="inlineStr">
        <is>
          <t>All</t>
        </is>
      </c>
      <c r="K423" t="inlineStr">
        <is>
          <t>All</t>
        </is>
      </c>
      <c r="L423" t="inlineStr">
        <is>
          <t>Whole Number or Round to Nearest Tenths</t>
        </is>
      </c>
    </row>
    <row r="424" ht="18" customHeight="1" s="44">
      <c r="A424" t="inlineStr">
        <is>
          <t>C1103</t>
        </is>
      </c>
      <c r="B424" t="inlineStr">
        <is>
          <t>Percent who had GPA between 3.50 and 3.74</t>
        </is>
      </c>
      <c r="D424" t="inlineStr">
        <is>
          <t>First-Time, First-Year Admission</t>
        </is>
      </c>
      <c r="E424" t="inlineStr">
        <is>
          <t>First-time, first-year Profile</t>
        </is>
      </c>
      <c r="F424" t="inlineStr">
        <is>
          <t>High School GPA</t>
        </is>
      </c>
      <c r="G424" t="inlineStr">
        <is>
          <t>Undergraduates</t>
        </is>
      </c>
      <c r="H424" s="2" t="inlineStr">
        <is>
          <t>First-time, first-year</t>
        </is>
      </c>
      <c r="I424" t="inlineStr">
        <is>
          <t>All</t>
        </is>
      </c>
      <c r="J424" t="inlineStr">
        <is>
          <t>All</t>
        </is>
      </c>
      <c r="K424" t="inlineStr">
        <is>
          <t>All</t>
        </is>
      </c>
      <c r="L424" t="inlineStr">
        <is>
          <t>Whole Number or Round to Nearest Tenths</t>
        </is>
      </c>
    </row>
    <row r="425" ht="18" customHeight="1" s="44">
      <c r="A425" t="inlineStr">
        <is>
          <t>C1104</t>
        </is>
      </c>
      <c r="B425" t="inlineStr">
        <is>
          <t>Percent who had GPA between 3.25 and 3.49</t>
        </is>
      </c>
      <c r="D425" t="inlineStr">
        <is>
          <t>First-Time, First-Year Admission</t>
        </is>
      </c>
      <c r="E425" t="inlineStr">
        <is>
          <t>First-time, first-year Profile</t>
        </is>
      </c>
      <c r="F425" t="inlineStr">
        <is>
          <t>High School GPA</t>
        </is>
      </c>
      <c r="G425" t="inlineStr">
        <is>
          <t>Undergraduates</t>
        </is>
      </c>
      <c r="H425" s="2" t="inlineStr">
        <is>
          <t>First-time, first-year</t>
        </is>
      </c>
      <c r="I425" t="inlineStr">
        <is>
          <t>All</t>
        </is>
      </c>
      <c r="J425" t="inlineStr">
        <is>
          <t>All</t>
        </is>
      </c>
      <c r="K425" t="inlineStr">
        <is>
          <t>All</t>
        </is>
      </c>
      <c r="L425" t="inlineStr">
        <is>
          <t>Whole Number or Round to Nearest Tenths</t>
        </is>
      </c>
    </row>
    <row r="426" ht="18" customHeight="1" s="44">
      <c r="A426" t="inlineStr">
        <is>
          <t>C1105</t>
        </is>
      </c>
      <c r="B426" t="inlineStr">
        <is>
          <t>Percent who had GPA between 3.00 and 3.24</t>
        </is>
      </c>
      <c r="D426" t="inlineStr">
        <is>
          <t>First-Time, First-Year Admission</t>
        </is>
      </c>
      <c r="E426" t="inlineStr">
        <is>
          <t>First-time, first-year Profile</t>
        </is>
      </c>
      <c r="F426" t="inlineStr">
        <is>
          <t>High School GPA</t>
        </is>
      </c>
      <c r="G426" t="inlineStr">
        <is>
          <t>Undergraduates</t>
        </is>
      </c>
      <c r="H426" s="2" t="inlineStr">
        <is>
          <t>First-time, first-year</t>
        </is>
      </c>
      <c r="I426" t="inlineStr">
        <is>
          <t>All</t>
        </is>
      </c>
      <c r="J426" t="inlineStr">
        <is>
          <t>All</t>
        </is>
      </c>
      <c r="K426" t="inlineStr">
        <is>
          <t>All</t>
        </is>
      </c>
      <c r="L426" t="inlineStr">
        <is>
          <t>Whole Number or Round to Nearest Tenths</t>
        </is>
      </c>
    </row>
    <row r="427" ht="18" customHeight="1" s="44">
      <c r="A427" t="inlineStr">
        <is>
          <t>C1106</t>
        </is>
      </c>
      <c r="B427" s="2" t="inlineStr">
        <is>
          <t>Percent who had GPA between 2.50 and 2.99</t>
        </is>
      </c>
      <c r="D427" t="inlineStr">
        <is>
          <t>First-Time, First-Year Admission</t>
        </is>
      </c>
      <c r="E427" t="inlineStr">
        <is>
          <t>First-time, first-year Profile</t>
        </is>
      </c>
      <c r="F427" t="inlineStr">
        <is>
          <t>High School GPA</t>
        </is>
      </c>
      <c r="G427" t="inlineStr">
        <is>
          <t>Undergraduates</t>
        </is>
      </c>
      <c r="H427" s="2" t="inlineStr">
        <is>
          <t>First-time, first-year</t>
        </is>
      </c>
      <c r="I427" t="inlineStr">
        <is>
          <t>All</t>
        </is>
      </c>
      <c r="J427" t="inlineStr">
        <is>
          <t>All</t>
        </is>
      </c>
      <c r="K427" t="inlineStr">
        <is>
          <t>All</t>
        </is>
      </c>
      <c r="L427" t="inlineStr">
        <is>
          <t>Whole Number or Round to Nearest Tenths</t>
        </is>
      </c>
    </row>
    <row r="428" ht="18" customHeight="1" s="44">
      <c r="A428" t="inlineStr">
        <is>
          <t>C1107</t>
        </is>
      </c>
      <c r="B428" t="inlineStr">
        <is>
          <t>Percent who had GPA between 2.0 and 2.49</t>
        </is>
      </c>
      <c r="D428" t="inlineStr">
        <is>
          <t>First-Time, First-Year Admission</t>
        </is>
      </c>
      <c r="E428" t="inlineStr">
        <is>
          <t>First-time, first-year Profile</t>
        </is>
      </c>
      <c r="F428" t="inlineStr">
        <is>
          <t>High School GPA</t>
        </is>
      </c>
      <c r="G428" t="inlineStr">
        <is>
          <t>Undergraduates</t>
        </is>
      </c>
      <c r="H428" s="2" t="inlineStr">
        <is>
          <t>First-time, first-year</t>
        </is>
      </c>
      <c r="I428" t="inlineStr">
        <is>
          <t>All</t>
        </is>
      </c>
      <c r="J428" t="inlineStr">
        <is>
          <t>All</t>
        </is>
      </c>
      <c r="K428" t="inlineStr">
        <is>
          <t>All</t>
        </is>
      </c>
      <c r="L428" t="inlineStr">
        <is>
          <t>Whole Number or Round to Nearest Tenths</t>
        </is>
      </c>
    </row>
    <row r="429" ht="18" customHeight="1" s="44">
      <c r="A429" t="inlineStr">
        <is>
          <t>C1108</t>
        </is>
      </c>
      <c r="B429" t="inlineStr">
        <is>
          <t>Percent who had GPA between 1.0 and 1.99</t>
        </is>
      </c>
      <c r="D429" t="inlineStr">
        <is>
          <t>First-Time, First-Year Admission</t>
        </is>
      </c>
      <c r="E429" t="inlineStr">
        <is>
          <t>First-time, first-year Profile</t>
        </is>
      </c>
      <c r="F429" t="inlineStr">
        <is>
          <t>High School GPA</t>
        </is>
      </c>
      <c r="G429" t="inlineStr">
        <is>
          <t>Undergraduates</t>
        </is>
      </c>
      <c r="H429" s="2" t="inlineStr">
        <is>
          <t>First-time, first-year</t>
        </is>
      </c>
      <c r="I429" t="inlineStr">
        <is>
          <t>All</t>
        </is>
      </c>
      <c r="J429" t="inlineStr">
        <is>
          <t>All</t>
        </is>
      </c>
      <c r="K429" t="inlineStr">
        <is>
          <t>All</t>
        </is>
      </c>
      <c r="L429" t="inlineStr">
        <is>
          <t>Whole Number or Round to Nearest Tenths</t>
        </is>
      </c>
    </row>
    <row r="430" ht="18" customHeight="1" s="44">
      <c r="A430" t="inlineStr">
        <is>
          <t>C1109</t>
        </is>
      </c>
      <c r="B430" t="inlineStr">
        <is>
          <t>Percent who had GPA below 1.0</t>
        </is>
      </c>
      <c r="D430" t="inlineStr">
        <is>
          <t>First-Time, First-Year Admission</t>
        </is>
      </c>
      <c r="E430" t="inlineStr">
        <is>
          <t>First-time, first-year Profile</t>
        </is>
      </c>
      <c r="F430" t="inlineStr">
        <is>
          <t>High School GPA</t>
        </is>
      </c>
      <c r="G430" t="inlineStr">
        <is>
          <t>Undergraduates</t>
        </is>
      </c>
      <c r="H430" s="2" t="inlineStr">
        <is>
          <t>First-time, first-year</t>
        </is>
      </c>
      <c r="I430" t="inlineStr">
        <is>
          <t>All</t>
        </is>
      </c>
      <c r="J430" t="inlineStr">
        <is>
          <t>All</t>
        </is>
      </c>
      <c r="K430" t="inlineStr">
        <is>
          <t>All</t>
        </is>
      </c>
      <c r="L430" t="inlineStr">
        <is>
          <t>Whole Number or Round to Nearest Tenths</t>
        </is>
      </c>
    </row>
    <row r="431" ht="18" customHeight="1" s="44">
      <c r="A431" t="inlineStr">
        <is>
          <t>C1110</t>
        </is>
      </c>
      <c r="B431" t="inlineStr">
        <is>
          <t>Total</t>
        </is>
      </c>
      <c r="C431" s="40">
        <f>SUM(C422:C430)</f>
        <v/>
      </c>
      <c r="D431" t="inlineStr">
        <is>
          <t>First-Time, First-Year Admission</t>
        </is>
      </c>
      <c r="E431" t="inlineStr">
        <is>
          <t>First-time, first-year Profile</t>
        </is>
      </c>
      <c r="F431" t="inlineStr">
        <is>
          <t>High School GPA</t>
        </is>
      </c>
      <c r="G431" t="inlineStr">
        <is>
          <t>Undergraduates</t>
        </is>
      </c>
      <c r="H431" s="2" t="inlineStr">
        <is>
          <t>First-time, first-year</t>
        </is>
      </c>
      <c r="I431" t="inlineStr">
        <is>
          <t>All</t>
        </is>
      </c>
      <c r="J431" t="inlineStr">
        <is>
          <t>All</t>
        </is>
      </c>
      <c r="K431" t="inlineStr">
        <is>
          <t>All</t>
        </is>
      </c>
      <c r="L431" t="inlineStr">
        <is>
          <t>Whole Number or Round to Nearest Tenths</t>
        </is>
      </c>
    </row>
    <row r="432"/>
    <row r="433" ht="18" customHeight="1" s="44"/>
    <row r="434" ht="18" customHeight="1" s="44">
      <c r="A434" t="inlineStr">
        <is>
          <t>C1111</t>
        </is>
      </c>
      <c r="B434" t="inlineStr">
        <is>
          <t>Percent who had GPA of 4.0</t>
        </is>
      </c>
      <c r="D434" t="inlineStr">
        <is>
          <t>First-Time, First-Year Admission</t>
        </is>
      </c>
      <c r="E434" t="inlineStr">
        <is>
          <t>First-time, first-year Profile</t>
        </is>
      </c>
      <c r="F434" t="inlineStr">
        <is>
          <t>High School GPA</t>
        </is>
      </c>
      <c r="G434" t="inlineStr">
        <is>
          <t>Undergraduates</t>
        </is>
      </c>
      <c r="H434" s="2" t="inlineStr">
        <is>
          <t>First-time, first-year</t>
        </is>
      </c>
      <c r="I434" t="inlineStr">
        <is>
          <t>All</t>
        </is>
      </c>
      <c r="J434" t="inlineStr">
        <is>
          <t>All</t>
        </is>
      </c>
      <c r="K434" t="inlineStr">
        <is>
          <t>All</t>
        </is>
      </c>
      <c r="L434" t="inlineStr">
        <is>
          <t>Whole Number or Round to Nearest Tenths</t>
        </is>
      </c>
    </row>
    <row r="435" ht="18" customHeight="1" s="44">
      <c r="A435" t="inlineStr">
        <is>
          <t>C1112</t>
        </is>
      </c>
      <c r="B435" t="inlineStr">
        <is>
          <t>Percent who had GPA between 3.75 and 3.99</t>
        </is>
      </c>
      <c r="D435" t="inlineStr">
        <is>
          <t>First-Time, First-Year Admission</t>
        </is>
      </c>
      <c r="E435" t="inlineStr">
        <is>
          <t>First-time, first-year Profile</t>
        </is>
      </c>
      <c r="F435" t="inlineStr">
        <is>
          <t>High School GPA</t>
        </is>
      </c>
      <c r="G435" t="inlineStr">
        <is>
          <t>Undergraduates</t>
        </is>
      </c>
      <c r="H435" s="2" t="inlineStr">
        <is>
          <t>First-time, first-year</t>
        </is>
      </c>
      <c r="I435" t="inlineStr">
        <is>
          <t>All</t>
        </is>
      </c>
      <c r="J435" t="inlineStr">
        <is>
          <t>All</t>
        </is>
      </c>
      <c r="K435" t="inlineStr">
        <is>
          <t>All</t>
        </is>
      </c>
      <c r="L435" t="inlineStr">
        <is>
          <t>Whole Number or Round to Nearest Tenths</t>
        </is>
      </c>
    </row>
    <row r="436" ht="18" customHeight="1" s="44">
      <c r="A436" t="inlineStr">
        <is>
          <t>C1113</t>
        </is>
      </c>
      <c r="B436" t="inlineStr">
        <is>
          <t>Percent who had GPA between 3.50 and 3.74</t>
        </is>
      </c>
      <c r="D436" t="inlineStr">
        <is>
          <t>First-Time, First-Year Admission</t>
        </is>
      </c>
      <c r="E436" t="inlineStr">
        <is>
          <t>First-time, first-year Profile</t>
        </is>
      </c>
      <c r="F436" t="inlineStr">
        <is>
          <t>High School GPA</t>
        </is>
      </c>
      <c r="G436" t="inlineStr">
        <is>
          <t>Undergraduates</t>
        </is>
      </c>
      <c r="H436" s="2" t="inlineStr">
        <is>
          <t>First-time, first-year</t>
        </is>
      </c>
      <c r="I436" t="inlineStr">
        <is>
          <t>All</t>
        </is>
      </c>
      <c r="J436" t="inlineStr">
        <is>
          <t>All</t>
        </is>
      </c>
      <c r="K436" t="inlineStr">
        <is>
          <t>All</t>
        </is>
      </c>
      <c r="L436" t="inlineStr">
        <is>
          <t>Whole Number or Round to Nearest Tenths</t>
        </is>
      </c>
    </row>
    <row r="437" ht="18" customHeight="1" s="44">
      <c r="A437" t="inlineStr">
        <is>
          <t>C1114</t>
        </is>
      </c>
      <c r="B437" t="inlineStr">
        <is>
          <t>Percent who had GPA between 3.25 and 3.49</t>
        </is>
      </c>
      <c r="D437" t="inlineStr">
        <is>
          <t>First-Time, First-Year Admission</t>
        </is>
      </c>
      <c r="E437" t="inlineStr">
        <is>
          <t>First-time, first-year Profile</t>
        </is>
      </c>
      <c r="F437" t="inlineStr">
        <is>
          <t>High School GPA</t>
        </is>
      </c>
      <c r="G437" t="inlineStr">
        <is>
          <t>Undergraduates</t>
        </is>
      </c>
      <c r="H437" s="2" t="inlineStr">
        <is>
          <t>First-time, first-year</t>
        </is>
      </c>
      <c r="I437" t="inlineStr">
        <is>
          <t>All</t>
        </is>
      </c>
      <c r="J437" t="inlineStr">
        <is>
          <t>All</t>
        </is>
      </c>
      <c r="K437" t="inlineStr">
        <is>
          <t>All</t>
        </is>
      </c>
      <c r="L437" t="inlineStr">
        <is>
          <t>Whole Number or Round to Nearest Tenths</t>
        </is>
      </c>
    </row>
    <row r="438" ht="18" customHeight="1" s="44">
      <c r="A438" t="inlineStr">
        <is>
          <t>C1115</t>
        </is>
      </c>
      <c r="B438" t="inlineStr">
        <is>
          <t>Percent who had GPA between 3.00 and 3.24</t>
        </is>
      </c>
      <c r="D438" t="inlineStr">
        <is>
          <t>First-Time, First-Year Admission</t>
        </is>
      </c>
      <c r="E438" t="inlineStr">
        <is>
          <t>First-time, first-year Profile</t>
        </is>
      </c>
      <c r="F438" t="inlineStr">
        <is>
          <t>High School GPA</t>
        </is>
      </c>
      <c r="G438" t="inlineStr">
        <is>
          <t>Undergraduates</t>
        </is>
      </c>
      <c r="H438" s="2" t="inlineStr">
        <is>
          <t>First-time, first-year</t>
        </is>
      </c>
      <c r="I438" t="inlineStr">
        <is>
          <t>All</t>
        </is>
      </c>
      <c r="J438" t="inlineStr">
        <is>
          <t>All</t>
        </is>
      </c>
      <c r="K438" t="inlineStr">
        <is>
          <t>All</t>
        </is>
      </c>
      <c r="L438" t="inlineStr">
        <is>
          <t>Whole Number or Round to Nearest Tenths</t>
        </is>
      </c>
    </row>
    <row r="439" ht="18" customHeight="1" s="44">
      <c r="A439" t="inlineStr">
        <is>
          <t>C1116</t>
        </is>
      </c>
      <c r="B439" s="2" t="inlineStr">
        <is>
          <t>Percent who had GPA between 2.50 and 2.99</t>
        </is>
      </c>
      <c r="D439" t="inlineStr">
        <is>
          <t>First-Time, First-Year Admission</t>
        </is>
      </c>
      <c r="E439" t="inlineStr">
        <is>
          <t>First-time, first-year Profile</t>
        </is>
      </c>
      <c r="F439" t="inlineStr">
        <is>
          <t>High School GPA</t>
        </is>
      </c>
      <c r="G439" t="inlineStr">
        <is>
          <t>Undergraduates</t>
        </is>
      </c>
      <c r="H439" s="2" t="inlineStr">
        <is>
          <t>First-time, first-year</t>
        </is>
      </c>
      <c r="I439" t="inlineStr">
        <is>
          <t>All</t>
        </is>
      </c>
      <c r="J439" t="inlineStr">
        <is>
          <t>All</t>
        </is>
      </c>
      <c r="K439" t="inlineStr">
        <is>
          <t>All</t>
        </is>
      </c>
      <c r="L439" t="inlineStr">
        <is>
          <t>Whole Number or Round to Nearest Tenths</t>
        </is>
      </c>
    </row>
    <row r="440" ht="18" customHeight="1" s="44">
      <c r="A440" t="inlineStr">
        <is>
          <t>C1117</t>
        </is>
      </c>
      <c r="B440" t="inlineStr">
        <is>
          <t>Percent who had GPA between 2.0 and 2.49</t>
        </is>
      </c>
      <c r="D440" t="inlineStr">
        <is>
          <t>First-Time, First-Year Admission</t>
        </is>
      </c>
      <c r="E440" t="inlineStr">
        <is>
          <t>First-time, first-year Profile</t>
        </is>
      </c>
      <c r="F440" t="inlineStr">
        <is>
          <t>High School GPA</t>
        </is>
      </c>
      <c r="G440" t="inlineStr">
        <is>
          <t>Undergraduates</t>
        </is>
      </c>
      <c r="H440" s="2" t="inlineStr">
        <is>
          <t>First-time, first-year</t>
        </is>
      </c>
      <c r="I440" t="inlineStr">
        <is>
          <t>All</t>
        </is>
      </c>
      <c r="J440" t="inlineStr">
        <is>
          <t>All</t>
        </is>
      </c>
      <c r="K440" t="inlineStr">
        <is>
          <t>All</t>
        </is>
      </c>
      <c r="L440" t="inlineStr">
        <is>
          <t>Whole Number or Round to Nearest Tenths</t>
        </is>
      </c>
    </row>
    <row r="441" ht="18" customHeight="1" s="44">
      <c r="A441" t="inlineStr">
        <is>
          <t>C1118</t>
        </is>
      </c>
      <c r="B441" t="inlineStr">
        <is>
          <t>Percent who had GPA between 1.0 and 1.99</t>
        </is>
      </c>
      <c r="D441" t="inlineStr">
        <is>
          <t>First-Time, First-Year Admission</t>
        </is>
      </c>
      <c r="E441" t="inlineStr">
        <is>
          <t>First-time, first-year Profile</t>
        </is>
      </c>
      <c r="F441" t="inlineStr">
        <is>
          <t>High School GPA</t>
        </is>
      </c>
      <c r="G441" t="inlineStr">
        <is>
          <t>Undergraduates</t>
        </is>
      </c>
      <c r="H441" s="2" t="inlineStr">
        <is>
          <t>First-time, first-year</t>
        </is>
      </c>
      <c r="I441" t="inlineStr">
        <is>
          <t>All</t>
        </is>
      </c>
      <c r="J441" t="inlineStr">
        <is>
          <t>All</t>
        </is>
      </c>
      <c r="K441" t="inlineStr">
        <is>
          <t>All</t>
        </is>
      </c>
      <c r="L441" t="inlineStr">
        <is>
          <t>Whole Number or Round to Nearest Tenths</t>
        </is>
      </c>
    </row>
    <row r="442" ht="18" customHeight="1" s="44">
      <c r="A442" t="inlineStr">
        <is>
          <t>C1119</t>
        </is>
      </c>
      <c r="B442" t="inlineStr">
        <is>
          <t>Percent who had GPA below 1.0</t>
        </is>
      </c>
      <c r="D442" t="inlineStr">
        <is>
          <t>First-Time, First-Year Admission</t>
        </is>
      </c>
      <c r="E442" t="inlineStr">
        <is>
          <t>First-time, first-year Profile</t>
        </is>
      </c>
      <c r="F442" t="inlineStr">
        <is>
          <t>High School GPA</t>
        </is>
      </c>
      <c r="G442" t="inlineStr">
        <is>
          <t>Undergraduates</t>
        </is>
      </c>
      <c r="H442" s="2" t="inlineStr">
        <is>
          <t>First-time, first-year</t>
        </is>
      </c>
      <c r="I442" t="inlineStr">
        <is>
          <t>All</t>
        </is>
      </c>
      <c r="J442" t="inlineStr">
        <is>
          <t>All</t>
        </is>
      </c>
      <c r="K442" t="inlineStr">
        <is>
          <t>All</t>
        </is>
      </c>
      <c r="L442" t="inlineStr">
        <is>
          <t>Whole Number or Round to Nearest Tenths</t>
        </is>
      </c>
    </row>
    <row r="443" ht="18" customHeight="1" s="44">
      <c r="A443" t="inlineStr">
        <is>
          <t>C1120</t>
        </is>
      </c>
      <c r="B443" t="inlineStr">
        <is>
          <t>Total</t>
        </is>
      </c>
      <c r="C443" s="40">
        <f>SUM(C434:C442)</f>
        <v/>
      </c>
      <c r="D443" t="inlineStr">
        <is>
          <t>First-Time, First-Year Admission</t>
        </is>
      </c>
      <c r="E443" t="inlineStr">
        <is>
          <t>First-time, first-year Profile</t>
        </is>
      </c>
      <c r="F443" t="inlineStr">
        <is>
          <t>High School GPA</t>
        </is>
      </c>
      <c r="G443" t="inlineStr">
        <is>
          <t>Undergraduates</t>
        </is>
      </c>
      <c r="H443" s="2" t="inlineStr">
        <is>
          <t>First-time, first-year</t>
        </is>
      </c>
      <c r="I443" t="inlineStr">
        <is>
          <t>All</t>
        </is>
      </c>
      <c r="J443" t="inlineStr">
        <is>
          <t>All</t>
        </is>
      </c>
      <c r="K443" t="inlineStr">
        <is>
          <t>All</t>
        </is>
      </c>
      <c r="L443" t="inlineStr">
        <is>
          <t>Whole Number or Round to Nearest Tenths</t>
        </is>
      </c>
    </row>
    <row r="444"/>
    <row r="445" ht="18" customHeight="1" s="44"/>
    <row r="446" ht="18" customHeight="1" s="44">
      <c r="A446" t="inlineStr">
        <is>
          <t>C1121</t>
        </is>
      </c>
      <c r="B446" t="inlineStr">
        <is>
          <t>Percent who had GPA of 4.0</t>
        </is>
      </c>
      <c r="C446" t="n">
        <v>0.527</v>
      </c>
      <c r="D446" t="inlineStr">
        <is>
          <t>First-Time, First-Year Admission</t>
        </is>
      </c>
      <c r="E446" t="inlineStr">
        <is>
          <t>First-time, first-year Profile</t>
        </is>
      </c>
      <c r="F446" t="inlineStr">
        <is>
          <t>High School GPA</t>
        </is>
      </c>
      <c r="G446" t="inlineStr">
        <is>
          <t>Undergraduates</t>
        </is>
      </c>
      <c r="H446" s="2" t="inlineStr">
        <is>
          <t>First-time, first-year</t>
        </is>
      </c>
      <c r="I446" t="inlineStr">
        <is>
          <t>All</t>
        </is>
      </c>
      <c r="J446" t="inlineStr">
        <is>
          <t>All</t>
        </is>
      </c>
      <c r="K446" t="inlineStr">
        <is>
          <t>All</t>
        </is>
      </c>
      <c r="L446" t="inlineStr">
        <is>
          <t>Whole Number or Round to Nearest Tenths</t>
        </is>
      </c>
    </row>
    <row r="447" ht="18" customHeight="1" s="44">
      <c r="A447" t="inlineStr">
        <is>
          <t>C1122</t>
        </is>
      </c>
      <c r="B447" t="inlineStr">
        <is>
          <t>Percent who had GPA between 3.75 and 3.99</t>
        </is>
      </c>
      <c r="C447" t="n">
        <v>0.334</v>
      </c>
      <c r="D447" t="inlineStr">
        <is>
          <t>First-Time, First-Year Admission</t>
        </is>
      </c>
      <c r="E447" t="inlineStr">
        <is>
          <t>First-time, first-year Profile</t>
        </is>
      </c>
      <c r="F447" t="inlineStr">
        <is>
          <t>High School GPA</t>
        </is>
      </c>
      <c r="G447" t="inlineStr">
        <is>
          <t>Undergraduates</t>
        </is>
      </c>
      <c r="H447" s="2" t="inlineStr">
        <is>
          <t>First-time, first-year</t>
        </is>
      </c>
      <c r="I447" t="inlineStr">
        <is>
          <t>All</t>
        </is>
      </c>
      <c r="J447" t="inlineStr">
        <is>
          <t>All</t>
        </is>
      </c>
      <c r="K447" t="inlineStr">
        <is>
          <t>All</t>
        </is>
      </c>
      <c r="L447" t="inlineStr">
        <is>
          <t>Whole Number or Round to Nearest Tenths</t>
        </is>
      </c>
    </row>
    <row r="448" ht="18" customHeight="1" s="44">
      <c r="A448" t="inlineStr">
        <is>
          <t>C1123</t>
        </is>
      </c>
      <c r="B448" t="inlineStr">
        <is>
          <t>Percent who had GPA between 3.50 and 3.74</t>
        </is>
      </c>
      <c r="C448" t="n">
        <v>0.101</v>
      </c>
      <c r="D448" t="inlineStr">
        <is>
          <t>First-Time, First-Year Admission</t>
        </is>
      </c>
      <c r="E448" t="inlineStr">
        <is>
          <t>First-time, first-year Profile</t>
        </is>
      </c>
      <c r="F448" t="inlineStr">
        <is>
          <t>High School GPA</t>
        </is>
      </c>
      <c r="G448" t="inlineStr">
        <is>
          <t>Undergraduates</t>
        </is>
      </c>
      <c r="H448" s="2" t="inlineStr">
        <is>
          <t>First-time, first-year</t>
        </is>
      </c>
      <c r="I448" t="inlineStr">
        <is>
          <t>All</t>
        </is>
      </c>
      <c r="J448" t="inlineStr">
        <is>
          <t>All</t>
        </is>
      </c>
      <c r="K448" t="inlineStr">
        <is>
          <t>All</t>
        </is>
      </c>
      <c r="L448" t="inlineStr">
        <is>
          <t>Whole Number or Round to Nearest Tenths</t>
        </is>
      </c>
    </row>
    <row r="449" ht="18" customHeight="1" s="44">
      <c r="A449" t="inlineStr">
        <is>
          <t>C1124</t>
        </is>
      </c>
      <c r="B449" t="inlineStr">
        <is>
          <t>Percent who had GPA between 3.25 and 3.49</t>
        </is>
      </c>
      <c r="C449" t="n">
        <v>0.028</v>
      </c>
      <c r="D449" t="inlineStr">
        <is>
          <t>First-Time, First-Year Admission</t>
        </is>
      </c>
      <c r="E449" t="inlineStr">
        <is>
          <t>First-time, first-year Profile</t>
        </is>
      </c>
      <c r="F449" t="inlineStr">
        <is>
          <t>High School GPA</t>
        </is>
      </c>
      <c r="G449" t="inlineStr">
        <is>
          <t>Undergraduates</t>
        </is>
      </c>
      <c r="H449" s="2" t="inlineStr">
        <is>
          <t>First-time, first-year</t>
        </is>
      </c>
      <c r="I449" t="inlineStr">
        <is>
          <t>All</t>
        </is>
      </c>
      <c r="J449" t="inlineStr">
        <is>
          <t>All</t>
        </is>
      </c>
      <c r="K449" t="inlineStr">
        <is>
          <t>All</t>
        </is>
      </c>
      <c r="L449" t="inlineStr">
        <is>
          <t>Whole Number or Round to Nearest Tenths</t>
        </is>
      </c>
    </row>
    <row r="450" ht="18" customHeight="1" s="44">
      <c r="A450" t="inlineStr">
        <is>
          <t>C1125</t>
        </is>
      </c>
      <c r="B450" t="inlineStr">
        <is>
          <t>Percent who had GPA between 3.00 and 3.24</t>
        </is>
      </c>
      <c r="C450" t="n">
        <v>0.008999999999999999</v>
      </c>
      <c r="D450" t="inlineStr">
        <is>
          <t>First-Time, First-Year Admission</t>
        </is>
      </c>
      <c r="E450" t="inlineStr">
        <is>
          <t>First-time, first-year Profile</t>
        </is>
      </c>
      <c r="F450" t="inlineStr">
        <is>
          <t>High School GPA</t>
        </is>
      </c>
      <c r="G450" t="inlineStr">
        <is>
          <t>Undergraduates</t>
        </is>
      </c>
      <c r="H450" s="2" t="inlineStr">
        <is>
          <t>First-time, first-year</t>
        </is>
      </c>
      <c r="I450" t="inlineStr">
        <is>
          <t>All</t>
        </is>
      </c>
      <c r="J450" t="inlineStr">
        <is>
          <t>All</t>
        </is>
      </c>
      <c r="K450" t="inlineStr">
        <is>
          <t>All</t>
        </is>
      </c>
      <c r="L450" t="inlineStr">
        <is>
          <t>Whole Number or Round to Nearest Tenths</t>
        </is>
      </c>
    </row>
    <row r="451" ht="18" customHeight="1" s="44">
      <c r="A451" t="inlineStr">
        <is>
          <t>C1126</t>
        </is>
      </c>
      <c r="B451" s="2" t="inlineStr">
        <is>
          <t>Percent who had GPA between 2.50 and 2.99</t>
        </is>
      </c>
      <c r="C451" t="n">
        <v>0.001</v>
      </c>
      <c r="D451" t="inlineStr">
        <is>
          <t>First-Time, First-Year Admission</t>
        </is>
      </c>
      <c r="E451" t="inlineStr">
        <is>
          <t>First-time, first-year Profile</t>
        </is>
      </c>
      <c r="F451" t="inlineStr">
        <is>
          <t>High School GPA</t>
        </is>
      </c>
      <c r="G451" t="inlineStr">
        <is>
          <t>Undergraduates</t>
        </is>
      </c>
      <c r="H451" s="2" t="inlineStr">
        <is>
          <t>First-time, first-year</t>
        </is>
      </c>
      <c r="I451" t="inlineStr">
        <is>
          <t>All</t>
        </is>
      </c>
      <c r="J451" t="inlineStr">
        <is>
          <t>All</t>
        </is>
      </c>
      <c r="K451" t="inlineStr">
        <is>
          <t>All</t>
        </is>
      </c>
      <c r="L451" t="inlineStr">
        <is>
          <t>Whole Number or Round to Nearest Tenths</t>
        </is>
      </c>
    </row>
    <row r="452" ht="18" customHeight="1" s="44">
      <c r="A452" t="inlineStr">
        <is>
          <t>C1127</t>
        </is>
      </c>
      <c r="B452" t="inlineStr">
        <is>
          <t>Percent who had GPA between 2.0 and 2.49</t>
        </is>
      </c>
      <c r="C452" t="n">
        <v>0</v>
      </c>
      <c r="D452" t="inlineStr">
        <is>
          <t>First-Time, First-Year Admission</t>
        </is>
      </c>
      <c r="E452" t="inlineStr">
        <is>
          <t>First-time, first-year Profile</t>
        </is>
      </c>
      <c r="F452" t="inlineStr">
        <is>
          <t>High School GPA</t>
        </is>
      </c>
      <c r="G452" t="inlineStr">
        <is>
          <t>Undergraduates</t>
        </is>
      </c>
      <c r="H452" s="2" t="inlineStr">
        <is>
          <t>First-time, first-year</t>
        </is>
      </c>
      <c r="I452" t="inlineStr">
        <is>
          <t>All</t>
        </is>
      </c>
      <c r="J452" t="inlineStr">
        <is>
          <t>All</t>
        </is>
      </c>
      <c r="K452" t="inlineStr">
        <is>
          <t>All</t>
        </is>
      </c>
      <c r="L452" t="inlineStr">
        <is>
          <t>Whole Number or Round to Nearest Tenths</t>
        </is>
      </c>
    </row>
    <row r="453" ht="18" customHeight="1" s="44">
      <c r="A453" t="inlineStr">
        <is>
          <t>C1128</t>
        </is>
      </c>
      <c r="B453" t="inlineStr">
        <is>
          <t>Percent who had GPA between 1.0 and 1.99</t>
        </is>
      </c>
      <c r="C453" t="n">
        <v>0</v>
      </c>
      <c r="D453" t="inlineStr">
        <is>
          <t>First-Time, First-Year Admission</t>
        </is>
      </c>
      <c r="E453" t="inlineStr">
        <is>
          <t>First-time, first-year Profile</t>
        </is>
      </c>
      <c r="F453" t="inlineStr">
        <is>
          <t>High School GPA</t>
        </is>
      </c>
      <c r="G453" t="inlineStr">
        <is>
          <t>Undergraduates</t>
        </is>
      </c>
      <c r="H453" s="2" t="inlineStr">
        <is>
          <t>First-time, first-year</t>
        </is>
      </c>
      <c r="I453" t="inlineStr">
        <is>
          <t>All</t>
        </is>
      </c>
      <c r="J453" t="inlineStr">
        <is>
          <t>All</t>
        </is>
      </c>
      <c r="K453" t="inlineStr">
        <is>
          <t>All</t>
        </is>
      </c>
      <c r="L453" t="inlineStr">
        <is>
          <t>Whole Number or Round to Nearest Tenths</t>
        </is>
      </c>
    </row>
    <row r="454" ht="18" customHeight="1" s="44">
      <c r="A454" t="inlineStr">
        <is>
          <t>C1129</t>
        </is>
      </c>
      <c r="B454" t="inlineStr">
        <is>
          <t>Percent who had GPA below 1.0</t>
        </is>
      </c>
      <c r="C454" t="n">
        <v>0</v>
      </c>
      <c r="D454" t="inlineStr">
        <is>
          <t>First-Time, First-Year Admission</t>
        </is>
      </c>
      <c r="E454" t="inlineStr">
        <is>
          <t>First-time, first-year Profile</t>
        </is>
      </c>
      <c r="F454" t="inlineStr">
        <is>
          <t>High School GPA</t>
        </is>
      </c>
      <c r="G454" t="inlineStr">
        <is>
          <t>Undergraduates</t>
        </is>
      </c>
      <c r="H454" s="2" t="inlineStr">
        <is>
          <t>First-time, first-year</t>
        </is>
      </c>
      <c r="I454" t="inlineStr">
        <is>
          <t>All</t>
        </is>
      </c>
      <c r="J454" t="inlineStr">
        <is>
          <t>All</t>
        </is>
      </c>
      <c r="K454" t="inlineStr">
        <is>
          <t>All</t>
        </is>
      </c>
      <c r="L454" t="inlineStr">
        <is>
          <t>Whole Number or Round to Nearest Tenths</t>
        </is>
      </c>
    </row>
    <row r="455" ht="18" customHeight="1" s="44">
      <c r="A455" t="inlineStr">
        <is>
          <t>C1130</t>
        </is>
      </c>
      <c r="B455" t="inlineStr">
        <is>
          <t>Total</t>
        </is>
      </c>
      <c r="C455" s="40">
        <f>SUM(C446:C454)</f>
        <v/>
      </c>
      <c r="D455" t="inlineStr">
        <is>
          <t>First-Time, First-Year Admission</t>
        </is>
      </c>
      <c r="E455" t="inlineStr">
        <is>
          <t>First-time, first-year Profile</t>
        </is>
      </c>
      <c r="F455" t="inlineStr">
        <is>
          <t>High School GPA</t>
        </is>
      </c>
      <c r="G455" t="inlineStr">
        <is>
          <t>Undergraduates</t>
        </is>
      </c>
      <c r="H455" s="2" t="inlineStr">
        <is>
          <t>First-time, first-year</t>
        </is>
      </c>
      <c r="I455" t="inlineStr">
        <is>
          <t>All</t>
        </is>
      </c>
      <c r="J455" t="inlineStr">
        <is>
          <t>All</t>
        </is>
      </c>
      <c r="K455" t="inlineStr">
        <is>
          <t>All</t>
        </is>
      </c>
      <c r="L455" t="inlineStr">
        <is>
          <t>Whole Number or Round to Nearest Tenths</t>
        </is>
      </c>
    </row>
    <row r="456"/>
    <row r="457"/>
    <row r="458" ht="18" customHeight="1" s="44"/>
    <row r="459" ht="30" customHeight="1" s="44">
      <c r="A459" t="inlineStr">
        <is>
          <t>C1201</t>
        </is>
      </c>
      <c r="B459" s="2" t="inlineStr">
        <is>
          <t>Average high school GPA of all degree-seeking, first-time, first-year students who submitted GPA:</t>
        </is>
      </c>
      <c r="C459" s="39" t="n">
        <v>3.9</v>
      </c>
      <c r="D459" t="inlineStr">
        <is>
          <t>First-Time, First-Year Admission</t>
        </is>
      </c>
      <c r="E459" t="inlineStr">
        <is>
          <t>First-time, first-year Profile</t>
        </is>
      </c>
      <c r="F459" t="inlineStr">
        <is>
          <t>High School GPA</t>
        </is>
      </c>
      <c r="G459" t="inlineStr">
        <is>
          <t>Undergraduates</t>
        </is>
      </c>
      <c r="H459" s="2" t="inlineStr">
        <is>
          <t>First-time, first-year</t>
        </is>
      </c>
      <c r="I459" t="inlineStr">
        <is>
          <t>All</t>
        </is>
      </c>
      <c r="J459" t="inlineStr">
        <is>
          <t>All</t>
        </is>
      </c>
      <c r="K459" t="inlineStr">
        <is>
          <t>All</t>
        </is>
      </c>
      <c r="L459" t="inlineStr">
        <is>
          <t>Whole Number or Round to Nearest Hundredths</t>
        </is>
      </c>
    </row>
    <row r="460"/>
    <row r="461" ht="18" customHeight="1" s="44"/>
    <row r="462" ht="30" customHeight="1" s="44">
      <c r="A462" t="inlineStr">
        <is>
          <t>C1202</t>
        </is>
      </c>
      <c r="B462" s="2" t="inlineStr">
        <is>
          <t xml:space="preserve">Percent of total first-time, first-year students who submitted high school GPA:  </t>
        </is>
      </c>
      <c r="C462" s="40" t="n">
        <v>0.921</v>
      </c>
      <c r="D462" t="inlineStr">
        <is>
          <t>First-Time, First-Year Admission</t>
        </is>
      </c>
      <c r="E462" t="inlineStr">
        <is>
          <t>First-time, first-year Profile</t>
        </is>
      </c>
      <c r="F462" t="inlineStr">
        <is>
          <t>High School GPA</t>
        </is>
      </c>
      <c r="G462" t="inlineStr">
        <is>
          <t>Undergraduates</t>
        </is>
      </c>
      <c r="H462" s="2" t="inlineStr">
        <is>
          <t>First-time, first-year</t>
        </is>
      </c>
      <c r="I462" t="inlineStr">
        <is>
          <t>All</t>
        </is>
      </c>
      <c r="J462" t="inlineStr">
        <is>
          <t>All</t>
        </is>
      </c>
      <c r="K462" t="inlineStr">
        <is>
          <t>All</t>
        </is>
      </c>
      <c r="L462" t="inlineStr">
        <is>
          <t>Whole Number or Round to Nearest Tenths</t>
        </is>
      </c>
    </row>
    <row r="463"/>
    <row r="464"/>
    <row r="465"/>
    <row r="466"/>
    <row r="467"/>
    <row r="468"/>
    <row r="469"/>
    <row r="470"/>
    <row r="471"/>
    <row r="472" ht="18" customHeight="1" s="44"/>
    <row r="473" ht="18" customHeight="1" s="44">
      <c r="A473" t="inlineStr">
        <is>
          <t>C1301</t>
        </is>
      </c>
      <c r="B473" t="inlineStr">
        <is>
          <t>Does your institution have an application fee?</t>
        </is>
      </c>
      <c r="C473" t="inlineStr">
        <is>
          <t>Y</t>
        </is>
      </c>
      <c r="D473" t="inlineStr">
        <is>
          <t>First-Time, First-Year Admission</t>
        </is>
      </c>
      <c r="E473" t="inlineStr">
        <is>
          <t>Admission Policies</t>
        </is>
      </c>
      <c r="F473" t="inlineStr">
        <is>
          <t>Application Fee</t>
        </is>
      </c>
      <c r="G473" t="inlineStr">
        <is>
          <t>Undergraduates</t>
        </is>
      </c>
      <c r="H473" s="2" t="inlineStr">
        <is>
          <t>First-time, first-year</t>
        </is>
      </c>
      <c r="I473" t="inlineStr">
        <is>
          <t>All</t>
        </is>
      </c>
      <c r="J473" t="inlineStr">
        <is>
          <t>All</t>
        </is>
      </c>
      <c r="K473" t="inlineStr">
        <is>
          <t>All</t>
        </is>
      </c>
      <c r="L473" t="inlineStr">
        <is>
          <t>YN</t>
        </is>
      </c>
    </row>
    <row r="474"/>
    <row r="475" ht="18" customHeight="1" s="44"/>
    <row r="476" ht="18" customHeight="1" s="44">
      <c r="A476" t="inlineStr">
        <is>
          <t>C1302</t>
        </is>
      </c>
      <c r="B476" t="inlineStr">
        <is>
          <t>Amount of application fee:</t>
        </is>
      </c>
      <c r="C476" s="52" t="n">
        <v>70</v>
      </c>
      <c r="D476" t="inlineStr">
        <is>
          <t>First-Time, First-Year Admission</t>
        </is>
      </c>
      <c r="E476" t="inlineStr">
        <is>
          <t>Admission Policies</t>
        </is>
      </c>
      <c r="F476" t="inlineStr">
        <is>
          <t>Application Fee</t>
        </is>
      </c>
      <c r="G476" t="inlineStr">
        <is>
          <t>Undergraduates</t>
        </is>
      </c>
      <c r="H476" s="2" t="inlineStr">
        <is>
          <t>First-time, first-year</t>
        </is>
      </c>
      <c r="I476" t="inlineStr">
        <is>
          <t>All</t>
        </is>
      </c>
      <c r="J476" t="inlineStr">
        <is>
          <t>All</t>
        </is>
      </c>
      <c r="K476" t="inlineStr">
        <is>
          <t>All</t>
        </is>
      </c>
      <c r="L476" t="inlineStr">
        <is>
          <t>Number</t>
        </is>
      </c>
    </row>
    <row r="477"/>
    <row r="478" ht="18" customHeight="1" s="44"/>
    <row r="479" ht="18" customHeight="1" s="44">
      <c r="A479" t="inlineStr">
        <is>
          <t>C1303</t>
        </is>
      </c>
      <c r="B479" t="inlineStr">
        <is>
          <t>Can it be waived for applicants with financial need?</t>
        </is>
      </c>
      <c r="C479" t="inlineStr">
        <is>
          <t>Y</t>
        </is>
      </c>
      <c r="D479" t="inlineStr">
        <is>
          <t>First-Time, First-Year Admission</t>
        </is>
      </c>
      <c r="E479" t="inlineStr">
        <is>
          <t>Admission Policies</t>
        </is>
      </c>
      <c r="F479" t="inlineStr">
        <is>
          <t>Application Fee</t>
        </is>
      </c>
      <c r="G479" t="inlineStr">
        <is>
          <t>Undergraduates</t>
        </is>
      </c>
      <c r="H479" s="2" t="inlineStr">
        <is>
          <t>First-time, first-year</t>
        </is>
      </c>
      <c r="I479" t="inlineStr">
        <is>
          <t>All</t>
        </is>
      </c>
      <c r="J479" t="inlineStr">
        <is>
          <t>All</t>
        </is>
      </c>
      <c r="K479" t="inlineStr">
        <is>
          <t>All</t>
        </is>
      </c>
      <c r="L479" t="inlineStr">
        <is>
          <t>YN</t>
        </is>
      </c>
    </row>
    <row r="480"/>
    <row r="481" ht="18" customHeight="1" s="44">
      <c r="B481" s="2" t="n"/>
    </row>
    <row r="482">
      <c r="B482" s="2" t="n"/>
    </row>
    <row r="483">
      <c r="B483" s="2" t="n"/>
    </row>
    <row r="484" ht="18" customHeight="1" s="44">
      <c r="A484" t="inlineStr">
        <is>
          <t>C1304</t>
        </is>
      </c>
      <c r="B484" s="3" t="inlineStr">
        <is>
          <t>Same fee</t>
        </is>
      </c>
      <c r="C484" t="inlineStr">
        <is>
          <t>x</t>
        </is>
      </c>
      <c r="D484" t="inlineStr">
        <is>
          <t>First-Time, First-Year Admission</t>
        </is>
      </c>
      <c r="E484" t="inlineStr">
        <is>
          <t>Admission Policies</t>
        </is>
      </c>
      <c r="F484" t="inlineStr">
        <is>
          <t>Application Fee</t>
        </is>
      </c>
      <c r="G484" t="inlineStr">
        <is>
          <t>Undergraduates</t>
        </is>
      </c>
      <c r="H484" s="2" t="inlineStr">
        <is>
          <t>First-time, first-year</t>
        </is>
      </c>
      <c r="I484" t="inlineStr">
        <is>
          <t>All</t>
        </is>
      </c>
      <c r="J484" t="inlineStr">
        <is>
          <t>All</t>
        </is>
      </c>
      <c r="K484" t="inlineStr">
        <is>
          <t>All</t>
        </is>
      </c>
      <c r="L484" t="inlineStr">
        <is>
          <t>x</t>
        </is>
      </c>
    </row>
    <row r="485" ht="18" customHeight="1" s="44">
      <c r="A485" t="inlineStr">
        <is>
          <t>C1305</t>
        </is>
      </c>
      <c r="B485" s="3" t="inlineStr">
        <is>
          <t>Free</t>
        </is>
      </c>
      <c r="D485" t="inlineStr">
        <is>
          <t>First-Time, First-Year Admission</t>
        </is>
      </c>
      <c r="E485" t="inlineStr">
        <is>
          <t>Admission Policies</t>
        </is>
      </c>
      <c r="F485" t="inlineStr">
        <is>
          <t>Application Fee</t>
        </is>
      </c>
      <c r="G485" t="inlineStr">
        <is>
          <t>Undergraduates</t>
        </is>
      </c>
      <c r="H485" s="2" t="inlineStr">
        <is>
          <t>First-time, first-year</t>
        </is>
      </c>
      <c r="I485" t="inlineStr">
        <is>
          <t>All</t>
        </is>
      </c>
      <c r="J485" t="inlineStr">
        <is>
          <t>All</t>
        </is>
      </c>
      <c r="K485" t="inlineStr">
        <is>
          <t>All</t>
        </is>
      </c>
      <c r="L485" t="inlineStr">
        <is>
          <t>x</t>
        </is>
      </c>
    </row>
    <row r="486" ht="18" customHeight="1" s="44">
      <c r="A486" t="inlineStr">
        <is>
          <t>C1306</t>
        </is>
      </c>
      <c r="B486" s="3" t="inlineStr">
        <is>
          <t>Reduced</t>
        </is>
      </c>
      <c r="D486" t="inlineStr">
        <is>
          <t>First-Time, First-Year Admission</t>
        </is>
      </c>
      <c r="E486" t="inlineStr">
        <is>
          <t>Admission Policies</t>
        </is>
      </c>
      <c r="F486" t="inlineStr">
        <is>
          <t>Application Fee</t>
        </is>
      </c>
      <c r="G486" t="inlineStr">
        <is>
          <t>Undergraduates</t>
        </is>
      </c>
      <c r="H486" s="2" t="inlineStr">
        <is>
          <t>First-time, first-year</t>
        </is>
      </c>
      <c r="I486" t="inlineStr">
        <is>
          <t>All</t>
        </is>
      </c>
      <c r="J486" t="inlineStr">
        <is>
          <t>All</t>
        </is>
      </c>
      <c r="K486" t="inlineStr">
        <is>
          <t>All</t>
        </is>
      </c>
      <c r="L486" t="inlineStr">
        <is>
          <t>x</t>
        </is>
      </c>
    </row>
    <row r="487"/>
    <row r="488" ht="18" customHeight="1" s="44"/>
    <row r="489" ht="30" customHeight="1" s="44">
      <c r="A489" t="inlineStr">
        <is>
          <t>C1306</t>
        </is>
      </c>
      <c r="B489" s="2" t="inlineStr">
        <is>
          <t>Can on-line application fee be waived for applicants with financial need?</t>
        </is>
      </c>
      <c r="C489" t="inlineStr">
        <is>
          <t>Y</t>
        </is>
      </c>
      <c r="D489" t="inlineStr">
        <is>
          <t>First-Time, First-Year Admission</t>
        </is>
      </c>
      <c r="E489" t="inlineStr">
        <is>
          <t>Admission Policies</t>
        </is>
      </c>
      <c r="F489" t="inlineStr">
        <is>
          <t>Application Fee</t>
        </is>
      </c>
      <c r="G489" t="inlineStr">
        <is>
          <t>Undergraduates</t>
        </is>
      </c>
      <c r="H489" s="2" t="inlineStr">
        <is>
          <t>First-time, first-year</t>
        </is>
      </c>
      <c r="I489" t="inlineStr">
        <is>
          <t>All</t>
        </is>
      </c>
      <c r="J489" t="inlineStr">
        <is>
          <t>All</t>
        </is>
      </c>
      <c r="K489" t="inlineStr">
        <is>
          <t>All</t>
        </is>
      </c>
      <c r="L489" t="inlineStr">
        <is>
          <t>YN</t>
        </is>
      </c>
    </row>
    <row r="490"/>
    <row r="491"/>
    <row r="492"/>
    <row r="493"/>
    <row r="494" ht="18" customHeight="1" s="44"/>
    <row r="495" ht="18" customHeight="1" s="44">
      <c r="A495" t="inlineStr">
        <is>
          <t>C1401</t>
        </is>
      </c>
      <c r="B495" t="inlineStr">
        <is>
          <t>Does your institution have an application closing date?</t>
        </is>
      </c>
      <c r="C495" t="inlineStr">
        <is>
          <t>Y</t>
        </is>
      </c>
      <c r="D495" t="inlineStr">
        <is>
          <t>First-Time, First-Year Admission</t>
        </is>
      </c>
      <c r="E495" t="inlineStr">
        <is>
          <t>Admission Policies</t>
        </is>
      </c>
      <c r="F495" t="inlineStr">
        <is>
          <t>Application Dates</t>
        </is>
      </c>
      <c r="G495" t="inlineStr">
        <is>
          <t>Undergraduates</t>
        </is>
      </c>
      <c r="H495" s="2" t="inlineStr">
        <is>
          <t>First-time, first-year</t>
        </is>
      </c>
      <c r="I495" t="inlineStr">
        <is>
          <t>All</t>
        </is>
      </c>
      <c r="J495" t="inlineStr">
        <is>
          <t>All</t>
        </is>
      </c>
      <c r="K495" t="inlineStr">
        <is>
          <t>All</t>
        </is>
      </c>
      <c r="L495" t="inlineStr">
        <is>
          <t>YN</t>
        </is>
      </c>
    </row>
    <row r="496"/>
    <row r="497" ht="18" customHeight="1" s="44"/>
    <row r="498" ht="18" customHeight="1" s="44">
      <c r="A498" t="inlineStr">
        <is>
          <t>C1402</t>
        </is>
      </c>
      <c r="B498" s="3" t="inlineStr">
        <is>
          <t>Application closing date (fall)</t>
        </is>
      </c>
      <c r="C498" s="46" t="n">
        <v>46037</v>
      </c>
      <c r="D498" t="inlineStr">
        <is>
          <t>First-Time, First-Year Admission</t>
        </is>
      </c>
      <c r="E498" t="inlineStr">
        <is>
          <t>Admission Policies</t>
        </is>
      </c>
      <c r="F498" t="inlineStr">
        <is>
          <t>Application Dates</t>
        </is>
      </c>
      <c r="G498" t="inlineStr">
        <is>
          <t>Undergraduates</t>
        </is>
      </c>
      <c r="H498" s="2" t="inlineStr">
        <is>
          <t>First-time, first-year</t>
        </is>
      </c>
      <c r="I498" t="inlineStr">
        <is>
          <t>All</t>
        </is>
      </c>
      <c r="J498" t="inlineStr">
        <is>
          <t>All</t>
        </is>
      </c>
      <c r="K498" t="inlineStr">
        <is>
          <t>All</t>
        </is>
      </c>
      <c r="L498" t="inlineStr">
        <is>
          <t>YN</t>
        </is>
      </c>
    </row>
    <row r="499" ht="18" customHeight="1" s="44">
      <c r="A499" t="inlineStr">
        <is>
          <t>C1403</t>
        </is>
      </c>
      <c r="B499" s="3" t="inlineStr">
        <is>
          <t>Priority Date</t>
        </is>
      </c>
      <c r="C499" s="46" t="n">
        <v>45962</v>
      </c>
      <c r="D499" t="inlineStr">
        <is>
          <t>First-Time, First-Year Admission</t>
        </is>
      </c>
      <c r="E499" t="inlineStr">
        <is>
          <t>Admission Policies</t>
        </is>
      </c>
      <c r="F499" t="inlineStr">
        <is>
          <t>Application Dates</t>
        </is>
      </c>
      <c r="G499" t="inlineStr">
        <is>
          <t>Undergraduates</t>
        </is>
      </c>
      <c r="H499" s="2" t="inlineStr">
        <is>
          <t>First-time, first-year</t>
        </is>
      </c>
      <c r="I499" t="inlineStr">
        <is>
          <t>All</t>
        </is>
      </c>
      <c r="J499" t="inlineStr">
        <is>
          <t>All</t>
        </is>
      </c>
      <c r="K499" t="inlineStr">
        <is>
          <t>All</t>
        </is>
      </c>
      <c r="L499" t="inlineStr">
        <is>
          <t>YN</t>
        </is>
      </c>
    </row>
    <row r="500"/>
    <row r="501" ht="18" customHeight="1" s="44"/>
    <row r="502" ht="18" customHeight="1" s="44"/>
    <row r="503" ht="30" customHeight="1" s="44">
      <c r="A503" t="inlineStr">
        <is>
          <t>C1501</t>
        </is>
      </c>
      <c r="B503" s="2" t="inlineStr">
        <is>
          <t>Are first-time, first-year students accepted for terms other than the fall?</t>
        </is>
      </c>
      <c r="C503" t="inlineStr">
        <is>
          <t>Y</t>
        </is>
      </c>
      <c r="D503" t="inlineStr">
        <is>
          <t>First-Time, First-Year Admission</t>
        </is>
      </c>
      <c r="E503" t="inlineStr">
        <is>
          <t>Admission Policies</t>
        </is>
      </c>
      <c r="F503" t="inlineStr">
        <is>
          <t>Application Dates</t>
        </is>
      </c>
      <c r="G503" t="inlineStr">
        <is>
          <t>Undergraduates</t>
        </is>
      </c>
      <c r="H503" s="2" t="inlineStr">
        <is>
          <t>First-time, first-year</t>
        </is>
      </c>
      <c r="I503" t="inlineStr">
        <is>
          <t>All</t>
        </is>
      </c>
      <c r="J503" t="inlineStr">
        <is>
          <t>All</t>
        </is>
      </c>
      <c r="K503" t="inlineStr">
        <is>
          <t>All</t>
        </is>
      </c>
      <c r="L503" t="inlineStr">
        <is>
          <t>YN</t>
        </is>
      </c>
    </row>
    <row r="504">
      <c r="B504" s="2" t="n"/>
    </row>
    <row r="505" ht="18" customHeight="1" s="44"/>
    <row r="506"/>
    <row r="507" ht="18" customHeight="1" s="44">
      <c r="A507" t="inlineStr">
        <is>
          <t>C1601</t>
        </is>
      </c>
      <c r="B507" s="4" t="inlineStr">
        <is>
          <t xml:space="preserve">Yes, on a rolling basis:  </t>
        </is>
      </c>
      <c r="D507" t="inlineStr">
        <is>
          <t>First-Time, First-Year Admission</t>
        </is>
      </c>
      <c r="E507" t="inlineStr">
        <is>
          <t>Admission Policies</t>
        </is>
      </c>
      <c r="F507" t="inlineStr">
        <is>
          <t>Application Dates</t>
        </is>
      </c>
      <c r="G507" t="inlineStr">
        <is>
          <t>Undergraduates</t>
        </is>
      </c>
      <c r="H507" s="2" t="inlineStr">
        <is>
          <t>First-time, first-year</t>
        </is>
      </c>
      <c r="I507" t="inlineStr">
        <is>
          <t>All</t>
        </is>
      </c>
      <c r="J507" t="inlineStr">
        <is>
          <t>All</t>
        </is>
      </c>
      <c r="K507" t="inlineStr">
        <is>
          <t>All</t>
        </is>
      </c>
      <c r="L507" t="inlineStr">
        <is>
          <t>x</t>
        </is>
      </c>
    </row>
    <row r="508" ht="18" customHeight="1" s="44">
      <c r="A508" t="inlineStr">
        <is>
          <t>C1602</t>
        </is>
      </c>
      <c r="B508" s="3" t="inlineStr">
        <is>
          <t>Beginning date</t>
        </is>
      </c>
      <c r="D508" t="inlineStr">
        <is>
          <t>First-Time, First-Year Admission</t>
        </is>
      </c>
      <c r="E508" t="inlineStr">
        <is>
          <t>Admission Policies</t>
        </is>
      </c>
      <c r="F508" t="inlineStr">
        <is>
          <t>Application Dates</t>
        </is>
      </c>
      <c r="G508" t="inlineStr">
        <is>
          <t>Undergraduates</t>
        </is>
      </c>
      <c r="H508" s="2" t="inlineStr">
        <is>
          <t>First-time, first-year</t>
        </is>
      </c>
      <c r="I508" t="inlineStr">
        <is>
          <t>All</t>
        </is>
      </c>
      <c r="J508" t="inlineStr">
        <is>
          <t>All</t>
        </is>
      </c>
      <c r="K508" t="inlineStr">
        <is>
          <t>All</t>
        </is>
      </c>
      <c r="L508" t="inlineStr">
        <is>
          <t>MM-DD</t>
        </is>
      </c>
    </row>
    <row r="509" ht="18" customHeight="1" s="44">
      <c r="A509" t="inlineStr">
        <is>
          <t>C1603</t>
        </is>
      </c>
      <c r="B509" s="4" t="inlineStr">
        <is>
          <t xml:space="preserve">Yes, by:  </t>
        </is>
      </c>
      <c r="D509" t="inlineStr">
        <is>
          <t>First-Time, First-Year Admission</t>
        </is>
      </c>
      <c r="E509" t="inlineStr">
        <is>
          <t>Admission Policies</t>
        </is>
      </c>
      <c r="F509" t="inlineStr">
        <is>
          <t>Application Dates</t>
        </is>
      </c>
      <c r="G509" t="inlineStr">
        <is>
          <t>Undergraduates</t>
        </is>
      </c>
      <c r="H509" s="2" t="inlineStr">
        <is>
          <t>First-time, first-year</t>
        </is>
      </c>
      <c r="I509" t="inlineStr">
        <is>
          <t>All</t>
        </is>
      </c>
      <c r="J509" t="inlineStr">
        <is>
          <t>All</t>
        </is>
      </c>
      <c r="K509" t="inlineStr">
        <is>
          <t>All</t>
        </is>
      </c>
      <c r="L509" t="inlineStr">
        <is>
          <t>x</t>
        </is>
      </c>
    </row>
    <row r="510" ht="18" customHeight="1" s="44">
      <c r="A510" t="inlineStr">
        <is>
          <t>C1604</t>
        </is>
      </c>
      <c r="B510" s="3" t="inlineStr">
        <is>
          <t>Date</t>
        </is>
      </c>
      <c r="C510" s="46" t="n">
        <v>46112</v>
      </c>
      <c r="D510" t="inlineStr">
        <is>
          <t>First-Time, First-Year Admission</t>
        </is>
      </c>
      <c r="E510" t="inlineStr">
        <is>
          <t>Admission Policies</t>
        </is>
      </c>
      <c r="F510" t="inlineStr">
        <is>
          <t>Application Dates</t>
        </is>
      </c>
      <c r="G510" t="inlineStr">
        <is>
          <t>Undergraduates</t>
        </is>
      </c>
      <c r="H510" s="2" t="inlineStr">
        <is>
          <t>First-time, first-year</t>
        </is>
      </c>
      <c r="I510" t="inlineStr">
        <is>
          <t>All</t>
        </is>
      </c>
      <c r="J510" t="inlineStr">
        <is>
          <t>All</t>
        </is>
      </c>
      <c r="K510" t="inlineStr">
        <is>
          <t>All</t>
        </is>
      </c>
      <c r="L510" t="inlineStr">
        <is>
          <t>MM-DD</t>
        </is>
      </c>
    </row>
    <row r="511" ht="18" customHeight="1" s="44">
      <c r="A511" t="inlineStr">
        <is>
          <t>C1605</t>
        </is>
      </c>
      <c r="B511" s="4" t="inlineStr">
        <is>
          <t xml:space="preserve">Yes, other:  </t>
        </is>
      </c>
      <c r="D511" t="inlineStr">
        <is>
          <t>First-Time, First-Year Admission</t>
        </is>
      </c>
      <c r="E511" t="inlineStr">
        <is>
          <t>Admission Policies</t>
        </is>
      </c>
      <c r="F511" t="inlineStr">
        <is>
          <t>Application Dates</t>
        </is>
      </c>
      <c r="G511" t="inlineStr">
        <is>
          <t>Undergraduates</t>
        </is>
      </c>
      <c r="H511" s="2" t="inlineStr">
        <is>
          <t>First-time, first-year</t>
        </is>
      </c>
      <c r="I511" t="inlineStr">
        <is>
          <t>All</t>
        </is>
      </c>
      <c r="J511" t="inlineStr">
        <is>
          <t>All</t>
        </is>
      </c>
      <c r="K511" t="inlineStr">
        <is>
          <t>All</t>
        </is>
      </c>
      <c r="L511" t="inlineStr">
        <is>
          <t>x</t>
        </is>
      </c>
    </row>
    <row r="512" ht="18" customHeight="1" s="44">
      <c r="A512" t="inlineStr">
        <is>
          <t>C1606</t>
        </is>
      </c>
      <c r="B512" s="3" t="inlineStr">
        <is>
          <t>Other Date</t>
        </is>
      </c>
      <c r="D512" t="inlineStr">
        <is>
          <t>First-Time, First-Year Admission</t>
        </is>
      </c>
      <c r="E512" t="inlineStr">
        <is>
          <t>Admission Policies</t>
        </is>
      </c>
      <c r="F512" t="inlineStr">
        <is>
          <t>Application Dates</t>
        </is>
      </c>
      <c r="G512" t="inlineStr">
        <is>
          <t>Undergraduates</t>
        </is>
      </c>
      <c r="H512" s="2" t="inlineStr">
        <is>
          <t>First-time, first-year</t>
        </is>
      </c>
      <c r="I512" t="inlineStr">
        <is>
          <t>All</t>
        </is>
      </c>
      <c r="J512" t="inlineStr">
        <is>
          <t>All</t>
        </is>
      </c>
      <c r="K512" t="inlineStr">
        <is>
          <t>All</t>
        </is>
      </c>
      <c r="L512" t="inlineStr">
        <is>
          <t>MM-DD</t>
        </is>
      </c>
    </row>
    <row r="513">
      <c r="B513" s="3" t="n"/>
    </row>
    <row r="514" ht="18" customHeight="1" s="44"/>
    <row r="515" ht="18" customHeight="1" s="44"/>
    <row r="516" ht="18" customHeight="1" s="44">
      <c r="B516" s="4" t="inlineStr">
        <is>
          <t>Must reply by:</t>
        </is>
      </c>
    </row>
    <row r="517" ht="18" customHeight="1" s="44">
      <c r="A517" t="inlineStr">
        <is>
          <t>C1701</t>
        </is>
      </c>
      <c r="B517" s="3" t="inlineStr">
        <is>
          <t>Date</t>
        </is>
      </c>
      <c r="C517" s="46" t="n">
        <v>46143</v>
      </c>
      <c r="D517" t="inlineStr">
        <is>
          <t>First-Time, First-Year Admission</t>
        </is>
      </c>
      <c r="E517" t="inlineStr">
        <is>
          <t>Admission Policies</t>
        </is>
      </c>
      <c r="F517" t="inlineStr">
        <is>
          <t>Reply Policy</t>
        </is>
      </c>
      <c r="G517" t="inlineStr">
        <is>
          <t>Undergraduates</t>
        </is>
      </c>
      <c r="H517" s="2" t="inlineStr">
        <is>
          <t>First-time, first-year</t>
        </is>
      </c>
      <c r="I517" t="inlineStr">
        <is>
          <t>All</t>
        </is>
      </c>
      <c r="J517" t="inlineStr">
        <is>
          <t>All</t>
        </is>
      </c>
      <c r="K517" t="inlineStr">
        <is>
          <t>All</t>
        </is>
      </c>
      <c r="L517" t="inlineStr">
        <is>
          <t>MM-DD</t>
        </is>
      </c>
    </row>
    <row r="518" ht="18" customHeight="1" s="44">
      <c r="A518" t="inlineStr">
        <is>
          <t>C1702</t>
        </is>
      </c>
      <c r="B518" s="4" t="inlineStr">
        <is>
          <t>No set Date</t>
        </is>
      </c>
      <c r="D518" t="inlineStr">
        <is>
          <t>First-Time, First-Year Admission</t>
        </is>
      </c>
      <c r="E518" t="inlineStr">
        <is>
          <t>Admission Policies</t>
        </is>
      </c>
      <c r="F518" t="inlineStr">
        <is>
          <t>Reply Policy</t>
        </is>
      </c>
      <c r="G518" t="inlineStr">
        <is>
          <t>Undergraduates</t>
        </is>
      </c>
      <c r="H518" s="2" t="inlineStr">
        <is>
          <t>First-time, first-year</t>
        </is>
      </c>
      <c r="I518" t="inlineStr">
        <is>
          <t>All</t>
        </is>
      </c>
      <c r="J518" t="inlineStr">
        <is>
          <t>All</t>
        </is>
      </c>
      <c r="K518" t="inlineStr">
        <is>
          <t>All</t>
        </is>
      </c>
      <c r="L518" t="inlineStr">
        <is>
          <t>x</t>
        </is>
      </c>
    </row>
    <row r="519" ht="18" customHeight="1" s="44">
      <c r="B519" s="4" t="n"/>
      <c r="H519" s="2" t="n"/>
    </row>
    <row r="520" ht="18" customHeight="1" s="44">
      <c r="A520" t="inlineStr">
        <is>
          <t>C1703</t>
        </is>
      </c>
      <c r="B520" s="4" t="inlineStr">
        <is>
          <t>Must reply by May 1st or within____weeks if notified after</t>
        </is>
      </c>
      <c r="C520" t="inlineStr">
        <is>
          <t>10 days</t>
        </is>
      </c>
      <c r="D520" t="inlineStr">
        <is>
          <t>First-Time, First-Year Admission</t>
        </is>
      </c>
      <c r="E520" t="inlineStr">
        <is>
          <t>Admission Policies</t>
        </is>
      </c>
      <c r="F520" t="inlineStr">
        <is>
          <t>Reply Policy</t>
        </is>
      </c>
      <c r="G520" t="inlineStr">
        <is>
          <t>Undergraduates</t>
        </is>
      </c>
      <c r="H520" s="2" t="inlineStr">
        <is>
          <t>First-time, first-year</t>
        </is>
      </c>
      <c r="I520" t="inlineStr">
        <is>
          <t>All</t>
        </is>
      </c>
      <c r="J520" t="inlineStr">
        <is>
          <t>All</t>
        </is>
      </c>
      <c r="K520" t="inlineStr">
        <is>
          <t>All</t>
        </is>
      </c>
      <c r="L520" t="inlineStr">
        <is>
          <t>Number</t>
        </is>
      </c>
    </row>
    <row r="521" ht="18" customHeight="1" s="44">
      <c r="A521" t="inlineStr">
        <is>
          <t>C1704</t>
        </is>
      </c>
      <c r="B521" s="4" t="inlineStr">
        <is>
          <t>Other</t>
        </is>
      </c>
      <c r="D521" t="inlineStr">
        <is>
          <t>First-Time, First-Year Admission</t>
        </is>
      </c>
      <c r="E521" t="inlineStr">
        <is>
          <t>Admission Policies</t>
        </is>
      </c>
      <c r="F521" t="inlineStr">
        <is>
          <t>Reply Policy</t>
        </is>
      </c>
      <c r="G521" t="inlineStr">
        <is>
          <t>Undergraduates</t>
        </is>
      </c>
      <c r="H521" s="2" t="inlineStr">
        <is>
          <t>First-time, first-year</t>
        </is>
      </c>
      <c r="I521" t="inlineStr">
        <is>
          <t>All</t>
        </is>
      </c>
      <c r="J521" t="inlineStr">
        <is>
          <t>All</t>
        </is>
      </c>
      <c r="K521" t="inlineStr">
        <is>
          <t>All</t>
        </is>
      </c>
      <c r="L521" t="inlineStr">
        <is>
          <t>x</t>
        </is>
      </c>
    </row>
    <row r="522" ht="18" customHeight="1" s="44">
      <c r="A522" t="inlineStr">
        <is>
          <t>C1705</t>
        </is>
      </c>
      <c r="B522" s="3" t="inlineStr">
        <is>
          <t>Other Date</t>
        </is>
      </c>
      <c r="D522" t="inlineStr">
        <is>
          <t>First-Time, First-Year Admission</t>
        </is>
      </c>
      <c r="E522" t="inlineStr">
        <is>
          <t>Admission Policies</t>
        </is>
      </c>
      <c r="F522" t="inlineStr">
        <is>
          <t>Reply Policy</t>
        </is>
      </c>
      <c r="G522" t="inlineStr">
        <is>
          <t>Undergraduates</t>
        </is>
      </c>
      <c r="H522" s="2" t="inlineStr">
        <is>
          <t>First-time, first-year</t>
        </is>
      </c>
      <c r="I522" t="inlineStr">
        <is>
          <t>All</t>
        </is>
      </c>
      <c r="J522" t="inlineStr">
        <is>
          <t>All</t>
        </is>
      </c>
      <c r="K522" t="inlineStr">
        <is>
          <t>All</t>
        </is>
      </c>
      <c r="L522" t="inlineStr">
        <is>
          <t>MM-DD</t>
        </is>
      </c>
    </row>
    <row r="523"/>
    <row r="524" ht="18" customHeight="1" s="44">
      <c r="A524" t="inlineStr">
        <is>
          <t>C1706</t>
        </is>
      </c>
      <c r="B524" t="inlineStr">
        <is>
          <t xml:space="preserve">Deadline for housing deposit (MMDD): </t>
        </is>
      </c>
      <c r="C524" s="50" t="inlineStr">
        <is>
          <t>aM</t>
        </is>
      </c>
      <c r="D524" t="inlineStr">
        <is>
          <t>First-Time, First-Year Admission</t>
        </is>
      </c>
      <c r="E524" t="inlineStr">
        <is>
          <t>Admission Policies</t>
        </is>
      </c>
      <c r="F524" t="inlineStr">
        <is>
          <t>Housing Deposit</t>
        </is>
      </c>
      <c r="G524" t="inlineStr">
        <is>
          <t>Undergraduates</t>
        </is>
      </c>
      <c r="H524" s="2" t="inlineStr">
        <is>
          <t>First-time, first-year</t>
        </is>
      </c>
      <c r="I524" t="inlineStr">
        <is>
          <t>All</t>
        </is>
      </c>
      <c r="J524" t="inlineStr">
        <is>
          <t>All</t>
        </is>
      </c>
      <c r="K524" t="inlineStr">
        <is>
          <t>All</t>
        </is>
      </c>
      <c r="L524" t="inlineStr">
        <is>
          <t>MM-DD</t>
        </is>
      </c>
    </row>
    <row r="525" ht="18" customHeight="1" s="44">
      <c r="H525" s="2" t="n"/>
    </row>
    <row r="526" ht="18" customHeight="1" s="44">
      <c r="A526" t="inlineStr">
        <is>
          <t>C1707</t>
        </is>
      </c>
      <c r="B526" t="inlineStr">
        <is>
          <t>Amount of housing deposit:</t>
        </is>
      </c>
      <c r="C526" s="53" t="n">
        <v>300</v>
      </c>
      <c r="D526" t="inlineStr">
        <is>
          <t>First-Time, First-Year Admission</t>
        </is>
      </c>
      <c r="E526" t="inlineStr">
        <is>
          <t>Admission Policies</t>
        </is>
      </c>
      <c r="F526" t="inlineStr">
        <is>
          <t>Housing Deposit</t>
        </is>
      </c>
      <c r="G526" t="inlineStr">
        <is>
          <t>Undergraduates</t>
        </is>
      </c>
      <c r="H526" s="2" t="inlineStr">
        <is>
          <t>First-time, first-year</t>
        </is>
      </c>
      <c r="I526" t="inlineStr">
        <is>
          <t>All</t>
        </is>
      </c>
      <c r="J526" t="inlineStr">
        <is>
          <t>All</t>
        </is>
      </c>
      <c r="K526" t="inlineStr">
        <is>
          <t>All</t>
        </is>
      </c>
      <c r="L526" t="inlineStr">
        <is>
          <t>Number</t>
        </is>
      </c>
    </row>
    <row r="527"/>
    <row r="528"/>
    <row r="529" ht="18" customHeight="1" s="44"/>
    <row r="530" ht="18" customHeight="1" s="44">
      <c r="A530" t="inlineStr">
        <is>
          <t>C1708</t>
        </is>
      </c>
      <c r="B530" t="inlineStr">
        <is>
          <t>Yes, in full</t>
        </is>
      </c>
      <c r="D530" t="inlineStr">
        <is>
          <t>First-Time, First-Year Admission</t>
        </is>
      </c>
      <c r="E530" t="inlineStr">
        <is>
          <t>Admission Policies</t>
        </is>
      </c>
      <c r="F530" t="inlineStr">
        <is>
          <t>Housing Deposit</t>
        </is>
      </c>
      <c r="G530" t="inlineStr">
        <is>
          <t>Undergraduates</t>
        </is>
      </c>
      <c r="H530" s="2" t="inlineStr">
        <is>
          <t>First-time, first-year</t>
        </is>
      </c>
      <c r="I530" t="inlineStr">
        <is>
          <t>All</t>
        </is>
      </c>
      <c r="J530" t="inlineStr">
        <is>
          <t>All</t>
        </is>
      </c>
      <c r="K530" t="inlineStr">
        <is>
          <t>All</t>
        </is>
      </c>
      <c r="L530" t="inlineStr">
        <is>
          <t>x</t>
        </is>
      </c>
    </row>
    <row r="531" ht="18" customHeight="1" s="44">
      <c r="A531" t="inlineStr">
        <is>
          <t>C1709</t>
        </is>
      </c>
      <c r="B531" t="inlineStr">
        <is>
          <t>Yes, in part</t>
        </is>
      </c>
      <c r="C531" t="inlineStr">
        <is>
          <t>x</t>
        </is>
      </c>
      <c r="D531" t="inlineStr">
        <is>
          <t>First-Time, First-Year Admission</t>
        </is>
      </c>
      <c r="E531" t="inlineStr">
        <is>
          <t>Admission Policies</t>
        </is>
      </c>
      <c r="F531" t="inlineStr">
        <is>
          <t>Housing Deposit</t>
        </is>
      </c>
      <c r="G531" t="inlineStr">
        <is>
          <t>Undergraduates</t>
        </is>
      </c>
      <c r="H531" s="2" t="inlineStr">
        <is>
          <t>First-time, first-year</t>
        </is>
      </c>
      <c r="I531" t="inlineStr">
        <is>
          <t>All</t>
        </is>
      </c>
      <c r="J531" t="inlineStr">
        <is>
          <t>All</t>
        </is>
      </c>
      <c r="K531" t="inlineStr">
        <is>
          <t>All</t>
        </is>
      </c>
      <c r="L531" t="inlineStr">
        <is>
          <t>x</t>
        </is>
      </c>
    </row>
    <row r="532" ht="18" customHeight="1" s="44">
      <c r="A532" t="inlineStr">
        <is>
          <t>C1710</t>
        </is>
      </c>
      <c r="B532" t="inlineStr">
        <is>
          <t>No</t>
        </is>
      </c>
      <c r="D532" t="inlineStr">
        <is>
          <t>First-Time, First-Year Admission</t>
        </is>
      </c>
      <c r="E532" t="inlineStr">
        <is>
          <t>Admission Policies</t>
        </is>
      </c>
      <c r="F532" t="inlineStr">
        <is>
          <t>Housing Deposit</t>
        </is>
      </c>
      <c r="G532" t="inlineStr">
        <is>
          <t>Undergraduates</t>
        </is>
      </c>
      <c r="H532" s="2" t="inlineStr">
        <is>
          <t>First-time, first-year</t>
        </is>
      </c>
      <c r="I532" t="inlineStr">
        <is>
          <t>All</t>
        </is>
      </c>
      <c r="J532" t="inlineStr">
        <is>
          <t>All</t>
        </is>
      </c>
      <c r="K532" t="inlineStr">
        <is>
          <t>All</t>
        </is>
      </c>
      <c r="L532" t="inlineStr">
        <is>
          <t>x</t>
        </is>
      </c>
    </row>
    <row r="533"/>
    <row r="534"/>
    <row r="535" ht="18" customHeight="1" s="44"/>
    <row r="536" ht="18" customHeight="1" s="44"/>
    <row r="537" ht="18" customHeight="1" s="44"/>
    <row r="538" ht="30" customHeight="1" s="44">
      <c r="A538" t="inlineStr">
        <is>
          <t>C1801</t>
        </is>
      </c>
      <c r="B538" s="2" t="inlineStr">
        <is>
          <t>Does your institution allow students to postpone enrollment after admission?</t>
        </is>
      </c>
      <c r="C538" t="inlineStr">
        <is>
          <t>Y</t>
        </is>
      </c>
      <c r="D538" t="inlineStr">
        <is>
          <t>First-Time, First-Year Admission</t>
        </is>
      </c>
      <c r="E538" t="inlineStr">
        <is>
          <t>Admission Policies</t>
        </is>
      </c>
      <c r="F538" t="inlineStr">
        <is>
          <t>Housing Deposit</t>
        </is>
      </c>
      <c r="G538" t="inlineStr">
        <is>
          <t>Undergraduates</t>
        </is>
      </c>
      <c r="H538" s="2" t="inlineStr">
        <is>
          <t>First-time, first-year</t>
        </is>
      </c>
      <c r="I538" t="inlineStr">
        <is>
          <t>All</t>
        </is>
      </c>
      <c r="J538" t="inlineStr">
        <is>
          <t>All</t>
        </is>
      </c>
      <c r="K538" t="inlineStr">
        <is>
          <t>All</t>
        </is>
      </c>
      <c r="L538" t="inlineStr">
        <is>
          <t>YN</t>
        </is>
      </c>
    </row>
    <row r="539" ht="18" customHeight="1" s="44">
      <c r="B539" s="2" t="n"/>
      <c r="H539" s="2" t="n"/>
    </row>
    <row r="540" ht="18" customHeight="1" s="44">
      <c r="A540" t="inlineStr">
        <is>
          <t>C1802</t>
        </is>
      </c>
      <c r="B540" s="3" t="inlineStr">
        <is>
          <t>If yes, maximum period of postponement:</t>
        </is>
      </c>
      <c r="C540" t="inlineStr">
        <is>
          <t>1 Year</t>
        </is>
      </c>
      <c r="D540" t="inlineStr">
        <is>
          <t>First-Time, First-Year Admission</t>
        </is>
      </c>
      <c r="E540" t="inlineStr">
        <is>
          <t>Admission Policies</t>
        </is>
      </c>
      <c r="F540" t="inlineStr">
        <is>
          <t>Housing Deposit</t>
        </is>
      </c>
      <c r="G540" t="inlineStr">
        <is>
          <t>Undergraduates</t>
        </is>
      </c>
      <c r="H540" s="2" t="inlineStr">
        <is>
          <t>First-time, first-year</t>
        </is>
      </c>
      <c r="I540" t="inlineStr">
        <is>
          <t>All</t>
        </is>
      </c>
      <c r="J540" t="inlineStr">
        <is>
          <t>All</t>
        </is>
      </c>
      <c r="K540" t="inlineStr">
        <is>
          <t>All</t>
        </is>
      </c>
      <c r="L540" t="inlineStr">
        <is>
          <t>Text</t>
        </is>
      </c>
    </row>
    <row r="541"/>
    <row r="542"/>
    <row r="543"/>
    <row r="544"/>
    <row r="545" ht="18" customHeight="1" s="44"/>
    <row r="546" ht="45" customHeight="1" s="44">
      <c r="A546" t="inlineStr">
        <is>
          <t>C1901</t>
        </is>
      </c>
      <c r="B546" s="2" t="inlineStr">
        <is>
          <t>Does your institution allow high school students to enroll as full-time, first-time, first-year students one year or more before high school graduation?</t>
        </is>
      </c>
      <c r="C546" t="inlineStr">
        <is>
          <t>N</t>
        </is>
      </c>
      <c r="D546" t="inlineStr">
        <is>
          <t>First-Time, First-Year Admission</t>
        </is>
      </c>
      <c r="E546" t="inlineStr">
        <is>
          <t>Admission Policies</t>
        </is>
      </c>
      <c r="F546" t="inlineStr">
        <is>
          <t>Early Admission</t>
        </is>
      </c>
      <c r="G546" t="inlineStr">
        <is>
          <t>Undergraduates</t>
        </is>
      </c>
      <c r="H546" s="2" t="inlineStr">
        <is>
          <t>First-time, first-year</t>
        </is>
      </c>
      <c r="I546" t="inlineStr">
        <is>
          <t>All</t>
        </is>
      </c>
      <c r="J546" t="inlineStr">
        <is>
          <t>FT</t>
        </is>
      </c>
      <c r="K546" t="inlineStr">
        <is>
          <t>All</t>
        </is>
      </c>
      <c r="L546" t="inlineStr">
        <is>
          <t>YN</t>
        </is>
      </c>
    </row>
    <row r="547">
      <c r="B547" s="3" t="n"/>
    </row>
    <row r="548"/>
    <row r="549"/>
    <row r="550"/>
    <row r="551"/>
    <row r="552"/>
    <row r="553"/>
    <row r="554"/>
    <row r="555"/>
    <row r="556"/>
    <row r="557"/>
    <row r="558"/>
    <row r="559" ht="18" customHeight="1" s="44"/>
    <row r="560" ht="72.75" customHeight="1" s="44">
      <c r="A560" t="inlineStr">
        <is>
          <t>C2101</t>
        </is>
      </c>
      <c r="B560" s="2"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C560" s="2" t="inlineStr">
        <is>
          <t>N</t>
        </is>
      </c>
      <c r="D560" t="inlineStr">
        <is>
          <t>First-Time, First-Year Admission</t>
        </is>
      </c>
      <c r="E560" t="inlineStr">
        <is>
          <t>Admission Policies</t>
        </is>
      </c>
      <c r="F560" t="inlineStr">
        <is>
          <t>Early Decision</t>
        </is>
      </c>
      <c r="G560" t="inlineStr">
        <is>
          <t>Undergraduates</t>
        </is>
      </c>
      <c r="H560" s="2" t="inlineStr">
        <is>
          <t>First-time, first-year</t>
        </is>
      </c>
      <c r="I560" t="inlineStr">
        <is>
          <t>All</t>
        </is>
      </c>
      <c r="J560" t="inlineStr">
        <is>
          <t>All</t>
        </is>
      </c>
      <c r="K560" t="inlineStr">
        <is>
          <t>All</t>
        </is>
      </c>
      <c r="L560" t="inlineStr">
        <is>
          <t>YN</t>
        </is>
      </c>
    </row>
    <row r="561"/>
    <row r="562"/>
    <row r="563"/>
    <row r="564" ht="18" customHeight="1" s="44"/>
    <row r="565" ht="18" customHeight="1" s="44">
      <c r="A565" t="inlineStr">
        <is>
          <t>C2102</t>
        </is>
      </c>
      <c r="B565" s="3" t="inlineStr">
        <is>
          <t>First or only early decision plan closing date</t>
        </is>
      </c>
      <c r="C565" s="3" t="n"/>
      <c r="D565" t="inlineStr">
        <is>
          <t>First-Time, First-Year Admission</t>
        </is>
      </c>
      <c r="E565" t="inlineStr">
        <is>
          <t>Admission Policies</t>
        </is>
      </c>
      <c r="F565" t="inlineStr">
        <is>
          <t>Early Decision</t>
        </is>
      </c>
      <c r="G565" t="inlineStr">
        <is>
          <t>Undergraduates</t>
        </is>
      </c>
      <c r="H565" s="2" t="inlineStr">
        <is>
          <t>First-time, first-year</t>
        </is>
      </c>
      <c r="I565" t="inlineStr">
        <is>
          <t>All</t>
        </is>
      </c>
      <c r="J565" t="inlineStr">
        <is>
          <t>All</t>
        </is>
      </c>
      <c r="K565" t="inlineStr">
        <is>
          <t>All</t>
        </is>
      </c>
      <c r="L565" t="inlineStr">
        <is>
          <t>MM-DD</t>
        </is>
      </c>
    </row>
    <row r="566" ht="18" customHeight="1" s="44">
      <c r="A566" t="inlineStr">
        <is>
          <t>C2103</t>
        </is>
      </c>
      <c r="B566" s="3" t="inlineStr">
        <is>
          <t>First or only early decision plan notification date</t>
        </is>
      </c>
      <c r="C566" s="3" t="n"/>
      <c r="D566" t="inlineStr">
        <is>
          <t>First-Time, First-Year Admission</t>
        </is>
      </c>
      <c r="E566" t="inlineStr">
        <is>
          <t>Admission Policies</t>
        </is>
      </c>
      <c r="F566" t="inlineStr">
        <is>
          <t>Early Decision</t>
        </is>
      </c>
      <c r="G566" t="inlineStr">
        <is>
          <t>Undergraduates</t>
        </is>
      </c>
      <c r="H566" s="2" t="inlineStr">
        <is>
          <t>First-time, first-year</t>
        </is>
      </c>
      <c r="I566" t="inlineStr">
        <is>
          <t>All</t>
        </is>
      </c>
      <c r="J566" t="inlineStr">
        <is>
          <t>All</t>
        </is>
      </c>
      <c r="K566" t="inlineStr">
        <is>
          <t>All</t>
        </is>
      </c>
      <c r="L566" t="inlineStr">
        <is>
          <t>MM-DD</t>
        </is>
      </c>
    </row>
    <row r="567" ht="18" customHeight="1" s="44">
      <c r="A567" t="inlineStr">
        <is>
          <t>C2104</t>
        </is>
      </c>
      <c r="B567" s="3" t="inlineStr">
        <is>
          <t>Other early decision plan closing date</t>
        </is>
      </c>
      <c r="C567" s="3" t="n"/>
      <c r="D567" t="inlineStr">
        <is>
          <t>First-Time, First-Year Admission</t>
        </is>
      </c>
      <c r="E567" t="inlineStr">
        <is>
          <t>Admission Policies</t>
        </is>
      </c>
      <c r="F567" t="inlineStr">
        <is>
          <t>Early Decision</t>
        </is>
      </c>
      <c r="G567" t="inlineStr">
        <is>
          <t>Undergraduates</t>
        </is>
      </c>
      <c r="H567" s="2" t="inlineStr">
        <is>
          <t>First-time, first-year</t>
        </is>
      </c>
      <c r="I567" t="inlineStr">
        <is>
          <t>All</t>
        </is>
      </c>
      <c r="J567" t="inlineStr">
        <is>
          <t>All</t>
        </is>
      </c>
      <c r="K567" t="inlineStr">
        <is>
          <t>All</t>
        </is>
      </c>
      <c r="L567" t="inlineStr">
        <is>
          <t>MM-DD</t>
        </is>
      </c>
    </row>
    <row r="568" ht="18" customHeight="1" s="44">
      <c r="A568" t="inlineStr">
        <is>
          <t>C2105</t>
        </is>
      </c>
      <c r="B568" s="3" t="inlineStr">
        <is>
          <t>Other early decision plan notification date</t>
        </is>
      </c>
      <c r="C568" s="3" t="n"/>
      <c r="D568" t="inlineStr">
        <is>
          <t>First-Time, First-Year Admission</t>
        </is>
      </c>
      <c r="E568" t="inlineStr">
        <is>
          <t>Admission Policies</t>
        </is>
      </c>
      <c r="F568" t="inlineStr">
        <is>
          <t>Early Decision</t>
        </is>
      </c>
      <c r="G568" t="inlineStr">
        <is>
          <t>Undergraduates</t>
        </is>
      </c>
      <c r="H568" s="2" t="inlineStr">
        <is>
          <t>First-time, first-year</t>
        </is>
      </c>
      <c r="I568" t="inlineStr">
        <is>
          <t>All</t>
        </is>
      </c>
      <c r="J568" t="inlineStr">
        <is>
          <t>All</t>
        </is>
      </c>
      <c r="K568" t="inlineStr">
        <is>
          <t>All</t>
        </is>
      </c>
      <c r="L568" t="inlineStr">
        <is>
          <t>MM-DD</t>
        </is>
      </c>
    </row>
    <row r="569"/>
    <row r="570"/>
    <row r="571"/>
    <row r="572" ht="18" customHeight="1" s="44">
      <c r="A572" t="inlineStr">
        <is>
          <t>C2106</t>
        </is>
      </c>
      <c r="B572" s="3" t="inlineStr">
        <is>
          <t>Number of early decision applications received by your institution</t>
        </is>
      </c>
      <c r="D572" t="inlineStr">
        <is>
          <t>First-Time, First-Year Admission</t>
        </is>
      </c>
      <c r="E572" t="inlineStr">
        <is>
          <t>Admission Policies</t>
        </is>
      </c>
      <c r="F572" t="inlineStr">
        <is>
          <t>Early Decision</t>
        </is>
      </c>
      <c r="G572" t="inlineStr">
        <is>
          <t>Undergraduates</t>
        </is>
      </c>
      <c r="H572" s="2" t="inlineStr">
        <is>
          <t>First-time, first-year</t>
        </is>
      </c>
      <c r="I572" t="inlineStr">
        <is>
          <t>All</t>
        </is>
      </c>
      <c r="J572" t="inlineStr">
        <is>
          <t>All</t>
        </is>
      </c>
      <c r="K572" t="inlineStr">
        <is>
          <t>All</t>
        </is>
      </c>
      <c r="L572" t="inlineStr">
        <is>
          <t>Number</t>
        </is>
      </c>
    </row>
    <row r="573" ht="18" customHeight="1" s="44">
      <c r="A573" t="inlineStr">
        <is>
          <t>C2106</t>
        </is>
      </c>
      <c r="B573" s="3" t="inlineStr">
        <is>
          <t>Number of applicants admitted under early decision plan</t>
        </is>
      </c>
      <c r="D573" t="inlineStr">
        <is>
          <t>First-Time, First-Year Admission</t>
        </is>
      </c>
      <c r="E573" t="inlineStr">
        <is>
          <t>Admission Policies</t>
        </is>
      </c>
      <c r="F573" t="inlineStr">
        <is>
          <t>Early Decision</t>
        </is>
      </c>
      <c r="G573" t="inlineStr">
        <is>
          <t>Undergraduates</t>
        </is>
      </c>
      <c r="H573" s="2" t="inlineStr">
        <is>
          <t>First-time, first-year</t>
        </is>
      </c>
      <c r="I573" t="inlineStr">
        <is>
          <t>All</t>
        </is>
      </c>
      <c r="J573" t="inlineStr">
        <is>
          <t>All</t>
        </is>
      </c>
      <c r="K573" t="inlineStr">
        <is>
          <t>All</t>
        </is>
      </c>
      <c r="L573" t="inlineStr">
        <is>
          <t>Number</t>
        </is>
      </c>
    </row>
    <row r="574">
      <c r="B574" s="3" t="n"/>
    </row>
    <row r="575" ht="18" customHeight="1" s="44">
      <c r="B575" s="3" t="n"/>
    </row>
    <row r="576" ht="18" customHeight="1" s="44">
      <c r="A576" t="inlineStr">
        <is>
          <t>C2107</t>
        </is>
      </c>
      <c r="B576" s="3" t="inlineStr">
        <is>
          <t xml:space="preserve">Please provide significant details about your early decision plan:  </t>
        </is>
      </c>
      <c r="D576" t="inlineStr">
        <is>
          <t>First-Time, First-Year Admission</t>
        </is>
      </c>
      <c r="E576" t="inlineStr">
        <is>
          <t>Admission Policies</t>
        </is>
      </c>
      <c r="F576" t="inlineStr">
        <is>
          <t>Early Decision</t>
        </is>
      </c>
      <c r="G576" t="inlineStr">
        <is>
          <t>Undergraduates</t>
        </is>
      </c>
      <c r="H576" s="2" t="inlineStr">
        <is>
          <t>First-time, first-year</t>
        </is>
      </c>
      <c r="I576" t="inlineStr">
        <is>
          <t>All</t>
        </is>
      </c>
      <c r="J576" t="inlineStr">
        <is>
          <t>All</t>
        </is>
      </c>
      <c r="K576" t="inlineStr">
        <is>
          <t>All</t>
        </is>
      </c>
      <c r="L576" t="inlineStr">
        <is>
          <t>Text</t>
        </is>
      </c>
    </row>
    <row r="577"/>
    <row r="578"/>
    <row r="579"/>
    <row r="580"/>
    <row r="581"/>
    <row r="582" ht="18" customHeight="1" s="44"/>
    <row r="583" ht="60" customHeight="1" s="44">
      <c r="A583" t="inlineStr">
        <is>
          <t>C2201</t>
        </is>
      </c>
      <c r="B583" s="2" t="inlineStr">
        <is>
          <t>Do you have a nonbinding early action plan whereby students are notified of an admission decision well in advance of the regular notification date but do not have to commit to attending your college?</t>
        </is>
      </c>
      <c r="C583" t="inlineStr">
        <is>
          <t>Y</t>
        </is>
      </c>
      <c r="D583" t="inlineStr">
        <is>
          <t>First-Time, First-Year Admission</t>
        </is>
      </c>
      <c r="E583" t="inlineStr">
        <is>
          <t>Admission Policies</t>
        </is>
      </c>
      <c r="F583" t="inlineStr">
        <is>
          <t>Early Action</t>
        </is>
      </c>
      <c r="G583" t="inlineStr">
        <is>
          <t>Undergraduates</t>
        </is>
      </c>
      <c r="H583" s="2" t="inlineStr">
        <is>
          <t>First-time, first-year</t>
        </is>
      </c>
      <c r="I583" t="inlineStr">
        <is>
          <t>All</t>
        </is>
      </c>
      <c r="J583" t="inlineStr">
        <is>
          <t>All</t>
        </is>
      </c>
      <c r="K583" t="inlineStr">
        <is>
          <t>All</t>
        </is>
      </c>
      <c r="L583" t="inlineStr">
        <is>
          <t>YN</t>
        </is>
      </c>
    </row>
    <row r="584"/>
    <row r="585"/>
    <row r="586"/>
    <row r="587" ht="18" customHeight="1" s="44"/>
    <row r="588" ht="18" customHeight="1" s="44">
      <c r="A588" t="inlineStr">
        <is>
          <t>C2202</t>
        </is>
      </c>
      <c r="B588" s="3" t="inlineStr">
        <is>
          <t>Early action closing date</t>
        </is>
      </c>
      <c r="C588" s="46" t="n">
        <v>45962</v>
      </c>
      <c r="D588" t="inlineStr">
        <is>
          <t>First-Time, First-Year Admission</t>
        </is>
      </c>
      <c r="E588" t="inlineStr">
        <is>
          <t>Admission Policies</t>
        </is>
      </c>
      <c r="F588" t="inlineStr">
        <is>
          <t>Early Action</t>
        </is>
      </c>
      <c r="G588" t="inlineStr">
        <is>
          <t>Undergraduates</t>
        </is>
      </c>
      <c r="H588" s="2" t="inlineStr">
        <is>
          <t>First-time, first-year</t>
        </is>
      </c>
      <c r="I588" t="inlineStr">
        <is>
          <t>All</t>
        </is>
      </c>
      <c r="J588" t="inlineStr">
        <is>
          <t>All</t>
        </is>
      </c>
      <c r="K588" t="inlineStr">
        <is>
          <t>All</t>
        </is>
      </c>
      <c r="L588" t="inlineStr">
        <is>
          <t>MM-DD</t>
        </is>
      </c>
    </row>
    <row r="589" ht="18" customHeight="1" s="44">
      <c r="A589" t="inlineStr">
        <is>
          <t>C2203</t>
        </is>
      </c>
      <c r="B589" s="3" t="inlineStr">
        <is>
          <t>Early action notification date</t>
        </is>
      </c>
      <c r="C589" s="46" t="n">
        <v>46053</v>
      </c>
      <c r="D589" t="inlineStr">
        <is>
          <t>First-Time, First-Year Admission</t>
        </is>
      </c>
      <c r="E589" t="inlineStr">
        <is>
          <t>Admission Policies</t>
        </is>
      </c>
      <c r="F589" t="inlineStr">
        <is>
          <t>Early Action</t>
        </is>
      </c>
      <c r="G589" t="inlineStr">
        <is>
          <t>Undergraduates</t>
        </is>
      </c>
      <c r="H589" s="2" t="inlineStr">
        <is>
          <t>First-time, first-year</t>
        </is>
      </c>
      <c r="I589" t="inlineStr">
        <is>
          <t>All</t>
        </is>
      </c>
      <c r="J589" t="inlineStr">
        <is>
          <t>All</t>
        </is>
      </c>
      <c r="K589" t="inlineStr">
        <is>
          <t>All</t>
        </is>
      </c>
      <c r="L589" t="inlineStr">
        <is>
          <t>MM-DD</t>
        </is>
      </c>
    </row>
    <row r="590">
      <c r="B590" s="3" t="n"/>
    </row>
    <row r="591" ht="18" customHeight="1" s="44"/>
    <row r="592" ht="29.25" customHeight="1" s="44">
      <c r="A592" t="inlineStr">
        <is>
          <t>C2204</t>
        </is>
      </c>
      <c r="B592" s="2" t="inlineStr">
        <is>
          <t>Is your early action plan a “restrictive” plan under which you limit students from applying to other early plans?</t>
        </is>
      </c>
      <c r="C592" s="2" t="inlineStr">
        <is>
          <t>N</t>
        </is>
      </c>
      <c r="D592" t="inlineStr">
        <is>
          <t>First-Time, First-Year Admission</t>
        </is>
      </c>
      <c r="E592" t="inlineStr">
        <is>
          <t>Admission Policies</t>
        </is>
      </c>
      <c r="F592" t="inlineStr">
        <is>
          <t>Early Action</t>
        </is>
      </c>
      <c r="G592" t="inlineStr">
        <is>
          <t>Undergraduates</t>
        </is>
      </c>
      <c r="H592" s="2" t="inlineStr">
        <is>
          <t>First-time, first-year</t>
        </is>
      </c>
      <c r="I592" t="inlineStr">
        <is>
          <t>All</t>
        </is>
      </c>
      <c r="J592" t="inlineStr">
        <is>
          <t>All</t>
        </is>
      </c>
      <c r="K592" t="inlineStr">
        <is>
          <t>All</t>
        </is>
      </c>
      <c r="L592" t="inlineStr">
        <is>
          <t>YN</t>
        </is>
      </c>
    </row>
  </sheetData>
  <autoFilter ref="A1:L592"/>
  <dataValidations count="3">
    <dataValidation sqref="C224" showDropDown="0" showInputMessage="1" showErrorMessage="1" allowBlank="1" type="list">
      <formula1>$C$213:$C$216</formula1>
    </dataValidation>
    <dataValidation sqref="C186:C192 C194:C205" showDropDown="0" showInputMessage="1" showErrorMessage="1" allowBlank="1" type="list">
      <formula1>$C$179:$C$182</formula1>
    </dataValidation>
    <dataValidation sqref="C221:C223" showDropDown="0" showInputMessage="1" showErrorMessage="1" allowBlank="1" type="list">
      <formula1>$C$213:$C$217</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177"/>
  <sheetViews>
    <sheetView workbookViewId="0">
      <pane ySplit="1" topLeftCell="A119" activePane="bottomLeft" state="frozen"/>
      <selection pane="bottomLeft" activeCell="D123" sqref="D123"/>
    </sheetView>
  </sheetViews>
  <sheetFormatPr baseColWidth="8" defaultRowHeight="15"/>
  <cols>
    <col width="6.5703125" customWidth="1" style="44" min="1" max="1"/>
    <col width="41.42578125" customWidth="1" style="44" min="2" max="2"/>
    <col width="38.4257812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ht="18" customHeight="1" s="44"/>
    <row r="9" ht="30" customHeight="1" s="44">
      <c r="A9" t="inlineStr">
        <is>
          <t>D101</t>
        </is>
      </c>
      <c r="B9" s="2" t="inlineStr">
        <is>
          <t>Does your institution enroll transfer students? (If no, please skip to Section E)</t>
        </is>
      </c>
      <c r="C9" t="inlineStr">
        <is>
          <t>Y</t>
        </is>
      </c>
      <c r="D9" t="inlineStr">
        <is>
          <t>Transfer Admission</t>
        </is>
      </c>
      <c r="E9" t="inlineStr">
        <is>
          <t>Fall Applicants</t>
        </is>
      </c>
      <c r="F9" t="inlineStr">
        <is>
          <t>All</t>
        </is>
      </c>
      <c r="G9" t="inlineStr">
        <is>
          <t>Undergraduates</t>
        </is>
      </c>
      <c r="H9" t="inlineStr">
        <is>
          <t>Transfer</t>
        </is>
      </c>
      <c r="I9" t="inlineStr">
        <is>
          <t>All</t>
        </is>
      </c>
      <c r="J9" t="inlineStr">
        <is>
          <t>All</t>
        </is>
      </c>
      <c r="K9" t="inlineStr">
        <is>
          <t>All</t>
        </is>
      </c>
      <c r="L9" t="inlineStr">
        <is>
          <t>YN</t>
        </is>
      </c>
    </row>
    <row r="10" ht="60" customHeight="1" s="44">
      <c r="A10" t="inlineStr">
        <is>
          <t>D102</t>
        </is>
      </c>
      <c r="B10" s="2" t="inlineStr">
        <is>
          <t>If yes, may transfer students earn advanced standing credit by transferring credits earned from course work completed at other colleges/universities?</t>
        </is>
      </c>
      <c r="C10" t="inlineStr">
        <is>
          <t>Y</t>
        </is>
      </c>
      <c r="D10" t="inlineStr">
        <is>
          <t>Transfer Admission</t>
        </is>
      </c>
      <c r="E10" t="inlineStr">
        <is>
          <t>Fall Applicants</t>
        </is>
      </c>
      <c r="F10" t="inlineStr">
        <is>
          <t>All</t>
        </is>
      </c>
      <c r="G10" t="inlineStr">
        <is>
          <t>Undergraduates</t>
        </is>
      </c>
      <c r="H10" t="inlineStr">
        <is>
          <t>Transfer</t>
        </is>
      </c>
      <c r="I10" t="inlineStr">
        <is>
          <t>All</t>
        </is>
      </c>
      <c r="J10" t="inlineStr">
        <is>
          <t>All</t>
        </is>
      </c>
      <c r="K10" t="inlineStr">
        <is>
          <t>All</t>
        </is>
      </c>
      <c r="L10" t="inlineStr">
        <is>
          <t>YN</t>
        </is>
      </c>
    </row>
    <row r="11">
      <c r="B11" s="2" t="n"/>
    </row>
    <row r="12" ht="18" customHeight="1" s="44">
      <c r="B12" s="2" t="n"/>
      <c r="C12" s="2" t="n"/>
      <c r="F12" s="2" t="n"/>
      <c r="G12" s="2" t="n"/>
      <c r="H12" s="2" t="n"/>
    </row>
    <row r="13">
      <c r="B13" s="2" t="n"/>
      <c r="C13" s="2" t="n"/>
      <c r="F13" s="2" t="n"/>
      <c r="G13" s="2" t="n"/>
      <c r="H13" s="2" t="n"/>
    </row>
    <row r="14">
      <c r="B14" s="2" t="n"/>
      <c r="C14" s="2" t="n"/>
      <c r="F14" s="2" t="n"/>
      <c r="G14" s="2" t="n"/>
      <c r="H14" s="2" t="n"/>
    </row>
    <row r="15">
      <c r="B15" s="2" t="n"/>
      <c r="C15" s="2" t="n"/>
      <c r="F15" s="2" t="n"/>
      <c r="G15" s="2" t="n"/>
      <c r="H15" s="2" t="n"/>
    </row>
    <row r="16">
      <c r="B16" s="2" t="n"/>
      <c r="C16" s="2" t="n"/>
      <c r="F16" s="2" t="n"/>
      <c r="G16" s="2" t="n"/>
      <c r="H16" s="2" t="n"/>
    </row>
    <row r="17"/>
    <row r="18" ht="18" customHeight="1" s="44"/>
    <row r="19" ht="18" customHeight="1" s="44">
      <c r="A19" t="inlineStr">
        <is>
          <t>D201</t>
        </is>
      </c>
      <c r="B19" t="inlineStr">
        <is>
          <t>Men</t>
        </is>
      </c>
      <c r="C19" t="n">
        <v>2496</v>
      </c>
      <c r="D19" t="inlineStr">
        <is>
          <t>Transfer Admission</t>
        </is>
      </c>
      <c r="E19" t="inlineStr">
        <is>
          <t>Fall Applicants</t>
        </is>
      </c>
      <c r="F19" t="inlineStr">
        <is>
          <t>Applied</t>
        </is>
      </c>
      <c r="G19" t="inlineStr">
        <is>
          <t>Undergraduates</t>
        </is>
      </c>
      <c r="H19" t="inlineStr">
        <is>
          <t>Transfer</t>
        </is>
      </c>
      <c r="I19" t="inlineStr">
        <is>
          <t>All</t>
        </is>
      </c>
      <c r="J19" t="inlineStr">
        <is>
          <t>All</t>
        </is>
      </c>
      <c r="K19" t="inlineStr">
        <is>
          <t>Men</t>
        </is>
      </c>
      <c r="L19" t="inlineStr">
        <is>
          <t>Number</t>
        </is>
      </c>
    </row>
    <row r="20" ht="18" customHeight="1" s="44">
      <c r="A20" t="inlineStr">
        <is>
          <t>D202</t>
        </is>
      </c>
      <c r="B20" t="inlineStr">
        <is>
          <t>Women</t>
        </is>
      </c>
      <c r="C20" t="n">
        <v>2020</v>
      </c>
      <c r="D20" t="inlineStr">
        <is>
          <t>Transfer Admission</t>
        </is>
      </c>
      <c r="E20" t="inlineStr">
        <is>
          <t>Fall Applicants</t>
        </is>
      </c>
      <c r="F20" t="inlineStr">
        <is>
          <t>Applied</t>
        </is>
      </c>
      <c r="G20" t="inlineStr">
        <is>
          <t>Undergraduates</t>
        </is>
      </c>
      <c r="H20" t="inlineStr">
        <is>
          <t>Transfer</t>
        </is>
      </c>
      <c r="I20" t="inlineStr">
        <is>
          <t>All</t>
        </is>
      </c>
      <c r="J20" t="inlineStr">
        <is>
          <t>All</t>
        </is>
      </c>
      <c r="K20" t="inlineStr">
        <is>
          <t>Women</t>
        </is>
      </c>
      <c r="L20" t="inlineStr">
        <is>
          <t>Number</t>
        </is>
      </c>
    </row>
    <row r="21" ht="18" customHeight="1" s="44">
      <c r="A21" t="inlineStr">
        <is>
          <t>D203</t>
        </is>
      </c>
      <c r="B21" t="inlineStr">
        <is>
          <t>Another Gender</t>
        </is>
      </c>
      <c r="C21" t="n">
        <v>0</v>
      </c>
      <c r="D21" t="inlineStr">
        <is>
          <t>Transfer Admission</t>
        </is>
      </c>
      <c r="E21" t="inlineStr">
        <is>
          <t>Fall Applicants</t>
        </is>
      </c>
      <c r="F21" t="inlineStr">
        <is>
          <t>Applied</t>
        </is>
      </c>
      <c r="G21" t="inlineStr">
        <is>
          <t>Undergraduates</t>
        </is>
      </c>
      <c r="H21" t="inlineStr">
        <is>
          <t>Transfer</t>
        </is>
      </c>
      <c r="I21" t="inlineStr">
        <is>
          <t>All</t>
        </is>
      </c>
      <c r="J21" t="inlineStr">
        <is>
          <t>All</t>
        </is>
      </c>
      <c r="K21" t="inlineStr">
        <is>
          <t>Another Gender</t>
        </is>
      </c>
      <c r="L21" t="inlineStr">
        <is>
          <t>Number</t>
        </is>
      </c>
    </row>
    <row r="22" ht="18" customHeight="1" s="44">
      <c r="A22" t="inlineStr">
        <is>
          <t>D204</t>
        </is>
      </c>
      <c r="B22" t="inlineStr">
        <is>
          <t>Unknown</t>
        </is>
      </c>
      <c r="C22" t="n">
        <v>0</v>
      </c>
      <c r="D22" t="inlineStr">
        <is>
          <t>Transfer Admission</t>
        </is>
      </c>
      <c r="E22" t="inlineStr">
        <is>
          <t>Fall Applicants</t>
        </is>
      </c>
      <c r="F22" t="inlineStr">
        <is>
          <t>Applied</t>
        </is>
      </c>
      <c r="G22" t="inlineStr">
        <is>
          <t>Undergraduates</t>
        </is>
      </c>
      <c r="H22" t="inlineStr">
        <is>
          <t>Transfer</t>
        </is>
      </c>
      <c r="I22" t="inlineStr">
        <is>
          <t>All</t>
        </is>
      </c>
      <c r="J22" t="inlineStr">
        <is>
          <t>All</t>
        </is>
      </c>
      <c r="K22" t="inlineStr">
        <is>
          <t>Unknown</t>
        </is>
      </c>
      <c r="L22" t="inlineStr">
        <is>
          <t>Number</t>
        </is>
      </c>
    </row>
    <row r="23" ht="18" customHeight="1" s="44">
      <c r="A23" t="inlineStr">
        <is>
          <t>D205</t>
        </is>
      </c>
      <c r="B23" t="inlineStr">
        <is>
          <t>Total</t>
        </is>
      </c>
      <c r="C23" s="6">
        <f>SUM(C19:C22)</f>
        <v/>
      </c>
      <c r="D23" t="inlineStr">
        <is>
          <t>Transfer Admission</t>
        </is>
      </c>
      <c r="E23" t="inlineStr">
        <is>
          <t>Fall Applicants</t>
        </is>
      </c>
      <c r="F23" t="inlineStr">
        <is>
          <t>Applied</t>
        </is>
      </c>
      <c r="G23" t="inlineStr">
        <is>
          <t>Undergraduates</t>
        </is>
      </c>
      <c r="H23" t="inlineStr">
        <is>
          <t>Transfer</t>
        </is>
      </c>
      <c r="I23" t="inlineStr">
        <is>
          <t>All</t>
        </is>
      </c>
      <c r="J23" t="inlineStr">
        <is>
          <t>All</t>
        </is>
      </c>
      <c r="K23" t="inlineStr">
        <is>
          <t>All</t>
        </is>
      </c>
      <c r="L23" t="inlineStr">
        <is>
          <t>Number</t>
        </is>
      </c>
    </row>
    <row r="24">
      <c r="C24" s="5" t="n"/>
    </row>
    <row r="25"/>
    <row r="26" ht="18" customHeight="1" s="44"/>
    <row r="27" ht="18" customHeight="1" s="44">
      <c r="A27" t="inlineStr">
        <is>
          <t>D206</t>
        </is>
      </c>
      <c r="B27" t="inlineStr">
        <is>
          <t>Men</t>
        </is>
      </c>
      <c r="C27" t="n">
        <v>1386</v>
      </c>
      <c r="D27" t="inlineStr">
        <is>
          <t>Transfer Admission</t>
        </is>
      </c>
      <c r="E27" t="inlineStr">
        <is>
          <t>Fall Applicants</t>
        </is>
      </c>
      <c r="F27" t="inlineStr">
        <is>
          <t>Admitted</t>
        </is>
      </c>
      <c r="G27" t="inlineStr">
        <is>
          <t>Undergraduates</t>
        </is>
      </c>
      <c r="H27" t="inlineStr">
        <is>
          <t>Transfer</t>
        </is>
      </c>
      <c r="I27" t="inlineStr">
        <is>
          <t>All</t>
        </is>
      </c>
      <c r="J27" t="inlineStr">
        <is>
          <t>All</t>
        </is>
      </c>
      <c r="K27" t="inlineStr">
        <is>
          <t>Men</t>
        </is>
      </c>
      <c r="L27" t="inlineStr">
        <is>
          <t>Number</t>
        </is>
      </c>
    </row>
    <row r="28" ht="18" customHeight="1" s="44">
      <c r="A28" t="inlineStr">
        <is>
          <t>D207</t>
        </is>
      </c>
      <c r="B28" t="inlineStr">
        <is>
          <t>Women</t>
        </is>
      </c>
      <c r="C28" t="n">
        <v>1121</v>
      </c>
      <c r="D28" t="inlineStr">
        <is>
          <t>Transfer Admission</t>
        </is>
      </c>
      <c r="E28" t="inlineStr">
        <is>
          <t>Fall Applicants</t>
        </is>
      </c>
      <c r="F28" t="inlineStr">
        <is>
          <t>Admitted</t>
        </is>
      </c>
      <c r="G28" t="inlineStr">
        <is>
          <t>Undergraduates</t>
        </is>
      </c>
      <c r="H28" t="inlineStr">
        <is>
          <t>Transfer</t>
        </is>
      </c>
      <c r="I28" t="inlineStr">
        <is>
          <t>All</t>
        </is>
      </c>
      <c r="J28" t="inlineStr">
        <is>
          <t>All</t>
        </is>
      </c>
      <c r="K28" t="inlineStr">
        <is>
          <t>Women</t>
        </is>
      </c>
      <c r="L28" t="inlineStr">
        <is>
          <t>Number</t>
        </is>
      </c>
    </row>
    <row r="29" ht="18" customHeight="1" s="44">
      <c r="A29" t="inlineStr">
        <is>
          <t>D208</t>
        </is>
      </c>
      <c r="B29" t="inlineStr">
        <is>
          <t>Another Gender</t>
        </is>
      </c>
      <c r="C29" t="n">
        <v>0</v>
      </c>
      <c r="D29" t="inlineStr">
        <is>
          <t>Transfer Admission</t>
        </is>
      </c>
      <c r="E29" t="inlineStr">
        <is>
          <t>Fall Applicants</t>
        </is>
      </c>
      <c r="F29" t="inlineStr">
        <is>
          <t>Admitted</t>
        </is>
      </c>
      <c r="G29" t="inlineStr">
        <is>
          <t>Undergraduates</t>
        </is>
      </c>
      <c r="H29" t="inlineStr">
        <is>
          <t>Transfer</t>
        </is>
      </c>
      <c r="I29" t="inlineStr">
        <is>
          <t>All</t>
        </is>
      </c>
      <c r="J29" t="inlineStr">
        <is>
          <t>All</t>
        </is>
      </c>
      <c r="K29" t="inlineStr">
        <is>
          <t>Another Gender</t>
        </is>
      </c>
      <c r="L29" t="inlineStr">
        <is>
          <t>Number</t>
        </is>
      </c>
    </row>
    <row r="30" ht="18" customHeight="1" s="44">
      <c r="A30" t="inlineStr">
        <is>
          <t>D209</t>
        </is>
      </c>
      <c r="B30" t="inlineStr">
        <is>
          <t>Unknown</t>
        </is>
      </c>
      <c r="C30" t="n">
        <v>0</v>
      </c>
      <c r="D30" t="inlineStr">
        <is>
          <t>Transfer Admission</t>
        </is>
      </c>
      <c r="E30" t="inlineStr">
        <is>
          <t>Fall Applicants</t>
        </is>
      </c>
      <c r="F30" t="inlineStr">
        <is>
          <t>Admitted</t>
        </is>
      </c>
      <c r="G30" t="inlineStr">
        <is>
          <t>Undergraduates</t>
        </is>
      </c>
      <c r="H30" t="inlineStr">
        <is>
          <t>Transfer</t>
        </is>
      </c>
      <c r="I30" t="inlineStr">
        <is>
          <t>All</t>
        </is>
      </c>
      <c r="J30" t="inlineStr">
        <is>
          <t>All</t>
        </is>
      </c>
      <c r="K30" t="inlineStr">
        <is>
          <t>Unknown</t>
        </is>
      </c>
      <c r="L30" t="inlineStr">
        <is>
          <t>Number</t>
        </is>
      </c>
    </row>
    <row r="31" ht="18" customHeight="1" s="44">
      <c r="A31" t="inlineStr">
        <is>
          <t>D210</t>
        </is>
      </c>
      <c r="B31" t="inlineStr">
        <is>
          <t>Total</t>
        </is>
      </c>
      <c r="C31" s="6">
        <f>SUM(C27:C29)</f>
        <v/>
      </c>
      <c r="D31" t="inlineStr">
        <is>
          <t>Transfer Admission</t>
        </is>
      </c>
      <c r="E31" t="inlineStr">
        <is>
          <t>Fall Applicants</t>
        </is>
      </c>
      <c r="F31" t="inlineStr">
        <is>
          <t>Admitted</t>
        </is>
      </c>
      <c r="G31" t="inlineStr">
        <is>
          <t>Undergraduates</t>
        </is>
      </c>
      <c r="H31" t="inlineStr">
        <is>
          <t>Transfer</t>
        </is>
      </c>
      <c r="I31" t="inlineStr">
        <is>
          <t>All</t>
        </is>
      </c>
      <c r="J31" t="inlineStr">
        <is>
          <t>All</t>
        </is>
      </c>
      <c r="K31" t="inlineStr">
        <is>
          <t>All</t>
        </is>
      </c>
      <c r="L31" t="inlineStr">
        <is>
          <t>Number</t>
        </is>
      </c>
    </row>
    <row r="32"/>
    <row r="33" ht="18" customHeight="1" s="44"/>
    <row r="34" ht="18" customHeight="1" s="44">
      <c r="A34" t="inlineStr">
        <is>
          <t>D211</t>
        </is>
      </c>
      <c r="B34" t="inlineStr">
        <is>
          <t>Men</t>
        </is>
      </c>
      <c r="C34" t="n">
        <v>746</v>
      </c>
      <c r="D34" t="inlineStr">
        <is>
          <t>Transfer Admission</t>
        </is>
      </c>
      <c r="E34" t="inlineStr">
        <is>
          <t>Fall Applicants</t>
        </is>
      </c>
      <c r="F34" t="inlineStr">
        <is>
          <t>Enrolled</t>
        </is>
      </c>
      <c r="G34" t="inlineStr">
        <is>
          <t>Undergraduates</t>
        </is>
      </c>
      <c r="H34" t="inlineStr">
        <is>
          <t>Transfer</t>
        </is>
      </c>
      <c r="I34" t="inlineStr">
        <is>
          <t>All</t>
        </is>
      </c>
      <c r="J34" t="inlineStr">
        <is>
          <t>All</t>
        </is>
      </c>
      <c r="K34" t="inlineStr">
        <is>
          <t>Men</t>
        </is>
      </c>
      <c r="L34" t="inlineStr">
        <is>
          <t>Number</t>
        </is>
      </c>
    </row>
    <row r="35" ht="18" customHeight="1" s="44">
      <c r="A35" t="inlineStr">
        <is>
          <t>D212</t>
        </is>
      </c>
      <c r="B35" t="inlineStr">
        <is>
          <t>Women</t>
        </is>
      </c>
      <c r="C35" t="n">
        <v>627</v>
      </c>
      <c r="D35" t="inlineStr">
        <is>
          <t>Transfer Admission</t>
        </is>
      </c>
      <c r="E35" t="inlineStr">
        <is>
          <t>Fall Applicants</t>
        </is>
      </c>
      <c r="F35" t="inlineStr">
        <is>
          <t>Enrolled</t>
        </is>
      </c>
      <c r="G35" t="inlineStr">
        <is>
          <t>Undergraduates</t>
        </is>
      </c>
      <c r="H35" t="inlineStr">
        <is>
          <t>Transfer</t>
        </is>
      </c>
      <c r="I35" t="inlineStr">
        <is>
          <t>All</t>
        </is>
      </c>
      <c r="J35" t="inlineStr">
        <is>
          <t>All</t>
        </is>
      </c>
      <c r="K35" t="inlineStr">
        <is>
          <t>Women</t>
        </is>
      </c>
      <c r="L35" t="inlineStr">
        <is>
          <t>Number</t>
        </is>
      </c>
    </row>
    <row r="36" ht="18" customHeight="1" s="44">
      <c r="A36" t="inlineStr">
        <is>
          <t>D213</t>
        </is>
      </c>
      <c r="B36" t="inlineStr">
        <is>
          <t>Another Gender</t>
        </is>
      </c>
      <c r="C36" t="n">
        <v>0</v>
      </c>
      <c r="D36" t="inlineStr">
        <is>
          <t>Transfer Admission</t>
        </is>
      </c>
      <c r="E36" t="inlineStr">
        <is>
          <t>Fall Applicants</t>
        </is>
      </c>
      <c r="F36" t="inlineStr">
        <is>
          <t>Enrolled</t>
        </is>
      </c>
      <c r="G36" t="inlineStr">
        <is>
          <t>Undergraduates</t>
        </is>
      </c>
      <c r="H36" t="inlineStr">
        <is>
          <t>Transfer</t>
        </is>
      </c>
      <c r="I36" t="inlineStr">
        <is>
          <t>All</t>
        </is>
      </c>
      <c r="J36" t="inlineStr">
        <is>
          <t>All</t>
        </is>
      </c>
      <c r="K36" t="inlineStr">
        <is>
          <t>Another Gender</t>
        </is>
      </c>
      <c r="L36" t="inlineStr">
        <is>
          <t>Number</t>
        </is>
      </c>
    </row>
    <row r="37" ht="18" customHeight="1" s="44">
      <c r="A37" t="inlineStr">
        <is>
          <t>D214</t>
        </is>
      </c>
      <c r="B37" t="inlineStr">
        <is>
          <t>Unknown</t>
        </is>
      </c>
      <c r="C37" t="n">
        <v>0</v>
      </c>
      <c r="D37" t="inlineStr">
        <is>
          <t>Transfer Admission</t>
        </is>
      </c>
      <c r="E37" t="inlineStr">
        <is>
          <t>Fall Applicants</t>
        </is>
      </c>
      <c r="F37" t="inlineStr">
        <is>
          <t>Enrolled</t>
        </is>
      </c>
      <c r="G37" t="inlineStr">
        <is>
          <t>Undergraduates</t>
        </is>
      </c>
      <c r="H37" t="inlineStr">
        <is>
          <t>Transfer</t>
        </is>
      </c>
      <c r="I37" t="inlineStr">
        <is>
          <t>All</t>
        </is>
      </c>
      <c r="J37" t="inlineStr">
        <is>
          <t>All</t>
        </is>
      </c>
      <c r="K37" t="inlineStr">
        <is>
          <t>Unknown</t>
        </is>
      </c>
      <c r="L37" t="inlineStr">
        <is>
          <t>Number</t>
        </is>
      </c>
    </row>
    <row r="38" ht="18" customHeight="1" s="44">
      <c r="A38" t="inlineStr">
        <is>
          <t>D215</t>
        </is>
      </c>
      <c r="B38" t="inlineStr">
        <is>
          <t>Total</t>
        </is>
      </c>
      <c r="C38" s="6">
        <f>SUM(C34:C36)</f>
        <v/>
      </c>
      <c r="D38" t="inlineStr">
        <is>
          <t>Transfer Admission</t>
        </is>
      </c>
      <c r="E38" t="inlineStr">
        <is>
          <t>Fall Applicants</t>
        </is>
      </c>
      <c r="F38" t="inlineStr">
        <is>
          <t>Enrolled</t>
        </is>
      </c>
      <c r="G38" t="inlineStr">
        <is>
          <t>Undergraduates</t>
        </is>
      </c>
      <c r="H38" t="inlineStr">
        <is>
          <t>Transfer</t>
        </is>
      </c>
      <c r="I38" t="inlineStr">
        <is>
          <t>All</t>
        </is>
      </c>
      <c r="J38" t="inlineStr">
        <is>
          <t>All</t>
        </is>
      </c>
      <c r="K38" t="inlineStr">
        <is>
          <t>All</t>
        </is>
      </c>
      <c r="L38" t="inlineStr">
        <is>
          <t>Number</t>
        </is>
      </c>
    </row>
    <row r="39"/>
    <row r="40"/>
    <row r="41"/>
    <row r="42"/>
    <row r="43" ht="18" customHeight="1" s="44"/>
    <row r="44" ht="18" customHeight="1" s="44">
      <c r="A44" t="inlineStr">
        <is>
          <t>D301</t>
        </is>
      </c>
      <c r="B44" t="inlineStr">
        <is>
          <t>Fall</t>
        </is>
      </c>
      <c r="C44" t="inlineStr">
        <is>
          <t>x</t>
        </is>
      </c>
      <c r="D44" t="inlineStr">
        <is>
          <t>Transfer Admission</t>
        </is>
      </c>
      <c r="E44" t="inlineStr">
        <is>
          <t>Application for Admission</t>
        </is>
      </c>
      <c r="F44" t="inlineStr">
        <is>
          <t>Fall</t>
        </is>
      </c>
      <c r="G44" t="inlineStr">
        <is>
          <t>Undergraduates</t>
        </is>
      </c>
      <c r="H44" t="inlineStr">
        <is>
          <t>Transfer</t>
        </is>
      </c>
      <c r="I44" t="inlineStr">
        <is>
          <t>All</t>
        </is>
      </c>
      <c r="J44" t="inlineStr">
        <is>
          <t>All</t>
        </is>
      </c>
      <c r="K44" t="inlineStr">
        <is>
          <t>All</t>
        </is>
      </c>
      <c r="L44" t="inlineStr">
        <is>
          <t>x</t>
        </is>
      </c>
    </row>
    <row r="45" ht="18" customHeight="1" s="44">
      <c r="A45" t="inlineStr">
        <is>
          <t>D302</t>
        </is>
      </c>
      <c r="B45" t="inlineStr">
        <is>
          <t>Winter</t>
        </is>
      </c>
      <c r="D45" t="inlineStr">
        <is>
          <t>Transfer Admission</t>
        </is>
      </c>
      <c r="E45" t="inlineStr">
        <is>
          <t>Application for Admission</t>
        </is>
      </c>
      <c r="F45" t="inlineStr">
        <is>
          <t>Winter</t>
        </is>
      </c>
      <c r="G45" t="inlineStr">
        <is>
          <t>Undergraduates</t>
        </is>
      </c>
      <c r="H45" t="inlineStr">
        <is>
          <t>Transfer</t>
        </is>
      </c>
      <c r="I45" t="inlineStr">
        <is>
          <t>All</t>
        </is>
      </c>
      <c r="J45" t="inlineStr">
        <is>
          <t>All</t>
        </is>
      </c>
      <c r="K45" t="inlineStr">
        <is>
          <t>All</t>
        </is>
      </c>
      <c r="L45" t="inlineStr">
        <is>
          <t>x</t>
        </is>
      </c>
    </row>
    <row r="46" ht="18" customHeight="1" s="44">
      <c r="A46" t="inlineStr">
        <is>
          <t>D303</t>
        </is>
      </c>
      <c r="B46" t="inlineStr">
        <is>
          <t>Spring</t>
        </is>
      </c>
      <c r="C46" t="inlineStr">
        <is>
          <t>x</t>
        </is>
      </c>
      <c r="D46" t="inlineStr">
        <is>
          <t>Transfer Admission</t>
        </is>
      </c>
      <c r="E46" t="inlineStr">
        <is>
          <t>Application for Admission</t>
        </is>
      </c>
      <c r="F46" t="inlineStr">
        <is>
          <t>Spring</t>
        </is>
      </c>
      <c r="G46" t="inlineStr">
        <is>
          <t>Undergraduates</t>
        </is>
      </c>
      <c r="H46" t="inlineStr">
        <is>
          <t>Transfer</t>
        </is>
      </c>
      <c r="I46" t="inlineStr">
        <is>
          <t>All</t>
        </is>
      </c>
      <c r="J46" t="inlineStr">
        <is>
          <t>All</t>
        </is>
      </c>
      <c r="K46" t="inlineStr">
        <is>
          <t>All</t>
        </is>
      </c>
      <c r="L46" t="inlineStr">
        <is>
          <t>x</t>
        </is>
      </c>
    </row>
    <row r="47" ht="18" customHeight="1" s="44">
      <c r="A47" t="inlineStr">
        <is>
          <t>D304</t>
        </is>
      </c>
      <c r="B47" t="inlineStr">
        <is>
          <t>Summer</t>
        </is>
      </c>
      <c r="D47" t="inlineStr">
        <is>
          <t>Transfer Admission</t>
        </is>
      </c>
      <c r="E47" t="inlineStr">
        <is>
          <t>Application for Admission</t>
        </is>
      </c>
      <c r="F47" t="inlineStr">
        <is>
          <t>Summer</t>
        </is>
      </c>
      <c r="G47" t="inlineStr">
        <is>
          <t>Undergraduates</t>
        </is>
      </c>
      <c r="H47" t="inlineStr">
        <is>
          <t>Transfer</t>
        </is>
      </c>
      <c r="I47" t="inlineStr">
        <is>
          <t>All</t>
        </is>
      </c>
      <c r="J47" t="inlineStr">
        <is>
          <t>All</t>
        </is>
      </c>
      <c r="K47" t="inlineStr">
        <is>
          <t>All</t>
        </is>
      </c>
      <c r="L47" t="inlineStr">
        <is>
          <t>x</t>
        </is>
      </c>
    </row>
    <row r="48"/>
    <row r="49" ht="18" customHeight="1" s="44"/>
    <row r="50" ht="45" customHeight="1" s="44">
      <c r="A50" t="inlineStr">
        <is>
          <t>D401</t>
        </is>
      </c>
      <c r="B50" s="2" t="inlineStr">
        <is>
          <t>Must a transfer applicant have a minimum number of credits completed or else must apply as an entering first-year student?</t>
        </is>
      </c>
      <c r="C50" t="inlineStr">
        <is>
          <t>Y</t>
        </is>
      </c>
      <c r="D50" t="inlineStr">
        <is>
          <t>Transfer Admission</t>
        </is>
      </c>
      <c r="E50" t="inlineStr">
        <is>
          <t>Application for Admission</t>
        </is>
      </c>
      <c r="F50" t="inlineStr">
        <is>
          <t>Min Credits</t>
        </is>
      </c>
      <c r="G50" t="inlineStr">
        <is>
          <t>Undergraduates</t>
        </is>
      </c>
      <c r="H50" t="inlineStr">
        <is>
          <t>Transfer</t>
        </is>
      </c>
      <c r="I50" t="inlineStr">
        <is>
          <t>All</t>
        </is>
      </c>
      <c r="J50" t="inlineStr">
        <is>
          <t>All</t>
        </is>
      </c>
      <c r="K50" t="inlineStr">
        <is>
          <t>All</t>
        </is>
      </c>
      <c r="L50" t="inlineStr">
        <is>
          <t>YN</t>
        </is>
      </c>
    </row>
    <row r="51" ht="18" customHeight="1" s="44">
      <c r="C51" s="2" t="n"/>
    </row>
    <row r="52"/>
    <row r="53"/>
    <row r="54"/>
    <row r="55" ht="18" customHeight="1" s="44">
      <c r="A55" t="inlineStr">
        <is>
          <t>D402</t>
        </is>
      </c>
      <c r="B55" s="3" t="inlineStr">
        <is>
          <t>Number</t>
        </is>
      </c>
      <c r="C55" t="n">
        <v>24</v>
      </c>
      <c r="D55" t="inlineStr">
        <is>
          <t>Transfer Admission</t>
        </is>
      </c>
      <c r="E55" t="inlineStr">
        <is>
          <t>Transfer Credit Policies</t>
        </is>
      </c>
      <c r="F55" t="inlineStr">
        <is>
          <t>Min Credits</t>
        </is>
      </c>
      <c r="G55" t="inlineStr">
        <is>
          <t>Undergraduates</t>
        </is>
      </c>
      <c r="H55" t="inlineStr">
        <is>
          <t>Transfer</t>
        </is>
      </c>
      <c r="I55" t="inlineStr">
        <is>
          <t>All</t>
        </is>
      </c>
      <c r="J55" t="inlineStr">
        <is>
          <t>All</t>
        </is>
      </c>
      <c r="K55" t="inlineStr">
        <is>
          <t>All</t>
        </is>
      </c>
      <c r="L55" t="inlineStr">
        <is>
          <t>Number</t>
        </is>
      </c>
    </row>
    <row r="56" ht="18" customHeight="1" s="44">
      <c r="A56" t="inlineStr">
        <is>
          <t>D403</t>
        </is>
      </c>
      <c r="B56" s="7" t="inlineStr">
        <is>
          <t>Unit Type</t>
        </is>
      </c>
      <c r="C56" t="inlineStr">
        <is>
          <t>Credits</t>
        </is>
      </c>
      <c r="D56" t="inlineStr">
        <is>
          <t>Transfer Admission</t>
        </is>
      </c>
      <c r="E56" t="inlineStr">
        <is>
          <t>Transfer Credit Policies</t>
        </is>
      </c>
      <c r="F56" t="inlineStr">
        <is>
          <t>Min Credits</t>
        </is>
      </c>
      <c r="G56" t="inlineStr">
        <is>
          <t>Undergraduates</t>
        </is>
      </c>
      <c r="H56" t="inlineStr">
        <is>
          <t>Transfer</t>
        </is>
      </c>
      <c r="I56" t="inlineStr">
        <is>
          <t>All</t>
        </is>
      </c>
      <c r="J56" t="inlineStr">
        <is>
          <t>All</t>
        </is>
      </c>
      <c r="K56" t="inlineStr">
        <is>
          <t>All</t>
        </is>
      </c>
      <c r="L56" t="inlineStr">
        <is>
          <t>Unit Type</t>
        </is>
      </c>
    </row>
    <row r="57"/>
    <row r="58" ht="18" customHeight="1" s="44"/>
    <row r="59" ht="18" customHeight="1" s="44">
      <c r="C59" t="inlineStr">
        <is>
          <t>Required of All</t>
        </is>
      </c>
    </row>
    <row r="60" ht="18" customHeight="1" s="44">
      <c r="C60" t="inlineStr">
        <is>
          <t>Recommended of All</t>
        </is>
      </c>
    </row>
    <row r="61" ht="18" customHeight="1" s="44">
      <c r="C61" t="inlineStr">
        <is>
          <t>Recommended of Some</t>
        </is>
      </c>
    </row>
    <row r="62" ht="18" customHeight="1" s="44">
      <c r="C62" t="inlineStr">
        <is>
          <t>Required of Some</t>
        </is>
      </c>
    </row>
    <row r="63" ht="18" customHeight="1" s="44">
      <c r="C63" t="inlineStr">
        <is>
          <t>Not Required</t>
        </is>
      </c>
    </row>
    <row r="64" ht="18" customHeight="1" s="44"/>
    <row r="65" ht="18" customHeight="1" s="44"/>
    <row r="66" ht="18" customHeight="1" s="44">
      <c r="A66" t="inlineStr">
        <is>
          <t>D501</t>
        </is>
      </c>
      <c r="B66" t="inlineStr">
        <is>
          <t>High school transcript</t>
        </is>
      </c>
      <c r="C66" t="inlineStr">
        <is>
          <t>Required of All</t>
        </is>
      </c>
      <c r="D66" t="inlineStr">
        <is>
          <t>Transfer Admission</t>
        </is>
      </c>
      <c r="E66" t="inlineStr">
        <is>
          <t>Application for Admission</t>
        </is>
      </c>
      <c r="F66" t="inlineStr">
        <is>
          <t>Requirements</t>
        </is>
      </c>
      <c r="G66" t="inlineStr">
        <is>
          <t>Undergraduates</t>
        </is>
      </c>
      <c r="H66" t="inlineStr">
        <is>
          <t>Transfer</t>
        </is>
      </c>
      <c r="I66" t="inlineStr">
        <is>
          <t>All</t>
        </is>
      </c>
      <c r="J66" t="inlineStr">
        <is>
          <t>All</t>
        </is>
      </c>
      <c r="K66" t="inlineStr">
        <is>
          <t>All</t>
        </is>
      </c>
      <c r="L66" t="inlineStr">
        <is>
          <t>Text</t>
        </is>
      </c>
    </row>
    <row r="67" ht="18" customHeight="1" s="44">
      <c r="A67" t="inlineStr">
        <is>
          <t>D502</t>
        </is>
      </c>
      <c r="B67" t="inlineStr">
        <is>
          <t>College transcript(s)</t>
        </is>
      </c>
      <c r="C67" t="inlineStr">
        <is>
          <t>Required of All</t>
        </is>
      </c>
      <c r="D67" t="inlineStr">
        <is>
          <t>Transfer Admission</t>
        </is>
      </c>
      <c r="E67" t="inlineStr">
        <is>
          <t>Application for Admission</t>
        </is>
      </c>
      <c r="F67" t="inlineStr">
        <is>
          <t>Requirements</t>
        </is>
      </c>
      <c r="G67" t="inlineStr">
        <is>
          <t>Undergraduates</t>
        </is>
      </c>
      <c r="H67" t="inlineStr">
        <is>
          <t>Transfer</t>
        </is>
      </c>
      <c r="I67" t="inlineStr">
        <is>
          <t>All</t>
        </is>
      </c>
      <c r="J67" t="inlineStr">
        <is>
          <t>All</t>
        </is>
      </c>
      <c r="K67" t="inlineStr">
        <is>
          <t>All</t>
        </is>
      </c>
      <c r="L67" t="inlineStr">
        <is>
          <t>Text</t>
        </is>
      </c>
    </row>
    <row r="68" ht="18" customHeight="1" s="44">
      <c r="A68" t="inlineStr">
        <is>
          <t>D503</t>
        </is>
      </c>
      <c r="B68" t="inlineStr">
        <is>
          <t>Essay or personal statement</t>
        </is>
      </c>
      <c r="C68" t="inlineStr">
        <is>
          <t>Required of All</t>
        </is>
      </c>
      <c r="D68" t="inlineStr">
        <is>
          <t>Transfer Admission</t>
        </is>
      </c>
      <c r="E68" t="inlineStr">
        <is>
          <t>Application for Admission</t>
        </is>
      </c>
      <c r="F68" t="inlineStr">
        <is>
          <t>Requirements</t>
        </is>
      </c>
      <c r="G68" t="inlineStr">
        <is>
          <t>Undergraduates</t>
        </is>
      </c>
      <c r="H68" t="inlineStr">
        <is>
          <t>Transfer</t>
        </is>
      </c>
      <c r="I68" t="inlineStr">
        <is>
          <t>All</t>
        </is>
      </c>
      <c r="J68" t="inlineStr">
        <is>
          <t>All</t>
        </is>
      </c>
      <c r="K68" t="inlineStr">
        <is>
          <t>All</t>
        </is>
      </c>
      <c r="L68" t="inlineStr">
        <is>
          <t>Text</t>
        </is>
      </c>
    </row>
    <row r="69" ht="18" customHeight="1" s="44">
      <c r="A69" t="inlineStr">
        <is>
          <t>D504</t>
        </is>
      </c>
      <c r="B69" t="inlineStr">
        <is>
          <t>Interview</t>
        </is>
      </c>
      <c r="C69" t="inlineStr">
        <is>
          <t>Not Required</t>
        </is>
      </c>
      <c r="D69" t="inlineStr">
        <is>
          <t>Transfer Admission</t>
        </is>
      </c>
      <c r="E69" t="inlineStr">
        <is>
          <t>Application for Admission</t>
        </is>
      </c>
      <c r="F69" t="inlineStr">
        <is>
          <t>Requirements</t>
        </is>
      </c>
      <c r="G69" t="inlineStr">
        <is>
          <t>Undergraduates</t>
        </is>
      </c>
      <c r="H69" t="inlineStr">
        <is>
          <t>Transfer</t>
        </is>
      </c>
      <c r="I69" t="inlineStr">
        <is>
          <t>All</t>
        </is>
      </c>
      <c r="J69" t="inlineStr">
        <is>
          <t>All</t>
        </is>
      </c>
      <c r="K69" t="inlineStr">
        <is>
          <t>All</t>
        </is>
      </c>
      <c r="L69" t="inlineStr">
        <is>
          <t>Text</t>
        </is>
      </c>
    </row>
    <row r="70" ht="18" customHeight="1" s="44">
      <c r="A70" t="inlineStr">
        <is>
          <t>D505</t>
        </is>
      </c>
      <c r="B70" t="inlineStr">
        <is>
          <t>Standardized test scores</t>
        </is>
      </c>
      <c r="C70" t="inlineStr">
        <is>
          <t>Not Required</t>
        </is>
      </c>
      <c r="D70" t="inlineStr">
        <is>
          <t>Transfer Admission</t>
        </is>
      </c>
      <c r="E70" t="inlineStr">
        <is>
          <t>Application for Admission</t>
        </is>
      </c>
      <c r="F70" t="inlineStr">
        <is>
          <t>Requirements</t>
        </is>
      </c>
      <c r="G70" t="inlineStr">
        <is>
          <t>Undergraduates</t>
        </is>
      </c>
      <c r="H70" t="inlineStr">
        <is>
          <t>Transfer</t>
        </is>
      </c>
      <c r="I70" t="inlineStr">
        <is>
          <t>All</t>
        </is>
      </c>
      <c r="J70" t="inlineStr">
        <is>
          <t>All</t>
        </is>
      </c>
      <c r="K70" t="inlineStr">
        <is>
          <t>All</t>
        </is>
      </c>
      <c r="L70" t="inlineStr">
        <is>
          <t>Text</t>
        </is>
      </c>
    </row>
    <row r="71" ht="18" customHeight="1" s="44">
      <c r="A71" t="inlineStr">
        <is>
          <t>D506</t>
        </is>
      </c>
      <c r="B71" t="inlineStr">
        <is>
          <t>Statement of good standing from prior institution(s)</t>
        </is>
      </c>
      <c r="C71" t="inlineStr">
        <is>
          <t>Not Required</t>
        </is>
      </c>
      <c r="D71" t="inlineStr">
        <is>
          <t>Transfer Admission</t>
        </is>
      </c>
      <c r="E71" t="inlineStr">
        <is>
          <t>Application for Admission</t>
        </is>
      </c>
      <c r="F71" t="inlineStr">
        <is>
          <t>Requirements</t>
        </is>
      </c>
      <c r="G71" t="inlineStr">
        <is>
          <t>Undergraduates</t>
        </is>
      </c>
      <c r="H71" t="inlineStr">
        <is>
          <t>Transfer</t>
        </is>
      </c>
      <c r="I71" t="inlineStr">
        <is>
          <t>All</t>
        </is>
      </c>
      <c r="J71" t="inlineStr">
        <is>
          <t>All</t>
        </is>
      </c>
      <c r="K71" t="inlineStr">
        <is>
          <t>All</t>
        </is>
      </c>
      <c r="L71" t="inlineStr">
        <is>
          <t>Text</t>
        </is>
      </c>
    </row>
    <row r="72"/>
    <row r="73"/>
    <row r="74" ht="45" customHeight="1" s="44">
      <c r="A74" t="inlineStr">
        <is>
          <t>D601</t>
        </is>
      </c>
      <c r="B74" s="2" t="inlineStr">
        <is>
          <t>If a minimum high school grade point average is required of transfer applicants, specify (on a 4.0 scale):</t>
        </is>
      </c>
      <c r="D74" t="inlineStr">
        <is>
          <t>Transfer Admission</t>
        </is>
      </c>
      <c r="E74" t="inlineStr">
        <is>
          <t>Application for Admission</t>
        </is>
      </c>
      <c r="F74" t="inlineStr">
        <is>
          <t>Requirements</t>
        </is>
      </c>
      <c r="G74" t="inlineStr">
        <is>
          <t>Undergraduates</t>
        </is>
      </c>
      <c r="H74" t="inlineStr">
        <is>
          <t>Transfer</t>
        </is>
      </c>
      <c r="I74" t="inlineStr">
        <is>
          <t>All</t>
        </is>
      </c>
      <c r="J74" t="inlineStr">
        <is>
          <t>All</t>
        </is>
      </c>
      <c r="K74" t="inlineStr">
        <is>
          <t>All</t>
        </is>
      </c>
      <c r="L74" t="inlineStr">
        <is>
          <t>Round to Nearest Hundredths</t>
        </is>
      </c>
    </row>
    <row r="75"/>
    <row r="76"/>
    <row r="77" ht="60" customHeight="1" s="44">
      <c r="A77" t="inlineStr">
        <is>
          <t>D701</t>
        </is>
      </c>
      <c r="B77" s="2" t="inlineStr">
        <is>
          <t xml:space="preserve">If a minimum college grade point average is required of transfer applicants, specify (on a 4.0 scale):
</t>
        </is>
      </c>
      <c r="C77" s="2" t="n"/>
      <c r="D77" t="inlineStr">
        <is>
          <t>Transfer Admission</t>
        </is>
      </c>
      <c r="E77" t="inlineStr">
        <is>
          <t>Application for Admission</t>
        </is>
      </c>
      <c r="F77" t="inlineStr">
        <is>
          <t>Requirements</t>
        </is>
      </c>
      <c r="G77" t="inlineStr">
        <is>
          <t>Undergraduates</t>
        </is>
      </c>
      <c r="H77" t="inlineStr">
        <is>
          <t>Transfer</t>
        </is>
      </c>
      <c r="I77" t="inlineStr">
        <is>
          <t>All</t>
        </is>
      </c>
      <c r="J77" t="inlineStr">
        <is>
          <t>All</t>
        </is>
      </c>
      <c r="K77" t="inlineStr">
        <is>
          <t>All</t>
        </is>
      </c>
      <c r="L77" t="inlineStr">
        <is>
          <t>Round to Nearest Hundredths</t>
        </is>
      </c>
    </row>
    <row r="78">
      <c r="B78" s="2" t="n"/>
      <c r="C78" s="2" t="n"/>
    </row>
    <row r="79" ht="18" customHeight="1" s="44"/>
    <row r="80" ht="30" customHeight="1" s="44">
      <c r="A80" t="inlineStr">
        <is>
          <t>D801</t>
        </is>
      </c>
      <c r="B80" s="2" t="inlineStr">
        <is>
          <t>List any other application requirements specific to transfer applicants:</t>
        </is>
      </c>
      <c r="C80" s="2" t="n"/>
      <c r="D80" t="inlineStr">
        <is>
          <t>Transfer Admission</t>
        </is>
      </c>
      <c r="E80" t="inlineStr">
        <is>
          <t>Application for Admission</t>
        </is>
      </c>
      <c r="F80" t="inlineStr">
        <is>
          <t>Requirements</t>
        </is>
      </c>
      <c r="G80" t="inlineStr">
        <is>
          <t>Undergraduates</t>
        </is>
      </c>
      <c r="H80" t="inlineStr">
        <is>
          <t>Transfer</t>
        </is>
      </c>
      <c r="I80" t="inlineStr">
        <is>
          <t>All</t>
        </is>
      </c>
      <c r="J80" t="inlineStr">
        <is>
          <t>All</t>
        </is>
      </c>
      <c r="K80" t="inlineStr">
        <is>
          <t>All</t>
        </is>
      </c>
      <c r="L80" t="inlineStr">
        <is>
          <t>Text</t>
        </is>
      </c>
    </row>
    <row r="81">
      <c r="B81" s="2" t="n"/>
      <c r="C81" s="2" t="n"/>
    </row>
    <row r="82"/>
    <row r="83"/>
    <row r="84"/>
    <row r="85"/>
    <row r="86"/>
    <row r="87" ht="18" customHeight="1" s="44"/>
    <row r="88" ht="18" customHeight="1" s="44">
      <c r="A88" t="inlineStr">
        <is>
          <t>D901</t>
        </is>
      </c>
      <c r="B88" t="inlineStr">
        <is>
          <t>Fall</t>
        </is>
      </c>
      <c r="C88" s="46" t="n">
        <v>46054</v>
      </c>
      <c r="D88" t="inlineStr">
        <is>
          <t>Transfer Admission</t>
        </is>
      </c>
      <c r="E88" t="inlineStr">
        <is>
          <t>Application for Admission</t>
        </is>
      </c>
      <c r="F88" t="inlineStr">
        <is>
          <t>Dates</t>
        </is>
      </c>
      <c r="G88" t="inlineStr">
        <is>
          <t>Undergraduates</t>
        </is>
      </c>
      <c r="H88" t="inlineStr">
        <is>
          <t>Transfer</t>
        </is>
      </c>
      <c r="I88" t="inlineStr">
        <is>
          <t>All</t>
        </is>
      </c>
      <c r="J88" t="inlineStr">
        <is>
          <t>All</t>
        </is>
      </c>
      <c r="K88" t="inlineStr">
        <is>
          <t>All</t>
        </is>
      </c>
      <c r="L88" t="inlineStr">
        <is>
          <t>MM-DD</t>
        </is>
      </c>
    </row>
    <row r="89" ht="18" customHeight="1" s="44">
      <c r="A89" t="inlineStr">
        <is>
          <t>D902</t>
        </is>
      </c>
      <c r="B89" t="inlineStr">
        <is>
          <t>Winter</t>
        </is>
      </c>
      <c r="D89" t="inlineStr">
        <is>
          <t>Transfer Admission</t>
        </is>
      </c>
      <c r="E89" t="inlineStr">
        <is>
          <t>Application for Admission</t>
        </is>
      </c>
      <c r="F89" t="inlineStr">
        <is>
          <t>Dates</t>
        </is>
      </c>
      <c r="G89" t="inlineStr">
        <is>
          <t>Undergraduates</t>
        </is>
      </c>
      <c r="H89" t="inlineStr">
        <is>
          <t>Transfer</t>
        </is>
      </c>
      <c r="I89" t="inlineStr">
        <is>
          <t>All</t>
        </is>
      </c>
      <c r="J89" t="inlineStr">
        <is>
          <t>All</t>
        </is>
      </c>
      <c r="K89" t="inlineStr">
        <is>
          <t>All</t>
        </is>
      </c>
      <c r="L89" t="inlineStr">
        <is>
          <t>MM-DD</t>
        </is>
      </c>
    </row>
    <row r="90" ht="18" customHeight="1" s="44">
      <c r="A90" t="inlineStr">
        <is>
          <t>D903</t>
        </is>
      </c>
      <c r="B90" t="inlineStr">
        <is>
          <t>Spring</t>
        </is>
      </c>
      <c r="D90" t="inlineStr">
        <is>
          <t>Transfer Admission</t>
        </is>
      </c>
      <c r="E90" t="inlineStr">
        <is>
          <t>Application for Admission</t>
        </is>
      </c>
      <c r="F90" t="inlineStr">
        <is>
          <t>Dates</t>
        </is>
      </c>
      <c r="G90" t="inlineStr">
        <is>
          <t>Undergraduates</t>
        </is>
      </c>
      <c r="H90" t="inlineStr">
        <is>
          <t>Transfer</t>
        </is>
      </c>
      <c r="I90" t="inlineStr">
        <is>
          <t>All</t>
        </is>
      </c>
      <c r="J90" t="inlineStr">
        <is>
          <t>All</t>
        </is>
      </c>
      <c r="K90" t="inlineStr">
        <is>
          <t>All</t>
        </is>
      </c>
      <c r="L90" t="inlineStr">
        <is>
          <t>MM-DD</t>
        </is>
      </c>
    </row>
    <row r="91" ht="18" customHeight="1" s="44">
      <c r="A91" t="inlineStr">
        <is>
          <t>D904</t>
        </is>
      </c>
      <c r="B91" t="inlineStr">
        <is>
          <t>Summer</t>
        </is>
      </c>
      <c r="D91" t="inlineStr">
        <is>
          <t>Transfer Admission</t>
        </is>
      </c>
      <c r="E91" t="inlineStr">
        <is>
          <t>Application for Admission</t>
        </is>
      </c>
      <c r="F91" t="inlineStr">
        <is>
          <t>Dates</t>
        </is>
      </c>
      <c r="G91" t="inlineStr">
        <is>
          <t>Undergraduates</t>
        </is>
      </c>
      <c r="H91" t="inlineStr">
        <is>
          <t>Transfer</t>
        </is>
      </c>
      <c r="I91" t="inlineStr">
        <is>
          <t>All</t>
        </is>
      </c>
      <c r="J91" t="inlineStr">
        <is>
          <t>All</t>
        </is>
      </c>
      <c r="K91" t="inlineStr">
        <is>
          <t>All</t>
        </is>
      </c>
      <c r="L91" t="inlineStr">
        <is>
          <t>MM-DD</t>
        </is>
      </c>
    </row>
    <row r="92"/>
    <row r="93" ht="18" customHeight="1" s="44"/>
    <row r="94" ht="18" customHeight="1" s="44">
      <c r="A94" t="inlineStr">
        <is>
          <t>D905</t>
        </is>
      </c>
      <c r="B94" t="inlineStr">
        <is>
          <t>Fall</t>
        </is>
      </c>
      <c r="C94" s="46" t="n">
        <v>46082</v>
      </c>
      <c r="D94" t="inlineStr">
        <is>
          <t>Transfer Admission</t>
        </is>
      </c>
      <c r="E94" t="inlineStr">
        <is>
          <t>Application for Admission</t>
        </is>
      </c>
      <c r="F94" t="inlineStr">
        <is>
          <t>Dates</t>
        </is>
      </c>
      <c r="G94" t="inlineStr">
        <is>
          <t>Undergraduates</t>
        </is>
      </c>
      <c r="H94" t="inlineStr">
        <is>
          <t>Transfer</t>
        </is>
      </c>
      <c r="I94" t="inlineStr">
        <is>
          <t>All</t>
        </is>
      </c>
      <c r="J94" t="inlineStr">
        <is>
          <t>All</t>
        </is>
      </c>
      <c r="K94" t="inlineStr">
        <is>
          <t>All</t>
        </is>
      </c>
      <c r="L94" t="inlineStr">
        <is>
          <t>MM-DD</t>
        </is>
      </c>
    </row>
    <row r="95" ht="18" customHeight="1" s="44">
      <c r="A95" t="inlineStr">
        <is>
          <t>D906</t>
        </is>
      </c>
      <c r="B95" t="inlineStr">
        <is>
          <t>Winter</t>
        </is>
      </c>
      <c r="D95" t="inlineStr">
        <is>
          <t>Transfer Admission</t>
        </is>
      </c>
      <c r="E95" t="inlineStr">
        <is>
          <t>Application for Admission</t>
        </is>
      </c>
      <c r="F95" t="inlineStr">
        <is>
          <t>Dates</t>
        </is>
      </c>
      <c r="G95" t="inlineStr">
        <is>
          <t>Undergraduates</t>
        </is>
      </c>
      <c r="H95" t="inlineStr">
        <is>
          <t>Transfer</t>
        </is>
      </c>
      <c r="I95" t="inlineStr">
        <is>
          <t>All</t>
        </is>
      </c>
      <c r="J95" t="inlineStr">
        <is>
          <t>All</t>
        </is>
      </c>
      <c r="K95" t="inlineStr">
        <is>
          <t>All</t>
        </is>
      </c>
      <c r="L95" t="inlineStr">
        <is>
          <t>MM-DD</t>
        </is>
      </c>
    </row>
    <row r="96" ht="18" customHeight="1" s="44">
      <c r="A96" t="inlineStr">
        <is>
          <t>D907</t>
        </is>
      </c>
      <c r="B96" t="inlineStr">
        <is>
          <t>Spring</t>
        </is>
      </c>
      <c r="C96" s="46" t="n">
        <v>45931</v>
      </c>
      <c r="D96" t="inlineStr">
        <is>
          <t>Transfer Admission</t>
        </is>
      </c>
      <c r="E96" t="inlineStr">
        <is>
          <t>Application for Admission</t>
        </is>
      </c>
      <c r="F96" t="inlineStr">
        <is>
          <t>Dates</t>
        </is>
      </c>
      <c r="G96" t="inlineStr">
        <is>
          <t>Undergraduates</t>
        </is>
      </c>
      <c r="H96" t="inlineStr">
        <is>
          <t>Transfer</t>
        </is>
      </c>
      <c r="I96" t="inlineStr">
        <is>
          <t>All</t>
        </is>
      </c>
      <c r="J96" t="inlineStr">
        <is>
          <t>All</t>
        </is>
      </c>
      <c r="K96" t="inlineStr">
        <is>
          <t>All</t>
        </is>
      </c>
      <c r="L96" t="inlineStr">
        <is>
          <t>MM-DD</t>
        </is>
      </c>
    </row>
    <row r="97" ht="18" customHeight="1" s="44">
      <c r="A97" t="inlineStr">
        <is>
          <t>D908</t>
        </is>
      </c>
      <c r="B97" t="inlineStr">
        <is>
          <t>Summer</t>
        </is>
      </c>
      <c r="D97" t="inlineStr">
        <is>
          <t>Transfer Admission</t>
        </is>
      </c>
      <c r="E97" t="inlineStr">
        <is>
          <t>Application for Admission</t>
        </is>
      </c>
      <c r="F97" t="inlineStr">
        <is>
          <t>Dates</t>
        </is>
      </c>
      <c r="G97" t="inlineStr">
        <is>
          <t>Undergraduates</t>
        </is>
      </c>
      <c r="H97" t="inlineStr">
        <is>
          <t>Transfer</t>
        </is>
      </c>
      <c r="I97" t="inlineStr">
        <is>
          <t>All</t>
        </is>
      </c>
      <c r="J97" t="inlineStr">
        <is>
          <t>All</t>
        </is>
      </c>
      <c r="K97" t="inlineStr">
        <is>
          <t>All</t>
        </is>
      </c>
      <c r="L97" t="inlineStr">
        <is>
          <t>MM-DD</t>
        </is>
      </c>
    </row>
    <row r="98"/>
    <row r="99" ht="18" customHeight="1" s="44"/>
    <row r="100" ht="18" customHeight="1" s="44">
      <c r="A100" t="inlineStr">
        <is>
          <t>D909</t>
        </is>
      </c>
      <c r="B100" t="inlineStr">
        <is>
          <t>Fall</t>
        </is>
      </c>
      <c r="C100" s="46" t="n">
        <v>46112</v>
      </c>
      <c r="D100" t="inlineStr">
        <is>
          <t>Transfer Admission</t>
        </is>
      </c>
      <c r="E100" t="inlineStr">
        <is>
          <t>Application for Admission</t>
        </is>
      </c>
      <c r="F100" t="inlineStr">
        <is>
          <t>Dates</t>
        </is>
      </c>
      <c r="G100" t="inlineStr">
        <is>
          <t>Undergraduates</t>
        </is>
      </c>
      <c r="H100" t="inlineStr">
        <is>
          <t>Transfer</t>
        </is>
      </c>
      <c r="I100" t="inlineStr">
        <is>
          <t>All</t>
        </is>
      </c>
      <c r="J100" t="inlineStr">
        <is>
          <t>All</t>
        </is>
      </c>
      <c r="K100" t="inlineStr">
        <is>
          <t>All</t>
        </is>
      </c>
      <c r="L100" t="inlineStr">
        <is>
          <t>MM-DD</t>
        </is>
      </c>
    </row>
    <row r="101" ht="18" customHeight="1" s="44">
      <c r="A101" t="inlineStr">
        <is>
          <t>D910</t>
        </is>
      </c>
      <c r="B101" t="inlineStr">
        <is>
          <t>Winter</t>
        </is>
      </c>
      <c r="D101" t="inlineStr">
        <is>
          <t>Transfer Admission</t>
        </is>
      </c>
      <c r="E101" t="inlineStr">
        <is>
          <t>Application for Admission</t>
        </is>
      </c>
      <c r="F101" t="inlineStr">
        <is>
          <t>Dates</t>
        </is>
      </c>
      <c r="G101" t="inlineStr">
        <is>
          <t>Undergraduates</t>
        </is>
      </c>
      <c r="H101" t="inlineStr">
        <is>
          <t>Transfer</t>
        </is>
      </c>
      <c r="I101" t="inlineStr">
        <is>
          <t>All</t>
        </is>
      </c>
      <c r="J101" t="inlineStr">
        <is>
          <t>All</t>
        </is>
      </c>
      <c r="K101" t="inlineStr">
        <is>
          <t>All</t>
        </is>
      </c>
      <c r="L101" t="inlineStr">
        <is>
          <t>MM-DD</t>
        </is>
      </c>
    </row>
    <row r="102" ht="18" customHeight="1" s="44">
      <c r="A102" t="inlineStr">
        <is>
          <t>D911</t>
        </is>
      </c>
      <c r="B102" t="inlineStr">
        <is>
          <t>Spring</t>
        </is>
      </c>
      <c r="C102" s="46" t="n">
        <v>46022</v>
      </c>
      <c r="D102" t="inlineStr">
        <is>
          <t>Transfer Admission</t>
        </is>
      </c>
      <c r="E102" t="inlineStr">
        <is>
          <t>Application for Admission</t>
        </is>
      </c>
      <c r="F102" t="inlineStr">
        <is>
          <t>Dates</t>
        </is>
      </c>
      <c r="G102" t="inlineStr">
        <is>
          <t>Undergraduates</t>
        </is>
      </c>
      <c r="H102" t="inlineStr">
        <is>
          <t>Transfer</t>
        </is>
      </c>
      <c r="I102" t="inlineStr">
        <is>
          <t>All</t>
        </is>
      </c>
      <c r="J102" t="inlineStr">
        <is>
          <t>All</t>
        </is>
      </c>
      <c r="K102" t="inlineStr">
        <is>
          <t>All</t>
        </is>
      </c>
      <c r="L102" t="inlineStr">
        <is>
          <t>MM-DD</t>
        </is>
      </c>
    </row>
    <row r="103" ht="18" customHeight="1" s="44">
      <c r="A103" t="inlineStr">
        <is>
          <t>D912</t>
        </is>
      </c>
      <c r="B103" t="inlineStr">
        <is>
          <t>Summer</t>
        </is>
      </c>
      <c r="D103" t="inlineStr">
        <is>
          <t>Transfer Admission</t>
        </is>
      </c>
      <c r="E103" t="inlineStr">
        <is>
          <t>Application for Admission</t>
        </is>
      </c>
      <c r="F103" t="inlineStr">
        <is>
          <t>Dates</t>
        </is>
      </c>
      <c r="G103" t="inlineStr">
        <is>
          <t>Undergraduates</t>
        </is>
      </c>
      <c r="H103" t="inlineStr">
        <is>
          <t>Transfer</t>
        </is>
      </c>
      <c r="I103" t="inlineStr">
        <is>
          <t>All</t>
        </is>
      </c>
      <c r="J103" t="inlineStr">
        <is>
          <t>All</t>
        </is>
      </c>
      <c r="K103" t="inlineStr">
        <is>
          <t>All</t>
        </is>
      </c>
      <c r="L103" t="inlineStr">
        <is>
          <t>MM-DD</t>
        </is>
      </c>
    </row>
    <row r="104"/>
    <row r="105" ht="18" customHeight="1" s="44"/>
    <row r="106" ht="18" customHeight="1" s="44">
      <c r="A106" t="inlineStr">
        <is>
          <t>D913</t>
        </is>
      </c>
      <c r="B106" t="inlineStr">
        <is>
          <t>Fall</t>
        </is>
      </c>
      <c r="C106" s="46" t="n">
        <v>46174</v>
      </c>
      <c r="D106" t="inlineStr">
        <is>
          <t>Transfer Admission</t>
        </is>
      </c>
      <c r="E106" t="inlineStr">
        <is>
          <t>Application for Admission</t>
        </is>
      </c>
      <c r="F106" t="inlineStr">
        <is>
          <t>Dates</t>
        </is>
      </c>
      <c r="G106" t="inlineStr">
        <is>
          <t>Undergraduates</t>
        </is>
      </c>
      <c r="H106" t="inlineStr">
        <is>
          <t>Transfer</t>
        </is>
      </c>
      <c r="I106" t="inlineStr">
        <is>
          <t>All</t>
        </is>
      </c>
      <c r="J106" t="inlineStr">
        <is>
          <t>All</t>
        </is>
      </c>
      <c r="K106" t="inlineStr">
        <is>
          <t>All</t>
        </is>
      </c>
      <c r="L106" t="inlineStr">
        <is>
          <t>MM-DD</t>
        </is>
      </c>
    </row>
    <row r="107" ht="18" customHeight="1" s="44">
      <c r="A107" t="inlineStr">
        <is>
          <t>D914</t>
        </is>
      </c>
      <c r="B107" t="inlineStr">
        <is>
          <t>Winter</t>
        </is>
      </c>
      <c r="D107" t="inlineStr">
        <is>
          <t>Transfer Admission</t>
        </is>
      </c>
      <c r="E107" t="inlineStr">
        <is>
          <t>Application for Admission</t>
        </is>
      </c>
      <c r="F107" t="inlineStr">
        <is>
          <t>Dates</t>
        </is>
      </c>
      <c r="G107" t="inlineStr">
        <is>
          <t>Undergraduates</t>
        </is>
      </c>
      <c r="H107" t="inlineStr">
        <is>
          <t>Transfer</t>
        </is>
      </c>
      <c r="I107" t="inlineStr">
        <is>
          <t>All</t>
        </is>
      </c>
      <c r="J107" t="inlineStr">
        <is>
          <t>All</t>
        </is>
      </c>
      <c r="K107" t="inlineStr">
        <is>
          <t>All</t>
        </is>
      </c>
      <c r="L107" t="inlineStr">
        <is>
          <t>MM-DD</t>
        </is>
      </c>
    </row>
    <row r="108" ht="18" customHeight="1" s="44">
      <c r="A108" t="inlineStr">
        <is>
          <t>D915</t>
        </is>
      </c>
      <c r="B108" t="inlineStr">
        <is>
          <t>Spring</t>
        </is>
      </c>
      <c r="C108" s="46" t="n">
        <v>46006</v>
      </c>
      <c r="D108" t="inlineStr">
        <is>
          <t>Transfer Admission</t>
        </is>
      </c>
      <c r="E108" t="inlineStr">
        <is>
          <t>Application for Admission</t>
        </is>
      </c>
      <c r="F108" t="inlineStr">
        <is>
          <t>Dates</t>
        </is>
      </c>
      <c r="G108" t="inlineStr">
        <is>
          <t>Undergraduates</t>
        </is>
      </c>
      <c r="H108" t="inlineStr">
        <is>
          <t>Transfer</t>
        </is>
      </c>
      <c r="I108" t="inlineStr">
        <is>
          <t>All</t>
        </is>
      </c>
      <c r="J108" t="inlineStr">
        <is>
          <t>All</t>
        </is>
      </c>
      <c r="K108" t="inlineStr">
        <is>
          <t>All</t>
        </is>
      </c>
      <c r="L108" t="inlineStr">
        <is>
          <t>MM-DD</t>
        </is>
      </c>
    </row>
    <row r="109" ht="18" customHeight="1" s="44">
      <c r="A109" t="inlineStr">
        <is>
          <t>D916</t>
        </is>
      </c>
      <c r="B109" t="inlineStr">
        <is>
          <t>Summer</t>
        </is>
      </c>
      <c r="D109" t="inlineStr">
        <is>
          <t>Transfer Admission</t>
        </is>
      </c>
      <c r="E109" t="inlineStr">
        <is>
          <t>Application for Admission</t>
        </is>
      </c>
      <c r="F109" t="inlineStr">
        <is>
          <t>Dates</t>
        </is>
      </c>
      <c r="G109" t="inlineStr">
        <is>
          <t>Undergraduates</t>
        </is>
      </c>
      <c r="H109" t="inlineStr">
        <is>
          <t>Transfer</t>
        </is>
      </c>
      <c r="I109" t="inlineStr">
        <is>
          <t>All</t>
        </is>
      </c>
      <c r="J109" t="inlineStr">
        <is>
          <t>All</t>
        </is>
      </c>
      <c r="K109" t="inlineStr">
        <is>
          <t>All</t>
        </is>
      </c>
      <c r="L109" t="inlineStr">
        <is>
          <t>MM-DD</t>
        </is>
      </c>
    </row>
    <row r="110"/>
    <row r="111" ht="18" customHeight="1" s="44"/>
    <row r="112" ht="18" customHeight="1" s="44">
      <c r="A112" t="inlineStr">
        <is>
          <t>D917</t>
        </is>
      </c>
      <c r="B112" t="inlineStr">
        <is>
          <t>Fall</t>
        </is>
      </c>
      <c r="D112" t="inlineStr">
        <is>
          <t>Transfer Admission</t>
        </is>
      </c>
      <c r="E112" t="inlineStr">
        <is>
          <t>Application for Admission</t>
        </is>
      </c>
      <c r="F112" t="inlineStr">
        <is>
          <t>Dates</t>
        </is>
      </c>
      <c r="G112" t="inlineStr">
        <is>
          <t>Undergraduates</t>
        </is>
      </c>
      <c r="H112" t="inlineStr">
        <is>
          <t>Transfer</t>
        </is>
      </c>
      <c r="I112" t="inlineStr">
        <is>
          <t>All</t>
        </is>
      </c>
      <c r="J112" t="inlineStr">
        <is>
          <t>All</t>
        </is>
      </c>
      <c r="K112" t="inlineStr">
        <is>
          <t>All</t>
        </is>
      </c>
      <c r="L112" t="inlineStr">
        <is>
          <t>MM-DD</t>
        </is>
      </c>
    </row>
    <row r="113" ht="18" customHeight="1" s="44">
      <c r="A113" t="inlineStr">
        <is>
          <t>D918</t>
        </is>
      </c>
      <c r="B113" t="inlineStr">
        <is>
          <t>Winter</t>
        </is>
      </c>
      <c r="D113" t="inlineStr">
        <is>
          <t>Transfer Admission</t>
        </is>
      </c>
      <c r="E113" t="inlineStr">
        <is>
          <t>Application for Admission</t>
        </is>
      </c>
      <c r="F113" t="inlineStr">
        <is>
          <t>Dates</t>
        </is>
      </c>
      <c r="G113" t="inlineStr">
        <is>
          <t>Undergraduates</t>
        </is>
      </c>
      <c r="H113" t="inlineStr">
        <is>
          <t>Transfer</t>
        </is>
      </c>
      <c r="I113" t="inlineStr">
        <is>
          <t>All</t>
        </is>
      </c>
      <c r="J113" t="inlineStr">
        <is>
          <t>All</t>
        </is>
      </c>
      <c r="K113" t="inlineStr">
        <is>
          <t>All</t>
        </is>
      </c>
      <c r="L113" t="inlineStr">
        <is>
          <t>MM-DD</t>
        </is>
      </c>
    </row>
    <row r="114" ht="18" customHeight="1" s="44">
      <c r="A114" t="inlineStr">
        <is>
          <t>D919</t>
        </is>
      </c>
      <c r="B114" t="inlineStr">
        <is>
          <t>Spring</t>
        </is>
      </c>
      <c r="D114" t="inlineStr">
        <is>
          <t>Transfer Admission</t>
        </is>
      </c>
      <c r="E114" t="inlineStr">
        <is>
          <t>Application for Admission</t>
        </is>
      </c>
      <c r="F114" t="inlineStr">
        <is>
          <t>Dates</t>
        </is>
      </c>
      <c r="G114" t="inlineStr">
        <is>
          <t>Undergraduates</t>
        </is>
      </c>
      <c r="H114" t="inlineStr">
        <is>
          <t>Transfer</t>
        </is>
      </c>
      <c r="I114" t="inlineStr">
        <is>
          <t>All</t>
        </is>
      </c>
      <c r="J114" t="inlineStr">
        <is>
          <t>All</t>
        </is>
      </c>
      <c r="K114" t="inlineStr">
        <is>
          <t>All</t>
        </is>
      </c>
      <c r="L114" t="inlineStr">
        <is>
          <t>MM-DD</t>
        </is>
      </c>
    </row>
    <row r="115" ht="18" customHeight="1" s="44">
      <c r="A115" t="inlineStr">
        <is>
          <t>D920</t>
        </is>
      </c>
      <c r="B115" t="inlineStr">
        <is>
          <t>Summer</t>
        </is>
      </c>
      <c r="D115" t="inlineStr">
        <is>
          <t>Transfer Admission</t>
        </is>
      </c>
      <c r="E115" t="inlineStr">
        <is>
          <t>Application for Admission</t>
        </is>
      </c>
      <c r="F115" t="inlineStr">
        <is>
          <t>Dates</t>
        </is>
      </c>
      <c r="G115" t="inlineStr">
        <is>
          <t>Undergraduates</t>
        </is>
      </c>
      <c r="H115" t="inlineStr">
        <is>
          <t>Transfer</t>
        </is>
      </c>
      <c r="I115" t="inlineStr">
        <is>
          <t>All</t>
        </is>
      </c>
      <c r="J115" t="inlineStr">
        <is>
          <t>All</t>
        </is>
      </c>
      <c r="K115" t="inlineStr">
        <is>
          <t>All</t>
        </is>
      </c>
      <c r="L115" t="inlineStr">
        <is>
          <t>MM-DD</t>
        </is>
      </c>
    </row>
    <row r="116"/>
    <row r="117" ht="18" customHeight="1" s="44"/>
    <row r="118" ht="29.25" customHeight="1" s="44">
      <c r="A118" t="inlineStr">
        <is>
          <t>D1001</t>
        </is>
      </c>
      <c r="B118" s="2" t="inlineStr">
        <is>
          <t>Does an open admission policy, if reported, apply to transfer students?</t>
        </is>
      </c>
      <c r="C118" s="2" t="inlineStr">
        <is>
          <t>N</t>
        </is>
      </c>
      <c r="D118" t="inlineStr">
        <is>
          <t>Transfer Admission</t>
        </is>
      </c>
      <c r="E118" t="inlineStr">
        <is>
          <t>Application for Admission</t>
        </is>
      </c>
      <c r="F118" t="inlineStr">
        <is>
          <t>Requirements</t>
        </is>
      </c>
      <c r="G118" t="inlineStr">
        <is>
          <t>Undergraduates</t>
        </is>
      </c>
      <c r="H118" t="inlineStr">
        <is>
          <t>Transfer</t>
        </is>
      </c>
      <c r="I118" t="inlineStr">
        <is>
          <t>All</t>
        </is>
      </c>
      <c r="J118" t="inlineStr">
        <is>
          <t>All</t>
        </is>
      </c>
      <c r="K118" t="inlineStr">
        <is>
          <t>All</t>
        </is>
      </c>
      <c r="L118" t="inlineStr">
        <is>
          <t>YN</t>
        </is>
      </c>
    </row>
    <row r="119"/>
    <row r="120" ht="18" customHeight="1" s="44"/>
    <row r="121" ht="29.25" customHeight="1" s="44">
      <c r="A121" t="inlineStr">
        <is>
          <t>D1101</t>
        </is>
      </c>
      <c r="B121" s="2" t="inlineStr">
        <is>
          <t xml:space="preserve">Describe additional requirements for transfer admission, if applicable: </t>
        </is>
      </c>
      <c r="C121" s="2" t="inlineStr">
        <is>
          <t>See https://admissions.wisc.edu/transfer-agreements/ for transfer agreements</t>
        </is>
      </c>
      <c r="D121" t="inlineStr">
        <is>
          <t>Transfer Admission</t>
        </is>
      </c>
      <c r="E121" t="inlineStr">
        <is>
          <t>Application for Admission</t>
        </is>
      </c>
      <c r="F121" t="inlineStr">
        <is>
          <t>Requirements</t>
        </is>
      </c>
      <c r="G121" t="inlineStr">
        <is>
          <t>Undergraduates</t>
        </is>
      </c>
      <c r="H121" t="inlineStr">
        <is>
          <t>Transfer</t>
        </is>
      </c>
      <c r="I121" t="inlineStr">
        <is>
          <t>All</t>
        </is>
      </c>
      <c r="J121" t="inlineStr">
        <is>
          <t>All</t>
        </is>
      </c>
      <c r="K121" t="inlineStr">
        <is>
          <t>All</t>
        </is>
      </c>
      <c r="L121" t="inlineStr">
        <is>
          <t>Text</t>
        </is>
      </c>
    </row>
    <row r="122"/>
    <row r="123"/>
    <row r="124"/>
    <row r="125"/>
    <row r="126"/>
    <row r="127"/>
    <row r="128" ht="18" customHeight="1" s="44"/>
    <row r="129" ht="30" customHeight="1" s="44">
      <c r="A129" t="inlineStr">
        <is>
          <t>D1201</t>
        </is>
      </c>
      <c r="B129" s="2" t="inlineStr">
        <is>
          <t>Report the lowest grade earned for any course that may be transferred for credit:</t>
        </is>
      </c>
      <c r="C129" t="inlineStr">
        <is>
          <t>D</t>
        </is>
      </c>
      <c r="D129" t="inlineStr">
        <is>
          <t>Transfer Admission</t>
        </is>
      </c>
      <c r="E129" t="inlineStr">
        <is>
          <t>Transfer Credit Policies</t>
        </is>
      </c>
      <c r="F129" t="inlineStr">
        <is>
          <t>Min Grade</t>
        </is>
      </c>
      <c r="G129" t="inlineStr">
        <is>
          <t>Undergraduates</t>
        </is>
      </c>
      <c r="H129" t="inlineStr">
        <is>
          <t>Transfer</t>
        </is>
      </c>
      <c r="I129" t="inlineStr">
        <is>
          <t>All</t>
        </is>
      </c>
      <c r="J129" t="inlineStr">
        <is>
          <t>All</t>
        </is>
      </c>
      <c r="K129" t="inlineStr">
        <is>
          <t>All</t>
        </is>
      </c>
      <c r="L129" t="inlineStr">
        <is>
          <t>Text</t>
        </is>
      </c>
    </row>
    <row r="130"/>
    <row r="131" ht="21.95" customHeight="1" s="44">
      <c r="B131" s="2" t="n"/>
    </row>
    <row r="132" ht="21.95" customHeight="1" s="44">
      <c r="B132" s="2" t="n"/>
    </row>
    <row r="133" ht="18" customHeight="1" s="44">
      <c r="A133" t="inlineStr">
        <is>
          <t>D1301</t>
        </is>
      </c>
      <c r="B133" s="3" t="inlineStr">
        <is>
          <t>Number</t>
        </is>
      </c>
      <c r="C133" t="n">
        <v>72</v>
      </c>
      <c r="D133" t="inlineStr">
        <is>
          <t>Transfer Admission</t>
        </is>
      </c>
      <c r="E133" t="inlineStr">
        <is>
          <t>Transfer Credit Policies</t>
        </is>
      </c>
      <c r="F133" t="inlineStr">
        <is>
          <t>Max Credits from Two-Year</t>
        </is>
      </c>
      <c r="G133" t="inlineStr">
        <is>
          <t>Undergraduates</t>
        </is>
      </c>
      <c r="H133" t="inlineStr">
        <is>
          <t>Transfer</t>
        </is>
      </c>
      <c r="I133" t="inlineStr">
        <is>
          <t>All</t>
        </is>
      </c>
      <c r="J133" t="inlineStr">
        <is>
          <t>All</t>
        </is>
      </c>
      <c r="K133" t="inlineStr">
        <is>
          <t>All</t>
        </is>
      </c>
      <c r="L133" t="inlineStr">
        <is>
          <t>Number</t>
        </is>
      </c>
    </row>
    <row r="134" ht="18" customHeight="1" s="44">
      <c r="A134" t="inlineStr">
        <is>
          <t>D1302</t>
        </is>
      </c>
      <c r="B134" s="7" t="inlineStr">
        <is>
          <t>Unit Type</t>
        </is>
      </c>
      <c r="C134" t="inlineStr">
        <is>
          <t>Credits</t>
        </is>
      </c>
      <c r="D134" t="inlineStr">
        <is>
          <t>Transfer Admission</t>
        </is>
      </c>
      <c r="E134" t="inlineStr">
        <is>
          <t>Transfer Credit Policies</t>
        </is>
      </c>
      <c r="F134" t="inlineStr">
        <is>
          <t>Max Credits from Two-Year</t>
        </is>
      </c>
      <c r="G134" t="inlineStr">
        <is>
          <t>Undergraduates</t>
        </is>
      </c>
      <c r="H134" t="inlineStr">
        <is>
          <t>Transfer</t>
        </is>
      </c>
      <c r="I134" t="inlineStr">
        <is>
          <t>All</t>
        </is>
      </c>
      <c r="J134" t="inlineStr">
        <is>
          <t>All</t>
        </is>
      </c>
      <c r="K134" t="inlineStr">
        <is>
          <t>All</t>
        </is>
      </c>
      <c r="L134" t="inlineStr">
        <is>
          <t>Unit Type</t>
        </is>
      </c>
    </row>
    <row r="135">
      <c r="B135" s="2" t="n"/>
    </row>
    <row r="136" ht="26.1" customHeight="1" s="44">
      <c r="B136" s="2" t="n"/>
    </row>
    <row r="137">
      <c r="B137" s="2" t="n"/>
    </row>
    <row r="138" ht="18" customHeight="1" s="44">
      <c r="A138" t="inlineStr">
        <is>
          <t>D1401</t>
        </is>
      </c>
      <c r="B138" s="3" t="inlineStr">
        <is>
          <t>Number</t>
        </is>
      </c>
      <c r="D138" t="inlineStr">
        <is>
          <t>Transfer Admission</t>
        </is>
      </c>
      <c r="E138" t="inlineStr">
        <is>
          <t>Transfer Credit Policies</t>
        </is>
      </c>
      <c r="F138" t="inlineStr">
        <is>
          <t>Max Credits from Four-Year</t>
        </is>
      </c>
      <c r="G138" t="inlineStr">
        <is>
          <t>Undergraduates</t>
        </is>
      </c>
      <c r="H138" t="inlineStr">
        <is>
          <t>Transfer</t>
        </is>
      </c>
      <c r="I138" t="inlineStr">
        <is>
          <t>All</t>
        </is>
      </c>
      <c r="J138" t="inlineStr">
        <is>
          <t>All</t>
        </is>
      </c>
      <c r="K138" t="inlineStr">
        <is>
          <t>All</t>
        </is>
      </c>
      <c r="L138" t="inlineStr">
        <is>
          <t>Number</t>
        </is>
      </c>
    </row>
    <row r="139" ht="18" customHeight="1" s="44">
      <c r="A139" t="inlineStr">
        <is>
          <t>D1402</t>
        </is>
      </c>
      <c r="B139" s="7" t="inlineStr">
        <is>
          <t>Unit Type</t>
        </is>
      </c>
      <c r="D139" t="inlineStr">
        <is>
          <t>Transfer Admission</t>
        </is>
      </c>
      <c r="E139" t="inlineStr">
        <is>
          <t>Transfer Credit Policies</t>
        </is>
      </c>
      <c r="F139" t="inlineStr">
        <is>
          <t>Max Credits from Four-Year</t>
        </is>
      </c>
      <c r="G139" t="inlineStr">
        <is>
          <t>Undergraduates</t>
        </is>
      </c>
      <c r="H139" t="inlineStr">
        <is>
          <t>Transfer</t>
        </is>
      </c>
      <c r="I139" t="inlineStr">
        <is>
          <t>All</t>
        </is>
      </c>
      <c r="J139" t="inlineStr">
        <is>
          <t>All</t>
        </is>
      </c>
      <c r="K139" t="inlineStr">
        <is>
          <t>All</t>
        </is>
      </c>
      <c r="L139" t="inlineStr">
        <is>
          <t>Unit Type</t>
        </is>
      </c>
    </row>
    <row r="140"/>
    <row r="141" ht="18" customHeight="1" s="44"/>
    <row r="142" ht="45" customHeight="1" s="44">
      <c r="A142" t="inlineStr">
        <is>
          <t>D1501</t>
        </is>
      </c>
      <c r="B142" s="2" t="inlineStr">
        <is>
          <t>Minimum number of credits that transfers must complete at your institution to earn an associate degree:</t>
        </is>
      </c>
      <c r="D142" t="inlineStr">
        <is>
          <t>Transfer Admission</t>
        </is>
      </c>
      <c r="E142" t="inlineStr">
        <is>
          <t>Transfer Credit Policies</t>
        </is>
      </c>
      <c r="F142" t="inlineStr">
        <is>
          <t>Min Credits</t>
        </is>
      </c>
      <c r="G142" t="inlineStr">
        <is>
          <t>Undergraduates</t>
        </is>
      </c>
      <c r="H142" t="inlineStr">
        <is>
          <t>Transfer</t>
        </is>
      </c>
      <c r="I142" t="inlineStr">
        <is>
          <t>All</t>
        </is>
      </c>
      <c r="J142" t="inlineStr">
        <is>
          <t>All</t>
        </is>
      </c>
      <c r="K142" t="inlineStr">
        <is>
          <t>All</t>
        </is>
      </c>
      <c r="L142" t="inlineStr">
        <is>
          <t>Number</t>
        </is>
      </c>
    </row>
    <row r="143">
      <c r="B143" s="2" t="n"/>
    </row>
    <row r="144" ht="18" customHeight="1" s="44"/>
    <row r="145" ht="45" customHeight="1" s="44">
      <c r="A145" t="inlineStr">
        <is>
          <t>D1601</t>
        </is>
      </c>
      <c r="B145" s="2" t="inlineStr">
        <is>
          <t>Minimum number of credits that transfers must complete at your institution to earn a bachelor’s degree:</t>
        </is>
      </c>
      <c r="C145" t="n">
        <v>30</v>
      </c>
      <c r="D145" t="inlineStr">
        <is>
          <t>Transfer Admission</t>
        </is>
      </c>
      <c r="E145" t="inlineStr">
        <is>
          <t>Transfer Credit Policies</t>
        </is>
      </c>
      <c r="F145" t="inlineStr">
        <is>
          <t>Min Credits</t>
        </is>
      </c>
      <c r="G145" t="inlineStr">
        <is>
          <t>Undergraduates</t>
        </is>
      </c>
      <c r="H145" t="inlineStr">
        <is>
          <t>Transfer</t>
        </is>
      </c>
      <c r="I145" t="inlineStr">
        <is>
          <t>All</t>
        </is>
      </c>
      <c r="J145" t="inlineStr">
        <is>
          <t>All</t>
        </is>
      </c>
      <c r="K145" t="inlineStr">
        <is>
          <t>All</t>
        </is>
      </c>
      <c r="L145" t="inlineStr">
        <is>
          <t>Number</t>
        </is>
      </c>
    </row>
    <row r="146"/>
    <row r="147" ht="18" customHeight="1" s="44"/>
    <row r="148" ht="54" customHeight="1" s="44">
      <c r="A148" t="inlineStr">
        <is>
          <t>D1701</t>
        </is>
      </c>
      <c r="B148" t="inlineStr">
        <is>
          <t>Describe other transfer credit policies:</t>
        </is>
      </c>
      <c r="C148" s="2" t="inlineStr">
        <is>
          <t>We have several transfer agreements with
institutions:
https://admissions.wisc.edu/transfer‐
agreements/</t>
        </is>
      </c>
      <c r="D148" t="inlineStr">
        <is>
          <t>Transfer Admission</t>
        </is>
      </c>
      <c r="E148" t="inlineStr">
        <is>
          <t>Transfer Credit Policies</t>
        </is>
      </c>
      <c r="F148" t="inlineStr">
        <is>
          <t>Other Credit</t>
        </is>
      </c>
      <c r="G148" t="inlineStr">
        <is>
          <t>Undergraduates</t>
        </is>
      </c>
      <c r="H148" t="inlineStr">
        <is>
          <t>Transfer</t>
        </is>
      </c>
      <c r="I148" t="inlineStr">
        <is>
          <t>All</t>
        </is>
      </c>
      <c r="J148" t="inlineStr">
        <is>
          <t>All</t>
        </is>
      </c>
      <c r="K148" t="inlineStr">
        <is>
          <t>All</t>
        </is>
      </c>
      <c r="L148" t="inlineStr">
        <is>
          <t>Text</t>
        </is>
      </c>
    </row>
    <row r="149"/>
    <row r="150"/>
    <row r="151"/>
    <row r="152"/>
    <row r="153"/>
    <row r="154"/>
    <row r="155"/>
    <row r="156"/>
    <row r="157" ht="18" customHeight="1" s="44">
      <c r="A157" t="inlineStr">
        <is>
          <t>D1801</t>
        </is>
      </c>
      <c r="B157" t="inlineStr">
        <is>
          <t>American Council on Education (ACE)</t>
        </is>
      </c>
      <c r="C157" t="inlineStr">
        <is>
          <t>Y</t>
        </is>
      </c>
      <c r="D157" t="inlineStr">
        <is>
          <t>Transfer Admission</t>
        </is>
      </c>
      <c r="E157" t="inlineStr">
        <is>
          <t>Transfer Credit Policies</t>
        </is>
      </c>
      <c r="F157" t="inlineStr">
        <is>
          <t>Military Service Credits</t>
        </is>
      </c>
      <c r="G157" t="inlineStr">
        <is>
          <t>Undergraduates</t>
        </is>
      </c>
      <c r="H157" t="inlineStr">
        <is>
          <t>Transfer</t>
        </is>
      </c>
      <c r="I157" t="inlineStr">
        <is>
          <t>All</t>
        </is>
      </c>
      <c r="J157" t="inlineStr">
        <is>
          <t>All</t>
        </is>
      </c>
      <c r="K157" t="inlineStr">
        <is>
          <t>All</t>
        </is>
      </c>
      <c r="L157" t="inlineStr">
        <is>
          <t>YN</t>
        </is>
      </c>
    </row>
    <row r="158" ht="18" customHeight="1" s="44">
      <c r="A158" t="inlineStr">
        <is>
          <t>D1802</t>
        </is>
      </c>
      <c r="B158" t="inlineStr">
        <is>
          <t>College Level Examination Program (CLEP)</t>
        </is>
      </c>
      <c r="C158" t="inlineStr">
        <is>
          <t>Y</t>
        </is>
      </c>
      <c r="D158" t="inlineStr">
        <is>
          <t>Transfer Admission</t>
        </is>
      </c>
      <c r="E158" t="inlineStr">
        <is>
          <t>Transfer Credit Policies</t>
        </is>
      </c>
      <c r="F158" t="inlineStr">
        <is>
          <t>Military Service Credits</t>
        </is>
      </c>
      <c r="G158" t="inlineStr">
        <is>
          <t>Undergraduates</t>
        </is>
      </c>
      <c r="H158" t="inlineStr">
        <is>
          <t>Transfer</t>
        </is>
      </c>
      <c r="I158" t="inlineStr">
        <is>
          <t>All</t>
        </is>
      </c>
      <c r="J158" t="inlineStr">
        <is>
          <t>All</t>
        </is>
      </c>
      <c r="K158" t="inlineStr">
        <is>
          <t>All</t>
        </is>
      </c>
      <c r="L158" t="inlineStr">
        <is>
          <t>YN</t>
        </is>
      </c>
    </row>
    <row r="159" ht="18" customHeight="1" s="44">
      <c r="A159" t="inlineStr">
        <is>
          <t>D1803</t>
        </is>
      </c>
      <c r="B159" t="inlineStr">
        <is>
          <t>DANTES Subject Standardized Tests (DSST)</t>
        </is>
      </c>
      <c r="D159" t="inlineStr">
        <is>
          <t>Transfer Admission</t>
        </is>
      </c>
      <c r="E159" t="inlineStr">
        <is>
          <t>Transfer Credit Policies</t>
        </is>
      </c>
      <c r="F159" t="inlineStr">
        <is>
          <t>Military Service Credits</t>
        </is>
      </c>
      <c r="G159" t="inlineStr">
        <is>
          <t>Undergraduates</t>
        </is>
      </c>
      <c r="H159" t="inlineStr">
        <is>
          <t>Transfer</t>
        </is>
      </c>
      <c r="I159" t="inlineStr">
        <is>
          <t>All</t>
        </is>
      </c>
      <c r="J159" t="inlineStr">
        <is>
          <t>All</t>
        </is>
      </c>
      <c r="K159" t="inlineStr">
        <is>
          <t>All</t>
        </is>
      </c>
      <c r="L159" t="inlineStr">
        <is>
          <t>YN</t>
        </is>
      </c>
    </row>
    <row r="160"/>
    <row r="161" ht="39.6" customHeight="1" s="44">
      <c r="B161" s="2" t="n"/>
    </row>
    <row r="162" ht="20.45" customHeight="1" s="44">
      <c r="B162" s="2" t="n"/>
    </row>
    <row r="163" ht="18" customHeight="1" s="44">
      <c r="A163" t="inlineStr">
        <is>
          <t>D1901</t>
        </is>
      </c>
      <c r="B163" s="3" t="inlineStr">
        <is>
          <t>Number</t>
        </is>
      </c>
      <c r="D163" t="inlineStr">
        <is>
          <t>Transfer Admission</t>
        </is>
      </c>
      <c r="E163" t="inlineStr">
        <is>
          <t>Transfer Credit Policies</t>
        </is>
      </c>
      <c r="F163" t="inlineStr">
        <is>
          <t>ACE Evaluated</t>
        </is>
      </c>
      <c r="G163" t="inlineStr">
        <is>
          <t>Undergraduates</t>
        </is>
      </c>
      <c r="H163" t="inlineStr">
        <is>
          <t>Transfer</t>
        </is>
      </c>
      <c r="I163" t="inlineStr">
        <is>
          <t>All</t>
        </is>
      </c>
      <c r="J163" t="inlineStr">
        <is>
          <t>All</t>
        </is>
      </c>
      <c r="K163" t="inlineStr">
        <is>
          <t>All</t>
        </is>
      </c>
      <c r="L163" t="inlineStr">
        <is>
          <t>Number</t>
        </is>
      </c>
    </row>
    <row r="164" ht="18" customHeight="1" s="44">
      <c r="A164" t="inlineStr">
        <is>
          <t>D1902</t>
        </is>
      </c>
      <c r="B164" s="7" t="inlineStr">
        <is>
          <t>Unit Type</t>
        </is>
      </c>
      <c r="D164" t="inlineStr">
        <is>
          <t>Transfer Admission</t>
        </is>
      </c>
      <c r="E164" t="inlineStr">
        <is>
          <t>Transfer Credit Policies</t>
        </is>
      </c>
      <c r="F164" t="inlineStr">
        <is>
          <t>ACE Evaluated</t>
        </is>
      </c>
      <c r="G164" t="inlineStr">
        <is>
          <t>Undergraduates</t>
        </is>
      </c>
      <c r="H164" t="inlineStr">
        <is>
          <t>Transfer</t>
        </is>
      </c>
      <c r="I164" t="inlineStr">
        <is>
          <t>All</t>
        </is>
      </c>
      <c r="J164" t="inlineStr">
        <is>
          <t>All</t>
        </is>
      </c>
      <c r="K164" t="inlineStr">
        <is>
          <t>All</t>
        </is>
      </c>
      <c r="L164" t="inlineStr">
        <is>
          <t>Unit Type</t>
        </is>
      </c>
    </row>
    <row r="165"/>
    <row r="166" ht="75.95" customHeight="1" s="44">
      <c r="B166" s="2" t="n"/>
    </row>
    <row r="167">
      <c r="B167" s="2" t="n"/>
    </row>
    <row r="168" ht="18" customHeight="1" s="44">
      <c r="A168" t="inlineStr">
        <is>
          <t>D2001</t>
        </is>
      </c>
      <c r="B168" s="3" t="inlineStr">
        <is>
          <t>Number</t>
        </is>
      </c>
      <c r="C168" t="n">
        <v>16</v>
      </c>
      <c r="D168" t="inlineStr">
        <is>
          <t>Transfer Admission</t>
        </is>
      </c>
      <c r="E168" t="inlineStr">
        <is>
          <t>Transfer Credit Policies</t>
        </is>
      </c>
      <c r="F168" t="inlineStr">
        <is>
          <t>DoD Supported</t>
        </is>
      </c>
      <c r="G168" t="inlineStr">
        <is>
          <t>Undergraduates</t>
        </is>
      </c>
      <c r="H168" t="inlineStr">
        <is>
          <t>Transfer</t>
        </is>
      </c>
      <c r="I168" t="inlineStr">
        <is>
          <t>All</t>
        </is>
      </c>
      <c r="J168" t="inlineStr">
        <is>
          <t>All</t>
        </is>
      </c>
      <c r="K168" t="inlineStr">
        <is>
          <t>All</t>
        </is>
      </c>
      <c r="L168" t="inlineStr">
        <is>
          <t>Number</t>
        </is>
      </c>
    </row>
    <row r="169" ht="18" customHeight="1" s="44">
      <c r="A169" t="inlineStr">
        <is>
          <t>D2002</t>
        </is>
      </c>
      <c r="B169" s="7" t="inlineStr">
        <is>
          <t>Unit Type</t>
        </is>
      </c>
      <c r="C169" t="inlineStr">
        <is>
          <t>Credits</t>
        </is>
      </c>
      <c r="D169" t="inlineStr">
        <is>
          <t>Transfer Admission</t>
        </is>
      </c>
      <c r="E169" t="inlineStr">
        <is>
          <t>Transfer Credit Policies</t>
        </is>
      </c>
      <c r="F169" t="inlineStr">
        <is>
          <t>DoD Supported</t>
        </is>
      </c>
      <c r="G169" t="inlineStr">
        <is>
          <t>Undergraduates</t>
        </is>
      </c>
      <c r="H169" t="inlineStr">
        <is>
          <t>Transfer</t>
        </is>
      </c>
      <c r="I169" t="inlineStr">
        <is>
          <t>All</t>
        </is>
      </c>
      <c r="J169" t="inlineStr">
        <is>
          <t>All</t>
        </is>
      </c>
      <c r="K169" t="inlineStr">
        <is>
          <t>All</t>
        </is>
      </c>
      <c r="L169" t="inlineStr">
        <is>
          <t>Unit Type</t>
        </is>
      </c>
    </row>
    <row r="170"/>
    <row r="171" ht="18" customHeight="1" s="44"/>
    <row r="172" ht="30" customHeight="1" s="44">
      <c r="A172" t="inlineStr">
        <is>
          <t>D2101</t>
        </is>
      </c>
      <c r="B172" s="2" t="inlineStr">
        <is>
          <t>Are the military/veteran credit transfer policies published on your website?</t>
        </is>
      </c>
      <c r="C172" t="inlineStr">
        <is>
          <t>Y</t>
        </is>
      </c>
      <c r="D172" t="inlineStr">
        <is>
          <t>Transfer Admission</t>
        </is>
      </c>
      <c r="E172" t="inlineStr">
        <is>
          <t>Transfer Credit Policies</t>
        </is>
      </c>
      <c r="F172" t="inlineStr">
        <is>
          <t>Military Service</t>
        </is>
      </c>
      <c r="G172" t="inlineStr">
        <is>
          <t>Undergraduates</t>
        </is>
      </c>
      <c r="H172" t="inlineStr">
        <is>
          <t>Transfer</t>
        </is>
      </c>
      <c r="I172" t="inlineStr">
        <is>
          <t>All</t>
        </is>
      </c>
      <c r="J172" t="inlineStr">
        <is>
          <t>All</t>
        </is>
      </c>
      <c r="K172" t="inlineStr">
        <is>
          <t>All</t>
        </is>
      </c>
      <c r="L172" t="inlineStr">
        <is>
          <t>YN</t>
        </is>
      </c>
    </row>
    <row r="173" ht="18" customHeight="1" s="44"/>
    <row r="174" ht="29.25" customHeight="1" s="44">
      <c r="A174" t="inlineStr">
        <is>
          <t>D2102</t>
        </is>
      </c>
      <c r="B174" s="2" t="inlineStr">
        <is>
          <t>If yes, please provide the URL where the policy can be located:</t>
        </is>
      </c>
      <c r="C174" s="43" t="inlineStr">
        <is>
          <t>https://admissions.wisc.edu/veterans-and-active-military/</t>
        </is>
      </c>
      <c r="D174" t="inlineStr">
        <is>
          <t>Transfer Admission</t>
        </is>
      </c>
      <c r="E174" t="inlineStr">
        <is>
          <t>Transfer Credit Policies</t>
        </is>
      </c>
      <c r="F174" t="inlineStr">
        <is>
          <t>Military Service</t>
        </is>
      </c>
      <c r="G174" t="inlineStr">
        <is>
          <t>Undergraduates</t>
        </is>
      </c>
      <c r="H174" t="inlineStr">
        <is>
          <t>Transfer</t>
        </is>
      </c>
      <c r="I174" t="inlineStr">
        <is>
          <t>All</t>
        </is>
      </c>
      <c r="J174" t="inlineStr">
        <is>
          <t>All</t>
        </is>
      </c>
      <c r="K174" t="inlineStr">
        <is>
          <t>All</t>
        </is>
      </c>
      <c r="L174" t="inlineStr">
        <is>
          <t>URL</t>
        </is>
      </c>
    </row>
    <row r="175"/>
    <row r="176" ht="18" customHeight="1" s="44"/>
    <row r="177" ht="30" customHeight="1" s="44">
      <c r="A177" t="inlineStr">
        <is>
          <t>D2202</t>
        </is>
      </c>
      <c r="B177" s="2" t="inlineStr">
        <is>
          <t>Describe other military/veteran transfer credit policies unique to your institution:</t>
        </is>
      </c>
      <c r="D177" t="inlineStr">
        <is>
          <t>Transfer Admission</t>
        </is>
      </c>
      <c r="E177" t="inlineStr">
        <is>
          <t>Transfer Credit Policies</t>
        </is>
      </c>
      <c r="F177" t="inlineStr">
        <is>
          <t>Military Service</t>
        </is>
      </c>
      <c r="G177" t="inlineStr">
        <is>
          <t>Undergraduates</t>
        </is>
      </c>
      <c r="H177" t="inlineStr">
        <is>
          <t>Transfer</t>
        </is>
      </c>
      <c r="I177" t="inlineStr">
        <is>
          <t>All</t>
        </is>
      </c>
      <c r="J177" t="inlineStr">
        <is>
          <t>All</t>
        </is>
      </c>
      <c r="K177" t="inlineStr">
        <is>
          <t>All</t>
        </is>
      </c>
      <c r="L177" t="inlineStr">
        <is>
          <t>Text</t>
        </is>
      </c>
    </row>
  </sheetData>
  <autoFilter ref="A1:L177"/>
  <dataValidations count="1">
    <dataValidation sqref="C66:C71" showDropDown="0" showInputMessage="1" showErrorMessage="1" allowBlank="1" type="list">
      <formula1>$C$59:$C$63</formula1>
    </dataValidation>
  </dataValidations>
  <hyperlinks>
    <hyperlink xmlns:r="http://schemas.openxmlformats.org/officeDocument/2006/relationships" ref="C174"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C13" sqref="C13"/>
    </sheetView>
  </sheetViews>
  <sheetFormatPr baseColWidth="8" defaultRowHeight="15"/>
  <cols>
    <col width="8.5703125" customWidth="1" style="44" min="1" max="1"/>
    <col width="40.7109375" customWidth="1" style="44" min="2" max="2"/>
    <col width="24.4257812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row r="9" ht="18" customHeight="1" s="44"/>
    <row r="10" ht="18" customHeight="1" s="44">
      <c r="A10" t="inlineStr">
        <is>
          <t>E101</t>
        </is>
      </c>
      <c r="B10" s="2" t="inlineStr">
        <is>
          <t>Accelerated program</t>
        </is>
      </c>
      <c r="C10" t="inlineStr">
        <is>
          <t>x</t>
        </is>
      </c>
      <c r="D10" t="inlineStr">
        <is>
          <t>Academic Offerings and Policies</t>
        </is>
      </c>
      <c r="E10" t="inlineStr">
        <is>
          <t>Special Study Options</t>
        </is>
      </c>
      <c r="F10" t="inlineStr">
        <is>
          <t>All</t>
        </is>
      </c>
      <c r="G10" t="inlineStr">
        <is>
          <t>All</t>
        </is>
      </c>
      <c r="H10" t="inlineStr">
        <is>
          <t>All</t>
        </is>
      </c>
      <c r="I10" t="inlineStr">
        <is>
          <t>All</t>
        </is>
      </c>
      <c r="J10" t="inlineStr">
        <is>
          <t>All</t>
        </is>
      </c>
      <c r="K10" t="inlineStr">
        <is>
          <t>All</t>
        </is>
      </c>
      <c r="L10" t="inlineStr">
        <is>
          <t>x</t>
        </is>
      </c>
    </row>
    <row r="11" ht="27.95" customHeight="1" s="44">
      <c r="A11" t="inlineStr">
        <is>
          <t>E102</t>
        </is>
      </c>
      <c r="B11" s="2" t="inlineStr">
        <is>
          <t>Comprehensive transition and postsecondary program for students with intellectual disabilities</t>
        </is>
      </c>
      <c r="D11" t="inlineStr">
        <is>
          <t>Academic Offerings and Policies</t>
        </is>
      </c>
      <c r="E11" t="inlineStr">
        <is>
          <t>Special Study Options</t>
        </is>
      </c>
      <c r="F11" t="inlineStr">
        <is>
          <t>All</t>
        </is>
      </c>
      <c r="G11" t="inlineStr">
        <is>
          <t>All</t>
        </is>
      </c>
      <c r="H11" t="inlineStr">
        <is>
          <t>All</t>
        </is>
      </c>
      <c r="I11" t="inlineStr">
        <is>
          <t>All</t>
        </is>
      </c>
      <c r="J11" t="inlineStr">
        <is>
          <t>All</t>
        </is>
      </c>
      <c r="K11" t="inlineStr">
        <is>
          <t>All</t>
        </is>
      </c>
      <c r="L11" t="inlineStr">
        <is>
          <t>x</t>
        </is>
      </c>
    </row>
    <row r="12" ht="18" customHeight="1" s="44">
      <c r="A12" t="inlineStr">
        <is>
          <t>E103</t>
        </is>
      </c>
      <c r="B12" s="2" t="inlineStr">
        <is>
          <t>Cross-registration</t>
        </is>
      </c>
      <c r="D12" t="inlineStr">
        <is>
          <t>Academic Offerings and Policies</t>
        </is>
      </c>
      <c r="E12" t="inlineStr">
        <is>
          <t>Special Study Options</t>
        </is>
      </c>
      <c r="F12" t="inlineStr">
        <is>
          <t>All</t>
        </is>
      </c>
      <c r="G12" t="inlineStr">
        <is>
          <t>All</t>
        </is>
      </c>
      <c r="H12" t="inlineStr">
        <is>
          <t>All</t>
        </is>
      </c>
      <c r="I12" t="inlineStr">
        <is>
          <t>All</t>
        </is>
      </c>
      <c r="J12" t="inlineStr">
        <is>
          <t>All</t>
        </is>
      </c>
      <c r="K12" t="inlineStr">
        <is>
          <t>All</t>
        </is>
      </c>
      <c r="L12" t="inlineStr">
        <is>
          <t>x</t>
        </is>
      </c>
    </row>
    <row r="13" ht="18" customHeight="1" s="44">
      <c r="A13" t="inlineStr">
        <is>
          <t>E104</t>
        </is>
      </c>
      <c r="B13" s="2" t="inlineStr">
        <is>
          <t>Distance learning</t>
        </is>
      </c>
      <c r="C13" t="inlineStr">
        <is>
          <t>x</t>
        </is>
      </c>
      <c r="D13" t="inlineStr">
        <is>
          <t>Academic Offerings and Policies</t>
        </is>
      </c>
      <c r="E13" t="inlineStr">
        <is>
          <t>Special Study Options</t>
        </is>
      </c>
      <c r="F13" t="inlineStr">
        <is>
          <t>All</t>
        </is>
      </c>
      <c r="G13" t="inlineStr">
        <is>
          <t>All</t>
        </is>
      </c>
      <c r="H13" t="inlineStr">
        <is>
          <t>All</t>
        </is>
      </c>
      <c r="I13" t="inlineStr">
        <is>
          <t>All</t>
        </is>
      </c>
      <c r="J13" t="inlineStr">
        <is>
          <t>All</t>
        </is>
      </c>
      <c r="K13" t="inlineStr">
        <is>
          <t>All</t>
        </is>
      </c>
      <c r="L13" t="inlineStr">
        <is>
          <t>x</t>
        </is>
      </c>
    </row>
    <row r="14" ht="18" customHeight="1" s="44">
      <c r="A14" t="inlineStr">
        <is>
          <t>E105</t>
        </is>
      </c>
      <c r="B14" s="2" t="inlineStr">
        <is>
          <t>Double major</t>
        </is>
      </c>
      <c r="C14" t="inlineStr">
        <is>
          <t>x</t>
        </is>
      </c>
      <c r="D14" t="inlineStr">
        <is>
          <t>Academic Offerings and Policies</t>
        </is>
      </c>
      <c r="E14" t="inlineStr">
        <is>
          <t>Special Study Options</t>
        </is>
      </c>
      <c r="F14" t="inlineStr">
        <is>
          <t>All</t>
        </is>
      </c>
      <c r="G14" t="inlineStr">
        <is>
          <t>All</t>
        </is>
      </c>
      <c r="H14" t="inlineStr">
        <is>
          <t>All</t>
        </is>
      </c>
      <c r="I14" t="inlineStr">
        <is>
          <t>All</t>
        </is>
      </c>
      <c r="J14" t="inlineStr">
        <is>
          <t>All</t>
        </is>
      </c>
      <c r="K14" t="inlineStr">
        <is>
          <t>All</t>
        </is>
      </c>
      <c r="L14" t="inlineStr">
        <is>
          <t>x</t>
        </is>
      </c>
    </row>
    <row r="15" ht="18" customHeight="1" s="44">
      <c r="A15" t="inlineStr">
        <is>
          <t>E106</t>
        </is>
      </c>
      <c r="B15" s="2" t="inlineStr">
        <is>
          <t>Dual enrollment</t>
        </is>
      </c>
      <c r="D15" t="inlineStr">
        <is>
          <t>Academic Offerings and Policies</t>
        </is>
      </c>
      <c r="E15" t="inlineStr">
        <is>
          <t>Special Study Options</t>
        </is>
      </c>
      <c r="F15" t="inlineStr">
        <is>
          <t>All</t>
        </is>
      </c>
      <c r="G15" t="inlineStr">
        <is>
          <t>All</t>
        </is>
      </c>
      <c r="H15" t="inlineStr">
        <is>
          <t>All</t>
        </is>
      </c>
      <c r="I15" t="inlineStr">
        <is>
          <t>All</t>
        </is>
      </c>
      <c r="J15" t="inlineStr">
        <is>
          <t>All</t>
        </is>
      </c>
      <c r="K15" t="inlineStr">
        <is>
          <t>All</t>
        </is>
      </c>
      <c r="L15" t="inlineStr">
        <is>
          <t>x</t>
        </is>
      </c>
    </row>
    <row r="16" ht="18" customHeight="1" s="44">
      <c r="A16" t="inlineStr">
        <is>
          <t>E107</t>
        </is>
      </c>
      <c r="B16" s="2" t="inlineStr">
        <is>
          <t>English as a Second Language (ESL)</t>
        </is>
      </c>
      <c r="D16" t="inlineStr">
        <is>
          <t>Academic Offerings and Policies</t>
        </is>
      </c>
      <c r="E16" t="inlineStr">
        <is>
          <t>Special Study Options</t>
        </is>
      </c>
      <c r="F16" t="inlineStr">
        <is>
          <t>All</t>
        </is>
      </c>
      <c r="G16" t="inlineStr">
        <is>
          <t>All</t>
        </is>
      </c>
      <c r="H16" t="inlineStr">
        <is>
          <t>All</t>
        </is>
      </c>
      <c r="I16" t="inlineStr">
        <is>
          <t>All</t>
        </is>
      </c>
      <c r="J16" t="inlineStr">
        <is>
          <t>All</t>
        </is>
      </c>
      <c r="K16" t="inlineStr">
        <is>
          <t>All</t>
        </is>
      </c>
      <c r="L16" t="inlineStr">
        <is>
          <t>x</t>
        </is>
      </c>
    </row>
    <row r="17" ht="18" customHeight="1" s="44">
      <c r="A17" t="inlineStr">
        <is>
          <t>E108</t>
        </is>
      </c>
      <c r="B17" s="2" t="inlineStr">
        <is>
          <t>Exchange student program (domestic)</t>
        </is>
      </c>
      <c r="C17" t="inlineStr">
        <is>
          <t>x</t>
        </is>
      </c>
      <c r="D17" t="inlineStr">
        <is>
          <t>Academic Offerings and Policies</t>
        </is>
      </c>
      <c r="E17" t="inlineStr">
        <is>
          <t>Special Study Options</t>
        </is>
      </c>
      <c r="F17" t="inlineStr">
        <is>
          <t>All</t>
        </is>
      </c>
      <c r="G17" t="inlineStr">
        <is>
          <t>All</t>
        </is>
      </c>
      <c r="H17" t="inlineStr">
        <is>
          <t>All</t>
        </is>
      </c>
      <c r="I17" t="inlineStr">
        <is>
          <t>All</t>
        </is>
      </c>
      <c r="J17" t="inlineStr">
        <is>
          <t>All</t>
        </is>
      </c>
      <c r="K17" t="inlineStr">
        <is>
          <t>All</t>
        </is>
      </c>
      <c r="L17" t="inlineStr">
        <is>
          <t>x</t>
        </is>
      </c>
    </row>
    <row r="18" ht="18" customHeight="1" s="44">
      <c r="A18" t="inlineStr">
        <is>
          <t>E109</t>
        </is>
      </c>
      <c r="B18" s="2" t="inlineStr">
        <is>
          <t>External degree program</t>
        </is>
      </c>
      <c r="D18" t="inlineStr">
        <is>
          <t>Academic Offerings and Policies</t>
        </is>
      </c>
      <c r="E18" t="inlineStr">
        <is>
          <t>Special Study Options</t>
        </is>
      </c>
      <c r="F18" t="inlineStr">
        <is>
          <t>All</t>
        </is>
      </c>
      <c r="G18" t="inlineStr">
        <is>
          <t>All</t>
        </is>
      </c>
      <c r="H18" t="inlineStr">
        <is>
          <t>All</t>
        </is>
      </c>
      <c r="I18" t="inlineStr">
        <is>
          <t>All</t>
        </is>
      </c>
      <c r="J18" t="inlineStr">
        <is>
          <t>All</t>
        </is>
      </c>
      <c r="K18" t="inlineStr">
        <is>
          <t>All</t>
        </is>
      </c>
      <c r="L18" t="inlineStr">
        <is>
          <t>x</t>
        </is>
      </c>
    </row>
    <row r="19" ht="18" customHeight="1" s="44">
      <c r="A19" t="inlineStr">
        <is>
          <t>E110</t>
        </is>
      </c>
      <c r="B19" s="2" t="inlineStr">
        <is>
          <t>Honors Program</t>
        </is>
      </c>
      <c r="C19" t="inlineStr">
        <is>
          <t>x</t>
        </is>
      </c>
      <c r="D19" t="inlineStr">
        <is>
          <t>Academic Offerings and Policies</t>
        </is>
      </c>
      <c r="E19" t="inlineStr">
        <is>
          <t>Special Study Options</t>
        </is>
      </c>
      <c r="F19" t="inlineStr">
        <is>
          <t>All</t>
        </is>
      </c>
      <c r="G19" t="inlineStr">
        <is>
          <t>All</t>
        </is>
      </c>
      <c r="H19" t="inlineStr">
        <is>
          <t>All</t>
        </is>
      </c>
      <c r="I19" t="inlineStr">
        <is>
          <t>All</t>
        </is>
      </c>
      <c r="J19" t="inlineStr">
        <is>
          <t>All</t>
        </is>
      </c>
      <c r="K19" t="inlineStr">
        <is>
          <t>All</t>
        </is>
      </c>
      <c r="L19" t="inlineStr">
        <is>
          <t>x</t>
        </is>
      </c>
    </row>
    <row r="20" ht="18" customHeight="1" s="44">
      <c r="A20" t="inlineStr">
        <is>
          <t>E111</t>
        </is>
      </c>
      <c r="B20" s="2" t="inlineStr">
        <is>
          <t>Independent study</t>
        </is>
      </c>
      <c r="C20" t="inlineStr">
        <is>
          <t>x</t>
        </is>
      </c>
      <c r="D20" t="inlineStr">
        <is>
          <t>Academic Offerings and Policies</t>
        </is>
      </c>
      <c r="E20" t="inlineStr">
        <is>
          <t>Special Study Options</t>
        </is>
      </c>
      <c r="F20" t="inlineStr">
        <is>
          <t>All</t>
        </is>
      </c>
      <c r="G20" t="inlineStr">
        <is>
          <t>All</t>
        </is>
      </c>
      <c r="H20" t="inlineStr">
        <is>
          <t>All</t>
        </is>
      </c>
      <c r="I20" t="inlineStr">
        <is>
          <t>All</t>
        </is>
      </c>
      <c r="J20" t="inlineStr">
        <is>
          <t>All</t>
        </is>
      </c>
      <c r="K20" t="inlineStr">
        <is>
          <t>All</t>
        </is>
      </c>
      <c r="L20" t="inlineStr">
        <is>
          <t>x</t>
        </is>
      </c>
    </row>
    <row r="21" ht="18" customHeight="1" s="44">
      <c r="A21" t="inlineStr">
        <is>
          <t>E112</t>
        </is>
      </c>
      <c r="B21" s="2" t="inlineStr">
        <is>
          <t>Internships</t>
        </is>
      </c>
      <c r="C21" t="inlineStr">
        <is>
          <t>x</t>
        </is>
      </c>
      <c r="D21" t="inlineStr">
        <is>
          <t>Academic Offerings and Policies</t>
        </is>
      </c>
      <c r="E21" t="inlineStr">
        <is>
          <t>Special Study Options</t>
        </is>
      </c>
      <c r="F21" t="inlineStr">
        <is>
          <t>All</t>
        </is>
      </c>
      <c r="G21" t="inlineStr">
        <is>
          <t>All</t>
        </is>
      </c>
      <c r="H21" t="inlineStr">
        <is>
          <t>All</t>
        </is>
      </c>
      <c r="I21" t="inlineStr">
        <is>
          <t>All</t>
        </is>
      </c>
      <c r="J21" t="inlineStr">
        <is>
          <t>All</t>
        </is>
      </c>
      <c r="K21" t="inlineStr">
        <is>
          <t>All</t>
        </is>
      </c>
      <c r="L21" t="inlineStr">
        <is>
          <t>x</t>
        </is>
      </c>
    </row>
    <row r="22" ht="18" customHeight="1" s="44">
      <c r="A22" t="inlineStr">
        <is>
          <t>E113</t>
        </is>
      </c>
      <c r="B22" s="2" t="inlineStr">
        <is>
          <t>Liberal arts/career combination</t>
        </is>
      </c>
      <c r="C22" t="inlineStr">
        <is>
          <t>x</t>
        </is>
      </c>
      <c r="D22" t="inlineStr">
        <is>
          <t>Academic Offerings and Policies</t>
        </is>
      </c>
      <c r="E22" t="inlineStr">
        <is>
          <t>Special Study Options</t>
        </is>
      </c>
      <c r="F22" t="inlineStr">
        <is>
          <t>All</t>
        </is>
      </c>
      <c r="G22" t="inlineStr">
        <is>
          <t>All</t>
        </is>
      </c>
      <c r="H22" t="inlineStr">
        <is>
          <t>All</t>
        </is>
      </c>
      <c r="I22" t="inlineStr">
        <is>
          <t>All</t>
        </is>
      </c>
      <c r="J22" t="inlineStr">
        <is>
          <t>All</t>
        </is>
      </c>
      <c r="K22" t="inlineStr">
        <is>
          <t>All</t>
        </is>
      </c>
      <c r="L22" t="inlineStr">
        <is>
          <t>x</t>
        </is>
      </c>
    </row>
    <row r="23" ht="18" customHeight="1" s="44">
      <c r="A23" t="inlineStr">
        <is>
          <t>E114</t>
        </is>
      </c>
      <c r="B23" s="2" t="inlineStr">
        <is>
          <t>Student-designed major</t>
        </is>
      </c>
      <c r="C23" t="inlineStr">
        <is>
          <t>x</t>
        </is>
      </c>
      <c r="D23" t="inlineStr">
        <is>
          <t>Academic Offerings and Policies</t>
        </is>
      </c>
      <c r="E23" t="inlineStr">
        <is>
          <t>Special Study Options</t>
        </is>
      </c>
      <c r="F23" t="inlineStr">
        <is>
          <t>All</t>
        </is>
      </c>
      <c r="G23" t="inlineStr">
        <is>
          <t>All</t>
        </is>
      </c>
      <c r="H23" t="inlineStr">
        <is>
          <t>All</t>
        </is>
      </c>
      <c r="I23" t="inlineStr">
        <is>
          <t>All</t>
        </is>
      </c>
      <c r="J23" t="inlineStr">
        <is>
          <t>All</t>
        </is>
      </c>
      <c r="K23" t="inlineStr">
        <is>
          <t>All</t>
        </is>
      </c>
      <c r="L23" t="inlineStr">
        <is>
          <t>x</t>
        </is>
      </c>
    </row>
    <row r="24" ht="18" customHeight="1" s="44">
      <c r="A24" t="inlineStr">
        <is>
          <t>E115</t>
        </is>
      </c>
      <c r="B24" s="2" t="inlineStr">
        <is>
          <t>Study abroad</t>
        </is>
      </c>
      <c r="C24" t="inlineStr">
        <is>
          <t>x</t>
        </is>
      </c>
      <c r="D24" t="inlineStr">
        <is>
          <t>Academic Offerings and Policies</t>
        </is>
      </c>
      <c r="E24" t="inlineStr">
        <is>
          <t>Special Study Options</t>
        </is>
      </c>
      <c r="F24" t="inlineStr">
        <is>
          <t>All</t>
        </is>
      </c>
      <c r="G24" t="inlineStr">
        <is>
          <t>All</t>
        </is>
      </c>
      <c r="H24" t="inlineStr">
        <is>
          <t>All</t>
        </is>
      </c>
      <c r="I24" t="inlineStr">
        <is>
          <t>All</t>
        </is>
      </c>
      <c r="J24" t="inlineStr">
        <is>
          <t>All</t>
        </is>
      </c>
      <c r="K24" t="inlineStr">
        <is>
          <t>All</t>
        </is>
      </c>
      <c r="L24" t="inlineStr">
        <is>
          <t>x</t>
        </is>
      </c>
    </row>
    <row r="25" ht="18" customHeight="1" s="44">
      <c r="A25" t="inlineStr">
        <is>
          <t>E116</t>
        </is>
      </c>
      <c r="B25" s="2" t="inlineStr">
        <is>
          <t>Teacher certification program</t>
        </is>
      </c>
      <c r="C25" t="inlineStr">
        <is>
          <t>x</t>
        </is>
      </c>
      <c r="D25" t="inlineStr">
        <is>
          <t>Academic Offerings and Policies</t>
        </is>
      </c>
      <c r="E25" t="inlineStr">
        <is>
          <t>Special Study Options</t>
        </is>
      </c>
      <c r="F25" t="inlineStr">
        <is>
          <t>All</t>
        </is>
      </c>
      <c r="G25" t="inlineStr">
        <is>
          <t>All</t>
        </is>
      </c>
      <c r="H25" t="inlineStr">
        <is>
          <t>All</t>
        </is>
      </c>
      <c r="I25" t="inlineStr">
        <is>
          <t>All</t>
        </is>
      </c>
      <c r="J25" t="inlineStr">
        <is>
          <t>All</t>
        </is>
      </c>
      <c r="K25" t="inlineStr">
        <is>
          <t>All</t>
        </is>
      </c>
      <c r="L25" t="inlineStr">
        <is>
          <t>x</t>
        </is>
      </c>
    </row>
    <row r="26" ht="18" customHeight="1" s="44">
      <c r="A26" t="inlineStr">
        <is>
          <t>E117</t>
        </is>
      </c>
      <c r="B26" s="2" t="inlineStr">
        <is>
          <t>Undergraduate Research</t>
        </is>
      </c>
      <c r="C26" t="inlineStr">
        <is>
          <t>x</t>
        </is>
      </c>
      <c r="D26" t="inlineStr">
        <is>
          <t>Academic Offerings and Policies</t>
        </is>
      </c>
      <c r="E26" t="inlineStr">
        <is>
          <t>Special Study Options</t>
        </is>
      </c>
      <c r="F26" t="inlineStr">
        <is>
          <t>All</t>
        </is>
      </c>
      <c r="G26" t="inlineStr">
        <is>
          <t>All</t>
        </is>
      </c>
      <c r="H26" t="inlineStr">
        <is>
          <t>All</t>
        </is>
      </c>
      <c r="I26" t="inlineStr">
        <is>
          <t>All</t>
        </is>
      </c>
      <c r="J26" t="inlineStr">
        <is>
          <t>All</t>
        </is>
      </c>
      <c r="K26" t="inlineStr">
        <is>
          <t>All</t>
        </is>
      </c>
      <c r="L26" t="inlineStr">
        <is>
          <t>x</t>
        </is>
      </c>
    </row>
    <row r="27" ht="18" customHeight="1" s="44">
      <c r="A27" t="inlineStr">
        <is>
          <t>E118</t>
        </is>
      </c>
      <c r="B27" s="2" t="inlineStr">
        <is>
          <t>Weekend college</t>
        </is>
      </c>
      <c r="D27" t="inlineStr">
        <is>
          <t>Academic Offerings and Policies</t>
        </is>
      </c>
      <c r="E27" t="inlineStr">
        <is>
          <t>Special Study Options</t>
        </is>
      </c>
      <c r="F27" t="inlineStr">
        <is>
          <t>All</t>
        </is>
      </c>
      <c r="G27" t="inlineStr">
        <is>
          <t>All</t>
        </is>
      </c>
      <c r="H27" t="inlineStr">
        <is>
          <t>All</t>
        </is>
      </c>
      <c r="I27" t="inlineStr">
        <is>
          <t>All</t>
        </is>
      </c>
      <c r="J27" t="inlineStr">
        <is>
          <t>All</t>
        </is>
      </c>
      <c r="K27" t="inlineStr">
        <is>
          <t>All</t>
        </is>
      </c>
      <c r="L27" t="inlineStr">
        <is>
          <t>x</t>
        </is>
      </c>
    </row>
    <row r="28" ht="18" customHeight="1" s="44">
      <c r="B28" s="2" t="n"/>
    </row>
    <row r="29" ht="18" customHeight="1" s="44">
      <c r="A29" t="inlineStr">
        <is>
          <t>E119</t>
        </is>
      </c>
      <c r="B29" s="2" t="inlineStr">
        <is>
          <t>Other (specify):</t>
        </is>
      </c>
      <c r="D29" t="inlineStr">
        <is>
          <t>Academic Offerings and Policies</t>
        </is>
      </c>
      <c r="E29" t="inlineStr">
        <is>
          <t>Special Study Options</t>
        </is>
      </c>
      <c r="F29" t="inlineStr">
        <is>
          <t>All</t>
        </is>
      </c>
      <c r="G29" t="inlineStr">
        <is>
          <t>All</t>
        </is>
      </c>
      <c r="H29" t="inlineStr">
        <is>
          <t>All</t>
        </is>
      </c>
      <c r="I29" t="inlineStr">
        <is>
          <t>All</t>
        </is>
      </c>
      <c r="J29" t="inlineStr">
        <is>
          <t>All</t>
        </is>
      </c>
      <c r="K29" t="inlineStr">
        <is>
          <t>All</t>
        </is>
      </c>
      <c r="L29" t="inlineStr">
        <is>
          <t>Text</t>
        </is>
      </c>
    </row>
    <row r="30" ht="18" customHeight="1" s="44">
      <c r="B30" s="2" t="n"/>
    </row>
    <row r="31"/>
    <row r="32"/>
    <row r="33"/>
    <row r="34"/>
    <row r="35"/>
    <row r="36"/>
    <row r="37"/>
    <row r="38" ht="18" customHeight="1" s="44"/>
    <row r="39" ht="18" customHeight="1" s="44">
      <c r="A39" t="inlineStr">
        <is>
          <t>E301</t>
        </is>
      </c>
      <c r="B39" s="2" t="inlineStr">
        <is>
          <t>Arts/fine arts</t>
        </is>
      </c>
      <c r="D39" t="inlineStr">
        <is>
          <t>Academic Offerings and Policies</t>
        </is>
      </c>
      <c r="E39" t="inlineStr">
        <is>
          <t>Required Course Work</t>
        </is>
      </c>
      <c r="F39" t="inlineStr">
        <is>
          <t>All</t>
        </is>
      </c>
      <c r="G39" t="inlineStr">
        <is>
          <t>All</t>
        </is>
      </c>
      <c r="H39" t="inlineStr">
        <is>
          <t>All</t>
        </is>
      </c>
      <c r="I39" t="inlineStr">
        <is>
          <t>All</t>
        </is>
      </c>
      <c r="J39" t="inlineStr">
        <is>
          <t>All</t>
        </is>
      </c>
      <c r="K39" t="inlineStr">
        <is>
          <t>All</t>
        </is>
      </c>
      <c r="L39" t="inlineStr">
        <is>
          <t>x</t>
        </is>
      </c>
    </row>
    <row r="40" ht="18" customHeight="1" s="44">
      <c r="A40" t="inlineStr">
        <is>
          <t>E302</t>
        </is>
      </c>
      <c r="B40" s="2" t="inlineStr">
        <is>
          <t>Computer literacy</t>
        </is>
      </c>
      <c r="D40" t="inlineStr">
        <is>
          <t>Academic Offerings and Policies</t>
        </is>
      </c>
      <c r="E40" t="inlineStr">
        <is>
          <t>Required Course Work</t>
        </is>
      </c>
      <c r="F40" t="inlineStr">
        <is>
          <t>All</t>
        </is>
      </c>
      <c r="G40" t="inlineStr">
        <is>
          <t>All</t>
        </is>
      </c>
      <c r="H40" t="inlineStr">
        <is>
          <t>All</t>
        </is>
      </c>
      <c r="I40" t="inlineStr">
        <is>
          <t>All</t>
        </is>
      </c>
      <c r="J40" t="inlineStr">
        <is>
          <t>All</t>
        </is>
      </c>
      <c r="K40" t="inlineStr">
        <is>
          <t>All</t>
        </is>
      </c>
      <c r="L40" t="inlineStr">
        <is>
          <t>x</t>
        </is>
      </c>
    </row>
    <row r="41" ht="18" customHeight="1" s="44">
      <c r="A41" t="inlineStr">
        <is>
          <t>E303</t>
        </is>
      </c>
      <c r="B41" s="2" t="inlineStr">
        <is>
          <t>English (including composition)</t>
        </is>
      </c>
      <c r="C41" t="inlineStr">
        <is>
          <t>x</t>
        </is>
      </c>
      <c r="D41" t="inlineStr">
        <is>
          <t>Academic Offerings and Policies</t>
        </is>
      </c>
      <c r="E41" t="inlineStr">
        <is>
          <t>Required Course Work</t>
        </is>
      </c>
      <c r="F41" t="inlineStr">
        <is>
          <t>All</t>
        </is>
      </c>
      <c r="G41" t="inlineStr">
        <is>
          <t>All</t>
        </is>
      </c>
      <c r="H41" t="inlineStr">
        <is>
          <t>All</t>
        </is>
      </c>
      <c r="I41" t="inlineStr">
        <is>
          <t>All</t>
        </is>
      </c>
      <c r="J41" t="inlineStr">
        <is>
          <t>All</t>
        </is>
      </c>
      <c r="K41" t="inlineStr">
        <is>
          <t>All</t>
        </is>
      </c>
      <c r="L41" t="inlineStr">
        <is>
          <t>x</t>
        </is>
      </c>
    </row>
    <row r="42" ht="18" customHeight="1" s="44">
      <c r="A42" t="inlineStr">
        <is>
          <t>E304</t>
        </is>
      </c>
      <c r="B42" s="2" t="inlineStr">
        <is>
          <t>Foreign languages</t>
        </is>
      </c>
      <c r="C42" t="inlineStr">
        <is>
          <t>x</t>
        </is>
      </c>
      <c r="D42" t="inlineStr">
        <is>
          <t>Academic Offerings and Policies</t>
        </is>
      </c>
      <c r="E42" t="inlineStr">
        <is>
          <t>Required Course Work</t>
        </is>
      </c>
      <c r="F42" t="inlineStr">
        <is>
          <t>All</t>
        </is>
      </c>
      <c r="G42" t="inlineStr">
        <is>
          <t>All</t>
        </is>
      </c>
      <c r="H42" t="inlineStr">
        <is>
          <t>All</t>
        </is>
      </c>
      <c r="I42" t="inlineStr">
        <is>
          <t>All</t>
        </is>
      </c>
      <c r="J42" t="inlineStr">
        <is>
          <t>All</t>
        </is>
      </c>
      <c r="K42" t="inlineStr">
        <is>
          <t>All</t>
        </is>
      </c>
      <c r="L42" t="inlineStr">
        <is>
          <t>x</t>
        </is>
      </c>
    </row>
    <row r="43" ht="18" customHeight="1" s="44">
      <c r="A43" t="inlineStr">
        <is>
          <t>E305</t>
        </is>
      </c>
      <c r="B43" s="2" t="inlineStr">
        <is>
          <t>History</t>
        </is>
      </c>
      <c r="C43" t="inlineStr">
        <is>
          <t>x</t>
        </is>
      </c>
      <c r="D43" t="inlineStr">
        <is>
          <t>Academic Offerings and Policies</t>
        </is>
      </c>
      <c r="E43" t="inlineStr">
        <is>
          <t>Required Course Work</t>
        </is>
      </c>
      <c r="F43" t="inlineStr">
        <is>
          <t>All</t>
        </is>
      </c>
      <c r="G43" t="inlineStr">
        <is>
          <t>All</t>
        </is>
      </c>
      <c r="H43" t="inlineStr">
        <is>
          <t>All</t>
        </is>
      </c>
      <c r="I43" t="inlineStr">
        <is>
          <t>All</t>
        </is>
      </c>
      <c r="J43" t="inlineStr">
        <is>
          <t>All</t>
        </is>
      </c>
      <c r="K43" t="inlineStr">
        <is>
          <t>All</t>
        </is>
      </c>
      <c r="L43" t="inlineStr">
        <is>
          <t>x</t>
        </is>
      </c>
    </row>
    <row r="44" ht="18" customHeight="1" s="44">
      <c r="A44" t="inlineStr">
        <is>
          <t>E306</t>
        </is>
      </c>
      <c r="B44" s="2" t="inlineStr">
        <is>
          <t>Physical Education</t>
        </is>
      </c>
      <c r="D44" t="inlineStr">
        <is>
          <t>Academic Offerings and Policies</t>
        </is>
      </c>
      <c r="E44" t="inlineStr">
        <is>
          <t>Required Course Work</t>
        </is>
      </c>
      <c r="F44" t="inlineStr">
        <is>
          <t>All</t>
        </is>
      </c>
      <c r="G44" t="inlineStr">
        <is>
          <t>All</t>
        </is>
      </c>
      <c r="H44" t="inlineStr">
        <is>
          <t>All</t>
        </is>
      </c>
      <c r="I44" t="inlineStr">
        <is>
          <t>All</t>
        </is>
      </c>
      <c r="J44" t="inlineStr">
        <is>
          <t>All</t>
        </is>
      </c>
      <c r="K44" t="inlineStr">
        <is>
          <t>All</t>
        </is>
      </c>
      <c r="L44" t="inlineStr">
        <is>
          <t>x</t>
        </is>
      </c>
    </row>
    <row r="45" ht="18" customHeight="1" s="44">
      <c r="A45" t="inlineStr">
        <is>
          <t>E307</t>
        </is>
      </c>
      <c r="B45" s="2" t="inlineStr">
        <is>
          <t>Humanities</t>
        </is>
      </c>
      <c r="C45" t="inlineStr">
        <is>
          <t>x</t>
        </is>
      </c>
      <c r="D45" t="inlineStr">
        <is>
          <t>Academic Offerings and Policies</t>
        </is>
      </c>
      <c r="E45" t="inlineStr">
        <is>
          <t>Required Course Work</t>
        </is>
      </c>
      <c r="F45" t="inlineStr">
        <is>
          <t>All</t>
        </is>
      </c>
      <c r="G45" t="inlineStr">
        <is>
          <t>All</t>
        </is>
      </c>
      <c r="H45" t="inlineStr">
        <is>
          <t>All</t>
        </is>
      </c>
      <c r="I45" t="inlineStr">
        <is>
          <t>All</t>
        </is>
      </c>
      <c r="J45" t="inlineStr">
        <is>
          <t>All</t>
        </is>
      </c>
      <c r="K45" t="inlineStr">
        <is>
          <t>All</t>
        </is>
      </c>
      <c r="L45" t="inlineStr">
        <is>
          <t>x</t>
        </is>
      </c>
    </row>
    <row r="46" ht="18" customHeight="1" s="44">
      <c r="A46" t="inlineStr">
        <is>
          <t>E308</t>
        </is>
      </c>
      <c r="B46" s="2" t="inlineStr">
        <is>
          <t>Intensive writing</t>
        </is>
      </c>
      <c r="C46" t="inlineStr">
        <is>
          <t>x</t>
        </is>
      </c>
      <c r="D46" t="inlineStr">
        <is>
          <t>Academic Offerings and Policies</t>
        </is>
      </c>
      <c r="E46" t="inlineStr">
        <is>
          <t>Required Course Work</t>
        </is>
      </c>
      <c r="F46" t="inlineStr">
        <is>
          <t>All</t>
        </is>
      </c>
      <c r="G46" t="inlineStr">
        <is>
          <t>All</t>
        </is>
      </c>
      <c r="H46" t="inlineStr">
        <is>
          <t>All</t>
        </is>
      </c>
      <c r="I46" t="inlineStr">
        <is>
          <t>All</t>
        </is>
      </c>
      <c r="J46" t="inlineStr">
        <is>
          <t>All</t>
        </is>
      </c>
      <c r="K46" t="inlineStr">
        <is>
          <t>All</t>
        </is>
      </c>
      <c r="L46" t="inlineStr">
        <is>
          <t>x</t>
        </is>
      </c>
    </row>
    <row r="47" ht="18" customHeight="1" s="44">
      <c r="A47" t="inlineStr">
        <is>
          <t>E309</t>
        </is>
      </c>
      <c r="B47" s="2" t="inlineStr">
        <is>
          <t>Mathematics</t>
        </is>
      </c>
      <c r="C47" t="inlineStr">
        <is>
          <t>x</t>
        </is>
      </c>
      <c r="D47" t="inlineStr">
        <is>
          <t>Academic Offerings and Policies</t>
        </is>
      </c>
      <c r="E47" t="inlineStr">
        <is>
          <t>Required Course Work</t>
        </is>
      </c>
      <c r="F47" t="inlineStr">
        <is>
          <t>All</t>
        </is>
      </c>
      <c r="G47" t="inlineStr">
        <is>
          <t>All</t>
        </is>
      </c>
      <c r="H47" t="inlineStr">
        <is>
          <t>All</t>
        </is>
      </c>
      <c r="I47" t="inlineStr">
        <is>
          <t>All</t>
        </is>
      </c>
      <c r="J47" t="inlineStr">
        <is>
          <t>All</t>
        </is>
      </c>
      <c r="K47" t="inlineStr">
        <is>
          <t>All</t>
        </is>
      </c>
      <c r="L47" t="inlineStr">
        <is>
          <t>x</t>
        </is>
      </c>
    </row>
    <row r="48" ht="18" customHeight="1" s="44">
      <c r="A48" t="inlineStr">
        <is>
          <t>E310</t>
        </is>
      </c>
      <c r="B48" s="2" t="inlineStr">
        <is>
          <t>Philosophy</t>
        </is>
      </c>
      <c r="D48" t="inlineStr">
        <is>
          <t>Academic Offerings and Policies</t>
        </is>
      </c>
      <c r="E48" t="inlineStr">
        <is>
          <t>Required Course Work</t>
        </is>
      </c>
      <c r="F48" t="inlineStr">
        <is>
          <t>All</t>
        </is>
      </c>
      <c r="G48" t="inlineStr">
        <is>
          <t>All</t>
        </is>
      </c>
      <c r="H48" t="inlineStr">
        <is>
          <t>All</t>
        </is>
      </c>
      <c r="I48" t="inlineStr">
        <is>
          <t>All</t>
        </is>
      </c>
      <c r="J48" t="inlineStr">
        <is>
          <t>All</t>
        </is>
      </c>
      <c r="K48" t="inlineStr">
        <is>
          <t>All</t>
        </is>
      </c>
      <c r="L48" t="inlineStr">
        <is>
          <t>x</t>
        </is>
      </c>
    </row>
    <row r="49" ht="18" customHeight="1" s="44">
      <c r="A49" t="inlineStr">
        <is>
          <t>E311</t>
        </is>
      </c>
      <c r="B49" s="2" t="inlineStr">
        <is>
          <t>Sciences (biological or physical)</t>
        </is>
      </c>
      <c r="C49" t="inlineStr">
        <is>
          <t>x</t>
        </is>
      </c>
      <c r="D49" t="inlineStr">
        <is>
          <t>Academic Offerings and Policies</t>
        </is>
      </c>
      <c r="E49" t="inlineStr">
        <is>
          <t>Required Course Work</t>
        </is>
      </c>
      <c r="F49" t="inlineStr">
        <is>
          <t>All</t>
        </is>
      </c>
      <c r="G49" t="inlineStr">
        <is>
          <t>All</t>
        </is>
      </c>
      <c r="H49" t="inlineStr">
        <is>
          <t>All</t>
        </is>
      </c>
      <c r="I49" t="inlineStr">
        <is>
          <t>All</t>
        </is>
      </c>
      <c r="J49" t="inlineStr">
        <is>
          <t>All</t>
        </is>
      </c>
      <c r="K49" t="inlineStr">
        <is>
          <t>All</t>
        </is>
      </c>
      <c r="L49" t="inlineStr">
        <is>
          <t>x</t>
        </is>
      </c>
    </row>
    <row r="50" ht="18" customHeight="1" s="44">
      <c r="A50" t="inlineStr">
        <is>
          <t>E312</t>
        </is>
      </c>
      <c r="B50" s="2" t="inlineStr">
        <is>
          <t>Social science</t>
        </is>
      </c>
      <c r="C50" t="inlineStr">
        <is>
          <t>x</t>
        </is>
      </c>
      <c r="D50" t="inlineStr">
        <is>
          <t>Academic Offerings and Policies</t>
        </is>
      </c>
      <c r="E50" t="inlineStr">
        <is>
          <t>Required Course Work</t>
        </is>
      </c>
      <c r="F50" t="inlineStr">
        <is>
          <t>All</t>
        </is>
      </c>
      <c r="G50" t="inlineStr">
        <is>
          <t>All</t>
        </is>
      </c>
      <c r="H50" t="inlineStr">
        <is>
          <t>All</t>
        </is>
      </c>
      <c r="I50" t="inlineStr">
        <is>
          <t>All</t>
        </is>
      </c>
      <c r="J50" t="inlineStr">
        <is>
          <t>All</t>
        </is>
      </c>
      <c r="K50" t="inlineStr">
        <is>
          <t>All</t>
        </is>
      </c>
      <c r="L50" t="inlineStr">
        <is>
          <t>x</t>
        </is>
      </c>
    </row>
    <row r="51" ht="18" customHeight="1" s="44">
      <c r="B51" s="2" t="n"/>
    </row>
    <row r="52" ht="18" customHeight="1" s="44">
      <c r="A52" t="inlineStr">
        <is>
          <t>E313</t>
        </is>
      </c>
      <c r="B52" s="2" t="inlineStr">
        <is>
          <t>Other (describe):</t>
        </is>
      </c>
      <c r="C52" t="inlineStr">
        <is>
          <t>Ethnic Studies Requirement</t>
        </is>
      </c>
      <c r="D52" t="inlineStr">
        <is>
          <t>Academic Offerings and Policies</t>
        </is>
      </c>
      <c r="E52" t="inlineStr">
        <is>
          <t>Required Course Work</t>
        </is>
      </c>
      <c r="F52" t="inlineStr">
        <is>
          <t>All</t>
        </is>
      </c>
      <c r="G52" t="inlineStr">
        <is>
          <t>All</t>
        </is>
      </c>
      <c r="H52" t="inlineStr">
        <is>
          <t>All</t>
        </is>
      </c>
      <c r="I52" t="inlineStr">
        <is>
          <t>All</t>
        </is>
      </c>
      <c r="J52" t="inlineStr">
        <is>
          <t>All</t>
        </is>
      </c>
      <c r="K52" t="inlineStr">
        <is>
          <t>All</t>
        </is>
      </c>
      <c r="L52" t="inlineStr">
        <is>
          <t>Text</t>
        </is>
      </c>
    </row>
    <row r="53" ht="18" customHeight="1" s="44">
      <c r="B53" s="2" t="n"/>
    </row>
    <row r="54">
      <c r="B54" s="7" t="n"/>
    </row>
    <row r="55">
      <c r="B55" s="7" t="n"/>
    </row>
    <row r="56">
      <c r="B56" s="7" t="n"/>
    </row>
    <row r="57">
      <c r="B57" s="7" t="n"/>
    </row>
    <row r="58">
      <c r="B58" s="7" t="n"/>
    </row>
    <row r="59">
      <c r="B59" s="7" t="n"/>
    </row>
  </sheetData>
  <autoFilter ref="A1:L59"/>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H1" sqref="H1"/>
    </sheetView>
  </sheetViews>
  <sheetFormatPr baseColWidth="8" defaultRowHeight="15"/>
  <cols>
    <col width="40.7109375" customWidth="1" style="44" min="2" max="2"/>
    <col width="32"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row r="9" ht="18" customHeight="1" s="44"/>
    <row r="10" ht="45" customHeight="1" s="44">
      <c r="A10" t="inlineStr">
        <is>
          <t>F101</t>
        </is>
      </c>
      <c r="B10" s="2" t="inlineStr">
        <is>
          <t>Percent who are from out of state (exclude international/nonresidents from the numerator and denominator)</t>
        </is>
      </c>
      <c r="C10" t="n">
        <v>51</v>
      </c>
      <c r="D10" t="inlineStr">
        <is>
          <t>Student Life</t>
        </is>
      </c>
      <c r="E10" t="inlineStr">
        <is>
          <t>Percent Participating</t>
        </is>
      </c>
      <c r="F10" t="inlineStr">
        <is>
          <t>Degree-Seeking</t>
        </is>
      </c>
      <c r="G10" t="inlineStr">
        <is>
          <t>Undergraduates</t>
        </is>
      </c>
      <c r="H10" t="inlineStr">
        <is>
          <t>First-time, first-year</t>
        </is>
      </c>
      <c r="I10" t="inlineStr">
        <is>
          <t>All</t>
        </is>
      </c>
      <c r="J10" t="inlineStr">
        <is>
          <t>All</t>
        </is>
      </c>
      <c r="K10" t="inlineStr">
        <is>
          <t>All</t>
        </is>
      </c>
      <c r="L10" t="inlineStr">
        <is>
          <t>Nearest 1%</t>
        </is>
      </c>
    </row>
    <row r="11" ht="18" customHeight="1" s="44">
      <c r="A11" t="inlineStr">
        <is>
          <t>F102</t>
        </is>
      </c>
      <c r="B11" s="2" t="inlineStr">
        <is>
          <t>Percent of men who join fraternities</t>
        </is>
      </c>
      <c r="C11" t="n">
        <v>9</v>
      </c>
      <c r="D11" t="inlineStr">
        <is>
          <t>Student Life</t>
        </is>
      </c>
      <c r="E11" t="inlineStr">
        <is>
          <t>Percent Participating</t>
        </is>
      </c>
      <c r="F11" t="inlineStr">
        <is>
          <t>Degree-Seeking</t>
        </is>
      </c>
      <c r="G11" t="inlineStr">
        <is>
          <t>Undergraduates</t>
        </is>
      </c>
      <c r="H11" t="inlineStr">
        <is>
          <t>First-time, first-year</t>
        </is>
      </c>
      <c r="I11" t="inlineStr">
        <is>
          <t>All</t>
        </is>
      </c>
      <c r="J11" t="inlineStr">
        <is>
          <t>All</t>
        </is>
      </c>
      <c r="K11" t="inlineStr">
        <is>
          <t>All</t>
        </is>
      </c>
      <c r="L11" t="inlineStr">
        <is>
          <t>Nearest 1%</t>
        </is>
      </c>
    </row>
    <row r="12" ht="18" customHeight="1" s="44">
      <c r="A12" t="inlineStr">
        <is>
          <t>F103</t>
        </is>
      </c>
      <c r="B12" s="2" t="inlineStr">
        <is>
          <t>Percent of women who join sororities</t>
        </is>
      </c>
      <c r="C12" t="n">
        <v>8</v>
      </c>
      <c r="D12" t="inlineStr">
        <is>
          <t>Student Life</t>
        </is>
      </c>
      <c r="E12" t="inlineStr">
        <is>
          <t>Percent Participating</t>
        </is>
      </c>
      <c r="F12" t="inlineStr">
        <is>
          <t>Degree-Seeking</t>
        </is>
      </c>
      <c r="G12" t="inlineStr">
        <is>
          <t>Undergraduates</t>
        </is>
      </c>
      <c r="H12" t="inlineStr">
        <is>
          <t>First-time, first-year</t>
        </is>
      </c>
      <c r="I12" t="inlineStr">
        <is>
          <t>All</t>
        </is>
      </c>
      <c r="J12" t="inlineStr">
        <is>
          <t>All</t>
        </is>
      </c>
      <c r="K12" t="inlineStr">
        <is>
          <t>All</t>
        </is>
      </c>
      <c r="L12" t="inlineStr">
        <is>
          <t>Nearest 1%</t>
        </is>
      </c>
    </row>
    <row r="13" ht="30" customHeight="1" s="44">
      <c r="A13" t="inlineStr">
        <is>
          <t>F104</t>
        </is>
      </c>
      <c r="B13" s="2" t="inlineStr">
        <is>
          <t>Percent who live in college-owned, -operated, or -affiliated housing</t>
        </is>
      </c>
      <c r="C13" t="n">
        <v>93</v>
      </c>
      <c r="D13" t="inlineStr">
        <is>
          <t>Student Life</t>
        </is>
      </c>
      <c r="E13" t="inlineStr">
        <is>
          <t>Percent Participating</t>
        </is>
      </c>
      <c r="F13" t="inlineStr">
        <is>
          <t>Degree-Seeking</t>
        </is>
      </c>
      <c r="G13" t="inlineStr">
        <is>
          <t>Undergraduates</t>
        </is>
      </c>
      <c r="H13" t="inlineStr">
        <is>
          <t>First-time, first-year</t>
        </is>
      </c>
      <c r="I13" t="inlineStr">
        <is>
          <t>All</t>
        </is>
      </c>
      <c r="J13" t="inlineStr">
        <is>
          <t>All</t>
        </is>
      </c>
      <c r="K13" t="inlineStr">
        <is>
          <t>All</t>
        </is>
      </c>
      <c r="L13" t="inlineStr">
        <is>
          <t>Nearest 1%</t>
        </is>
      </c>
    </row>
    <row r="14" ht="18" customHeight="1" s="44">
      <c r="A14" t="inlineStr">
        <is>
          <t>F105</t>
        </is>
      </c>
      <c r="B14" s="2" t="inlineStr">
        <is>
          <t>Percent who live off campus or commute</t>
        </is>
      </c>
      <c r="C14" t="n">
        <v>7</v>
      </c>
      <c r="D14" t="inlineStr">
        <is>
          <t>Student Life</t>
        </is>
      </c>
      <c r="E14" t="inlineStr">
        <is>
          <t>Percent Participating</t>
        </is>
      </c>
      <c r="F14" t="inlineStr">
        <is>
          <t>Degree-Seeking</t>
        </is>
      </c>
      <c r="G14" t="inlineStr">
        <is>
          <t>Undergraduates</t>
        </is>
      </c>
      <c r="H14" t="inlineStr">
        <is>
          <t>First-time, first-year</t>
        </is>
      </c>
      <c r="I14" t="inlineStr">
        <is>
          <t>All</t>
        </is>
      </c>
      <c r="J14" t="inlineStr">
        <is>
          <t>All</t>
        </is>
      </c>
      <c r="K14" t="inlineStr">
        <is>
          <t>All</t>
        </is>
      </c>
      <c r="L14" t="inlineStr">
        <is>
          <t>Nearest 1%</t>
        </is>
      </c>
    </row>
    <row r="15" ht="18" customHeight="1" s="44">
      <c r="A15" t="inlineStr">
        <is>
          <t>F106</t>
        </is>
      </c>
      <c r="B15" s="2" t="inlineStr">
        <is>
          <t>Percent of students age 25 and older</t>
        </is>
      </c>
      <c r="C15" t="n">
        <v>0</v>
      </c>
      <c r="D15" t="inlineStr">
        <is>
          <t>Student Life</t>
        </is>
      </c>
      <c r="E15" t="inlineStr">
        <is>
          <t>Percent Participating</t>
        </is>
      </c>
      <c r="F15" t="inlineStr">
        <is>
          <t>Degree-Seeking</t>
        </is>
      </c>
      <c r="G15" t="inlineStr">
        <is>
          <t>Undergraduates</t>
        </is>
      </c>
      <c r="H15" t="inlineStr">
        <is>
          <t>First-time, first-year</t>
        </is>
      </c>
      <c r="I15" t="inlineStr">
        <is>
          <t>All</t>
        </is>
      </c>
      <c r="J15" t="inlineStr">
        <is>
          <t>All</t>
        </is>
      </c>
      <c r="K15" t="inlineStr">
        <is>
          <t>All</t>
        </is>
      </c>
      <c r="L15" t="inlineStr">
        <is>
          <t>Nearest 1%</t>
        </is>
      </c>
    </row>
    <row r="16">
      <c r="B16" s="2" t="n"/>
    </row>
    <row r="17">
      <c r="B17" s="2" t="n"/>
    </row>
    <row r="18">
      <c r="A18" t="inlineStr">
        <is>
          <t>F107</t>
        </is>
      </c>
      <c r="B18" s="2" t="inlineStr">
        <is>
          <t>Average age of full-time students</t>
        </is>
      </c>
      <c r="C18" t="n">
        <v>18</v>
      </c>
      <c r="D18" t="inlineStr">
        <is>
          <t>Student Life</t>
        </is>
      </c>
      <c r="E18" t="inlineStr">
        <is>
          <t>Average Age</t>
        </is>
      </c>
      <c r="F18" t="inlineStr">
        <is>
          <t>Degree-Seeking</t>
        </is>
      </c>
      <c r="G18" t="inlineStr">
        <is>
          <t>Undergraduates</t>
        </is>
      </c>
      <c r="H18" t="inlineStr">
        <is>
          <t>First-time, first-year</t>
        </is>
      </c>
      <c r="I18" t="inlineStr">
        <is>
          <t>All</t>
        </is>
      </c>
      <c r="J18" t="inlineStr">
        <is>
          <t>All</t>
        </is>
      </c>
      <c r="K18" t="inlineStr">
        <is>
          <t>All</t>
        </is>
      </c>
      <c r="L18" t="inlineStr">
        <is>
          <t>Whole Number or Round to Nearest Tenths</t>
        </is>
      </c>
    </row>
    <row r="19" ht="30" customHeight="1" s="44">
      <c r="A19" t="inlineStr">
        <is>
          <t>F108</t>
        </is>
      </c>
      <c r="B19" s="2" t="inlineStr">
        <is>
          <t>Average age of all students (full- and part-time)</t>
        </is>
      </c>
      <c r="C19" t="n">
        <v>18</v>
      </c>
      <c r="D19" t="inlineStr">
        <is>
          <t>Student Life</t>
        </is>
      </c>
      <c r="E19" t="inlineStr">
        <is>
          <t>Average Age</t>
        </is>
      </c>
      <c r="F19" t="inlineStr">
        <is>
          <t>Degree-Seeking</t>
        </is>
      </c>
      <c r="G19" t="inlineStr">
        <is>
          <t>Undergraduates</t>
        </is>
      </c>
      <c r="H19" t="inlineStr">
        <is>
          <t>First-time, first-year</t>
        </is>
      </c>
      <c r="I19" t="inlineStr">
        <is>
          <t>All</t>
        </is>
      </c>
      <c r="J19" t="inlineStr">
        <is>
          <t>All</t>
        </is>
      </c>
      <c r="K19" t="inlineStr">
        <is>
          <t>All</t>
        </is>
      </c>
      <c r="L19" t="inlineStr">
        <is>
          <t>Whole Number or Round to Nearest Tenths</t>
        </is>
      </c>
    </row>
    <row r="20">
      <c r="B20" s="2" t="n"/>
    </row>
    <row r="21" ht="18" customHeight="1" s="44"/>
    <row r="22" ht="45" customHeight="1" s="44">
      <c r="A22" t="inlineStr">
        <is>
          <t>F109</t>
        </is>
      </c>
      <c r="B22" s="2" t="inlineStr">
        <is>
          <t>Percent who are from out of state (exclude international/nonresidents from the numerator and denominator)</t>
        </is>
      </c>
      <c r="C22" t="n">
        <v>46</v>
      </c>
      <c r="D22" t="inlineStr">
        <is>
          <t>Student Life</t>
        </is>
      </c>
      <c r="E22" t="inlineStr">
        <is>
          <t>Percent Participating</t>
        </is>
      </c>
      <c r="F22" t="inlineStr">
        <is>
          <t>Degree-Seeking</t>
        </is>
      </c>
      <c r="G22" t="inlineStr">
        <is>
          <t>Undergraduates</t>
        </is>
      </c>
      <c r="H22" t="inlineStr">
        <is>
          <t>Undergraduates</t>
        </is>
      </c>
      <c r="I22" t="inlineStr">
        <is>
          <t>All</t>
        </is>
      </c>
      <c r="J22" t="inlineStr">
        <is>
          <t>All</t>
        </is>
      </c>
      <c r="K22" t="inlineStr">
        <is>
          <t>All</t>
        </is>
      </c>
      <c r="L22" t="inlineStr">
        <is>
          <t>Nearest 1%</t>
        </is>
      </c>
    </row>
    <row r="23" ht="18" customHeight="1" s="44">
      <c r="A23" t="inlineStr">
        <is>
          <t>F110</t>
        </is>
      </c>
      <c r="B23" s="2" t="inlineStr">
        <is>
          <t>Percent of men who join fraternities</t>
        </is>
      </c>
      <c r="C23" t="n">
        <v>9</v>
      </c>
      <c r="D23" t="inlineStr">
        <is>
          <t>Student Life</t>
        </is>
      </c>
      <c r="E23" t="inlineStr">
        <is>
          <t>Percent Participating</t>
        </is>
      </c>
      <c r="F23" t="inlineStr">
        <is>
          <t>Degree-Seeking</t>
        </is>
      </c>
      <c r="G23" t="inlineStr">
        <is>
          <t>Undergraduates</t>
        </is>
      </c>
      <c r="H23" t="inlineStr">
        <is>
          <t>Undergraduates</t>
        </is>
      </c>
      <c r="I23" t="inlineStr">
        <is>
          <t>All</t>
        </is>
      </c>
      <c r="J23" t="inlineStr">
        <is>
          <t>All</t>
        </is>
      </c>
      <c r="K23" t="inlineStr">
        <is>
          <t>All</t>
        </is>
      </c>
      <c r="L23" t="inlineStr">
        <is>
          <t>Nearest 1%</t>
        </is>
      </c>
    </row>
    <row r="24" ht="18" customHeight="1" s="44">
      <c r="A24" t="inlineStr">
        <is>
          <t>F111</t>
        </is>
      </c>
      <c r="B24" s="2" t="inlineStr">
        <is>
          <t>Percent of women who join sororities</t>
        </is>
      </c>
      <c r="C24" t="n">
        <v>8</v>
      </c>
      <c r="D24" t="inlineStr">
        <is>
          <t>Student Life</t>
        </is>
      </c>
      <c r="E24" t="inlineStr">
        <is>
          <t>Percent Participating</t>
        </is>
      </c>
      <c r="F24" t="inlineStr">
        <is>
          <t>Degree-Seeking</t>
        </is>
      </c>
      <c r="G24" t="inlineStr">
        <is>
          <t>Undergraduates</t>
        </is>
      </c>
      <c r="H24" t="inlineStr">
        <is>
          <t>Undergraduates</t>
        </is>
      </c>
      <c r="I24" t="inlineStr">
        <is>
          <t>All</t>
        </is>
      </c>
      <c r="J24" t="inlineStr">
        <is>
          <t>All</t>
        </is>
      </c>
      <c r="K24" t="inlineStr">
        <is>
          <t>All</t>
        </is>
      </c>
      <c r="L24" t="inlineStr">
        <is>
          <t>Nearest 1%</t>
        </is>
      </c>
    </row>
    <row r="25" ht="30" customHeight="1" s="44">
      <c r="A25" t="inlineStr">
        <is>
          <t>F112</t>
        </is>
      </c>
      <c r="B25" s="2" t="inlineStr">
        <is>
          <t>Percent who live in college-owned, -operated, or -affiliated housing</t>
        </is>
      </c>
      <c r="C25" t="n">
        <v>25</v>
      </c>
      <c r="D25" t="inlineStr">
        <is>
          <t>Student Life</t>
        </is>
      </c>
      <c r="E25" t="inlineStr">
        <is>
          <t>Percent Participating</t>
        </is>
      </c>
      <c r="F25" t="inlineStr">
        <is>
          <t>Degree-Seeking</t>
        </is>
      </c>
      <c r="G25" t="inlineStr">
        <is>
          <t>Undergraduates</t>
        </is>
      </c>
      <c r="H25" t="inlineStr">
        <is>
          <t>Undergraduates</t>
        </is>
      </c>
      <c r="I25" t="inlineStr">
        <is>
          <t>All</t>
        </is>
      </c>
      <c r="J25" t="inlineStr">
        <is>
          <t>All</t>
        </is>
      </c>
      <c r="K25" t="inlineStr">
        <is>
          <t>All</t>
        </is>
      </c>
      <c r="L25" t="inlineStr">
        <is>
          <t>Nearest 1%</t>
        </is>
      </c>
    </row>
    <row r="26" ht="18" customHeight="1" s="44">
      <c r="A26" t="inlineStr">
        <is>
          <t>F113</t>
        </is>
      </c>
      <c r="B26" s="2" t="inlineStr">
        <is>
          <t>Percent who live off campus or commute</t>
        </is>
      </c>
      <c r="C26" t="n">
        <v>75</v>
      </c>
      <c r="D26" t="inlineStr">
        <is>
          <t>Student Life</t>
        </is>
      </c>
      <c r="E26" t="inlineStr">
        <is>
          <t>Percent Participating</t>
        </is>
      </c>
      <c r="F26" t="inlineStr">
        <is>
          <t>Degree-Seeking</t>
        </is>
      </c>
      <c r="G26" t="inlineStr">
        <is>
          <t>Undergraduates</t>
        </is>
      </c>
      <c r="H26" t="inlineStr">
        <is>
          <t>Undergraduates</t>
        </is>
      </c>
      <c r="I26" t="inlineStr">
        <is>
          <t>All</t>
        </is>
      </c>
      <c r="J26" t="inlineStr">
        <is>
          <t>All</t>
        </is>
      </c>
      <c r="K26" t="inlineStr">
        <is>
          <t>All</t>
        </is>
      </c>
      <c r="L26" t="inlineStr">
        <is>
          <t>Nearest 1%</t>
        </is>
      </c>
    </row>
    <row r="27" ht="18" customHeight="1" s="44">
      <c r="A27" t="inlineStr">
        <is>
          <t>F114</t>
        </is>
      </c>
      <c r="B27" s="2" t="inlineStr">
        <is>
          <t>Percent of students age 25 and older</t>
        </is>
      </c>
      <c r="C27" t="n">
        <v>2</v>
      </c>
      <c r="D27" t="inlineStr">
        <is>
          <t>Student Life</t>
        </is>
      </c>
      <c r="E27" t="inlineStr">
        <is>
          <t>Percent Participating</t>
        </is>
      </c>
      <c r="F27" t="inlineStr">
        <is>
          <t>Degree-Seeking</t>
        </is>
      </c>
      <c r="G27" t="inlineStr">
        <is>
          <t>Undergraduates</t>
        </is>
      </c>
      <c r="H27" t="inlineStr">
        <is>
          <t>Undergraduates</t>
        </is>
      </c>
      <c r="I27" t="inlineStr">
        <is>
          <t>All</t>
        </is>
      </c>
      <c r="J27" t="inlineStr">
        <is>
          <t>All</t>
        </is>
      </c>
      <c r="K27" t="inlineStr">
        <is>
          <t>All</t>
        </is>
      </c>
      <c r="L27" t="inlineStr">
        <is>
          <t>Nearest 1%</t>
        </is>
      </c>
    </row>
    <row r="28">
      <c r="B28" s="2" t="n"/>
    </row>
    <row r="29">
      <c r="B29" s="2" t="n"/>
    </row>
    <row r="30">
      <c r="A30" t="inlineStr">
        <is>
          <t>F115</t>
        </is>
      </c>
      <c r="B30" s="2" t="inlineStr">
        <is>
          <t>Average age of full-time students</t>
        </is>
      </c>
      <c r="C30" t="n">
        <v>20</v>
      </c>
      <c r="D30" t="inlineStr">
        <is>
          <t>Student Life</t>
        </is>
      </c>
      <c r="E30" t="inlineStr">
        <is>
          <t>Average Age</t>
        </is>
      </c>
      <c r="F30" t="inlineStr">
        <is>
          <t>Degree-Seeking</t>
        </is>
      </c>
      <c r="G30" t="inlineStr">
        <is>
          <t>Undergraduates</t>
        </is>
      </c>
      <c r="H30" t="inlineStr">
        <is>
          <t>Undergraduates</t>
        </is>
      </c>
      <c r="I30" t="inlineStr">
        <is>
          <t>All</t>
        </is>
      </c>
      <c r="J30" t="inlineStr">
        <is>
          <t>All</t>
        </is>
      </c>
      <c r="K30" t="inlineStr">
        <is>
          <t>All</t>
        </is>
      </c>
      <c r="L30" t="inlineStr">
        <is>
          <t>Whole Number or Round to Nearest Tenths</t>
        </is>
      </c>
    </row>
    <row r="31" ht="30" customHeight="1" s="44">
      <c r="A31" t="inlineStr">
        <is>
          <t>F116</t>
        </is>
      </c>
      <c r="B31" s="2" t="inlineStr">
        <is>
          <t>Average age of all students (full- and part-time)</t>
        </is>
      </c>
      <c r="C31" t="n">
        <v>20</v>
      </c>
      <c r="D31" t="inlineStr">
        <is>
          <t>Student Life</t>
        </is>
      </c>
      <c r="E31" t="inlineStr">
        <is>
          <t>Average Age</t>
        </is>
      </c>
      <c r="F31" t="inlineStr">
        <is>
          <t>Degree-Seeking</t>
        </is>
      </c>
      <c r="G31" t="inlineStr">
        <is>
          <t>Undergraduates</t>
        </is>
      </c>
      <c r="H31" t="inlineStr">
        <is>
          <t>Undergraduates</t>
        </is>
      </c>
      <c r="I31" t="inlineStr">
        <is>
          <t>All</t>
        </is>
      </c>
      <c r="J31" t="inlineStr">
        <is>
          <t>All</t>
        </is>
      </c>
      <c r="K31" t="inlineStr">
        <is>
          <t>All</t>
        </is>
      </c>
      <c r="L31" t="inlineStr">
        <is>
          <t>Whole Number or Round to Nearest Tenths</t>
        </is>
      </c>
    </row>
    <row r="32">
      <c r="B32" s="2" t="n"/>
    </row>
    <row r="33"/>
    <row r="34"/>
    <row r="35"/>
    <row r="36" ht="18" customHeight="1" s="44"/>
    <row r="37" ht="18" customHeight="1" s="44">
      <c r="A37" t="inlineStr">
        <is>
          <t>F201</t>
        </is>
      </c>
      <c r="B37" s="2" t="inlineStr">
        <is>
          <t>Campus Ministries</t>
        </is>
      </c>
      <c r="D37" t="inlineStr">
        <is>
          <t>Student Life</t>
        </is>
      </c>
      <c r="E37" t="inlineStr">
        <is>
          <t>Activities Offered</t>
        </is>
      </c>
      <c r="F37" t="inlineStr">
        <is>
          <t>All</t>
        </is>
      </c>
      <c r="G37" t="inlineStr">
        <is>
          <t>All</t>
        </is>
      </c>
      <c r="H37" t="inlineStr">
        <is>
          <t>All</t>
        </is>
      </c>
      <c r="I37" t="inlineStr">
        <is>
          <t>All</t>
        </is>
      </c>
      <c r="J37" t="inlineStr">
        <is>
          <t>All</t>
        </is>
      </c>
      <c r="K37" t="inlineStr">
        <is>
          <t>All</t>
        </is>
      </c>
      <c r="L37" t="inlineStr">
        <is>
          <t>x</t>
        </is>
      </c>
    </row>
    <row r="38" ht="18" customHeight="1" s="44">
      <c r="A38" t="inlineStr">
        <is>
          <t>F202</t>
        </is>
      </c>
      <c r="B38" s="2" t="inlineStr">
        <is>
          <t>Choral groups</t>
        </is>
      </c>
      <c r="C38" t="inlineStr">
        <is>
          <t>x</t>
        </is>
      </c>
      <c r="D38" t="inlineStr">
        <is>
          <t>Student Life</t>
        </is>
      </c>
      <c r="E38" t="inlineStr">
        <is>
          <t>Activities Offered</t>
        </is>
      </c>
      <c r="F38" t="inlineStr">
        <is>
          <t>All</t>
        </is>
      </c>
      <c r="G38" t="inlineStr">
        <is>
          <t>All</t>
        </is>
      </c>
      <c r="H38" t="inlineStr">
        <is>
          <t>All</t>
        </is>
      </c>
      <c r="I38" t="inlineStr">
        <is>
          <t>All</t>
        </is>
      </c>
      <c r="J38" t="inlineStr">
        <is>
          <t>All</t>
        </is>
      </c>
      <c r="K38" t="inlineStr">
        <is>
          <t>All</t>
        </is>
      </c>
      <c r="L38" t="inlineStr">
        <is>
          <t>x</t>
        </is>
      </c>
    </row>
    <row r="39" ht="18" customHeight="1" s="44">
      <c r="A39" t="inlineStr">
        <is>
          <t>F203</t>
        </is>
      </c>
      <c r="B39" s="2" t="inlineStr">
        <is>
          <t>Concert band</t>
        </is>
      </c>
      <c r="C39" t="inlineStr">
        <is>
          <t>x</t>
        </is>
      </c>
      <c r="D39" t="inlineStr">
        <is>
          <t>Student Life</t>
        </is>
      </c>
      <c r="E39" t="inlineStr">
        <is>
          <t>Activities Offered</t>
        </is>
      </c>
      <c r="F39" t="inlineStr">
        <is>
          <t>All</t>
        </is>
      </c>
      <c r="G39" t="inlineStr">
        <is>
          <t>All</t>
        </is>
      </c>
      <c r="H39" t="inlineStr">
        <is>
          <t>All</t>
        </is>
      </c>
      <c r="I39" t="inlineStr">
        <is>
          <t>All</t>
        </is>
      </c>
      <c r="J39" t="inlineStr">
        <is>
          <t>All</t>
        </is>
      </c>
      <c r="K39" t="inlineStr">
        <is>
          <t>All</t>
        </is>
      </c>
      <c r="L39" t="inlineStr">
        <is>
          <t>x</t>
        </is>
      </c>
    </row>
    <row r="40" ht="18" customHeight="1" s="44">
      <c r="A40" t="inlineStr">
        <is>
          <t>F204</t>
        </is>
      </c>
      <c r="B40" s="2" t="inlineStr">
        <is>
          <t>Dance</t>
        </is>
      </c>
      <c r="C40" t="inlineStr">
        <is>
          <t>x</t>
        </is>
      </c>
      <c r="D40" t="inlineStr">
        <is>
          <t>Student Life</t>
        </is>
      </c>
      <c r="E40" t="inlineStr">
        <is>
          <t>Activities Offered</t>
        </is>
      </c>
      <c r="F40" t="inlineStr">
        <is>
          <t>All</t>
        </is>
      </c>
      <c r="G40" t="inlineStr">
        <is>
          <t>All</t>
        </is>
      </c>
      <c r="H40" t="inlineStr">
        <is>
          <t>All</t>
        </is>
      </c>
      <c r="I40" t="inlineStr">
        <is>
          <t>All</t>
        </is>
      </c>
      <c r="J40" t="inlineStr">
        <is>
          <t>All</t>
        </is>
      </c>
      <c r="K40" t="inlineStr">
        <is>
          <t>All</t>
        </is>
      </c>
      <c r="L40" t="inlineStr">
        <is>
          <t>x</t>
        </is>
      </c>
    </row>
    <row r="41" ht="18" customHeight="1" s="44">
      <c r="A41" t="inlineStr">
        <is>
          <t>F205</t>
        </is>
      </c>
      <c r="B41" s="2" t="inlineStr">
        <is>
          <t>Drama/theater</t>
        </is>
      </c>
      <c r="C41" t="inlineStr">
        <is>
          <t>x</t>
        </is>
      </c>
      <c r="D41" t="inlineStr">
        <is>
          <t>Student Life</t>
        </is>
      </c>
      <c r="E41" t="inlineStr">
        <is>
          <t>Activities Offered</t>
        </is>
      </c>
      <c r="F41" t="inlineStr">
        <is>
          <t>All</t>
        </is>
      </c>
      <c r="G41" t="inlineStr">
        <is>
          <t>All</t>
        </is>
      </c>
      <c r="H41" t="inlineStr">
        <is>
          <t>All</t>
        </is>
      </c>
      <c r="I41" t="inlineStr">
        <is>
          <t>All</t>
        </is>
      </c>
      <c r="J41" t="inlineStr">
        <is>
          <t>All</t>
        </is>
      </c>
      <c r="K41" t="inlineStr">
        <is>
          <t>All</t>
        </is>
      </c>
      <c r="L41" t="inlineStr">
        <is>
          <t>x</t>
        </is>
      </c>
    </row>
    <row r="42" ht="18" customHeight="1" s="44">
      <c r="A42" t="inlineStr">
        <is>
          <t>F206</t>
        </is>
      </c>
      <c r="B42" s="2" t="inlineStr">
        <is>
          <t>International Student Organization</t>
        </is>
      </c>
      <c r="C42" t="inlineStr">
        <is>
          <t>x</t>
        </is>
      </c>
      <c r="D42" t="inlineStr">
        <is>
          <t>Student Life</t>
        </is>
      </c>
      <c r="E42" t="inlineStr">
        <is>
          <t>Activities Offered</t>
        </is>
      </c>
      <c r="F42" t="inlineStr">
        <is>
          <t>All</t>
        </is>
      </c>
      <c r="G42" t="inlineStr">
        <is>
          <t>All</t>
        </is>
      </c>
      <c r="H42" t="inlineStr">
        <is>
          <t>All</t>
        </is>
      </c>
      <c r="I42" t="inlineStr">
        <is>
          <t>All</t>
        </is>
      </c>
      <c r="J42" t="inlineStr">
        <is>
          <t>All</t>
        </is>
      </c>
      <c r="K42" t="inlineStr">
        <is>
          <t>All</t>
        </is>
      </c>
      <c r="L42" t="inlineStr">
        <is>
          <t>x</t>
        </is>
      </c>
    </row>
    <row r="43" ht="18" customHeight="1" s="44">
      <c r="A43" t="inlineStr">
        <is>
          <t>F207</t>
        </is>
      </c>
      <c r="B43" s="2" t="inlineStr">
        <is>
          <t>Jazz band</t>
        </is>
      </c>
      <c r="C43" t="inlineStr">
        <is>
          <t>x</t>
        </is>
      </c>
      <c r="D43" t="inlineStr">
        <is>
          <t>Student Life</t>
        </is>
      </c>
      <c r="E43" t="inlineStr">
        <is>
          <t>Activities Offered</t>
        </is>
      </c>
      <c r="F43" t="inlineStr">
        <is>
          <t>All</t>
        </is>
      </c>
      <c r="G43" t="inlineStr">
        <is>
          <t>All</t>
        </is>
      </c>
      <c r="H43" t="inlineStr">
        <is>
          <t>All</t>
        </is>
      </c>
      <c r="I43" t="inlineStr">
        <is>
          <t>All</t>
        </is>
      </c>
      <c r="J43" t="inlineStr">
        <is>
          <t>All</t>
        </is>
      </c>
      <c r="K43" t="inlineStr">
        <is>
          <t>All</t>
        </is>
      </c>
      <c r="L43" t="inlineStr">
        <is>
          <t>x</t>
        </is>
      </c>
    </row>
    <row r="44" ht="18" customHeight="1" s="44">
      <c r="A44" t="inlineStr">
        <is>
          <t>F208</t>
        </is>
      </c>
      <c r="B44" s="8" t="inlineStr">
        <is>
          <t>Literary magazine</t>
        </is>
      </c>
      <c r="C44" t="inlineStr">
        <is>
          <t>x</t>
        </is>
      </c>
      <c r="D44" t="inlineStr">
        <is>
          <t>Student Life</t>
        </is>
      </c>
      <c r="E44" t="inlineStr">
        <is>
          <t>Activities Offered</t>
        </is>
      </c>
      <c r="F44" t="inlineStr">
        <is>
          <t>All</t>
        </is>
      </c>
      <c r="G44" t="inlineStr">
        <is>
          <t>All</t>
        </is>
      </c>
      <c r="H44" t="inlineStr">
        <is>
          <t>All</t>
        </is>
      </c>
      <c r="I44" t="inlineStr">
        <is>
          <t>All</t>
        </is>
      </c>
      <c r="J44" t="inlineStr">
        <is>
          <t>All</t>
        </is>
      </c>
      <c r="K44" t="inlineStr">
        <is>
          <t>All</t>
        </is>
      </c>
      <c r="L44" t="inlineStr">
        <is>
          <t>x</t>
        </is>
      </c>
    </row>
    <row r="45" ht="18" customHeight="1" s="44">
      <c r="A45" t="inlineStr">
        <is>
          <t>F209</t>
        </is>
      </c>
      <c r="B45" t="inlineStr">
        <is>
          <t>Marching band</t>
        </is>
      </c>
      <c r="C45" t="inlineStr">
        <is>
          <t>x</t>
        </is>
      </c>
      <c r="D45" t="inlineStr">
        <is>
          <t>Student Life</t>
        </is>
      </c>
      <c r="E45" t="inlineStr">
        <is>
          <t>Activities Offered</t>
        </is>
      </c>
      <c r="F45" t="inlineStr">
        <is>
          <t>All</t>
        </is>
      </c>
      <c r="G45" t="inlineStr">
        <is>
          <t>All</t>
        </is>
      </c>
      <c r="H45" t="inlineStr">
        <is>
          <t>All</t>
        </is>
      </c>
      <c r="I45" t="inlineStr">
        <is>
          <t>All</t>
        </is>
      </c>
      <c r="J45" t="inlineStr">
        <is>
          <t>All</t>
        </is>
      </c>
      <c r="K45" t="inlineStr">
        <is>
          <t>All</t>
        </is>
      </c>
      <c r="L45" t="inlineStr">
        <is>
          <t>x</t>
        </is>
      </c>
    </row>
    <row r="46" ht="18" customHeight="1" s="44">
      <c r="A46" t="inlineStr">
        <is>
          <t>F210</t>
        </is>
      </c>
      <c r="B46" t="inlineStr">
        <is>
          <t>Model UN</t>
        </is>
      </c>
      <c r="D46" t="inlineStr">
        <is>
          <t>Student Life</t>
        </is>
      </c>
      <c r="E46" t="inlineStr">
        <is>
          <t>Activities Offered</t>
        </is>
      </c>
      <c r="F46" t="inlineStr">
        <is>
          <t>All</t>
        </is>
      </c>
      <c r="G46" t="inlineStr">
        <is>
          <t>All</t>
        </is>
      </c>
      <c r="H46" t="inlineStr">
        <is>
          <t>All</t>
        </is>
      </c>
      <c r="I46" t="inlineStr">
        <is>
          <t>All</t>
        </is>
      </c>
      <c r="J46" t="inlineStr">
        <is>
          <t>All</t>
        </is>
      </c>
      <c r="K46" t="inlineStr">
        <is>
          <t>All</t>
        </is>
      </c>
      <c r="L46" t="inlineStr">
        <is>
          <t>x</t>
        </is>
      </c>
    </row>
    <row r="47" ht="18" customHeight="1" s="44">
      <c r="A47" t="inlineStr">
        <is>
          <t>F211</t>
        </is>
      </c>
      <c r="B47" t="inlineStr">
        <is>
          <t>Music ensembles</t>
        </is>
      </c>
      <c r="C47" t="inlineStr">
        <is>
          <t>x</t>
        </is>
      </c>
      <c r="D47" t="inlineStr">
        <is>
          <t>Student Life</t>
        </is>
      </c>
      <c r="E47" t="inlineStr">
        <is>
          <t>Activities Offered</t>
        </is>
      </c>
      <c r="F47" t="inlineStr">
        <is>
          <t>All</t>
        </is>
      </c>
      <c r="G47" t="inlineStr">
        <is>
          <t>All</t>
        </is>
      </c>
      <c r="H47" t="inlineStr">
        <is>
          <t>All</t>
        </is>
      </c>
      <c r="I47" t="inlineStr">
        <is>
          <t>All</t>
        </is>
      </c>
      <c r="J47" t="inlineStr">
        <is>
          <t>All</t>
        </is>
      </c>
      <c r="K47" t="inlineStr">
        <is>
          <t>All</t>
        </is>
      </c>
      <c r="L47" t="inlineStr">
        <is>
          <t>x</t>
        </is>
      </c>
    </row>
    <row r="48" ht="18" customHeight="1" s="44">
      <c r="A48" t="inlineStr">
        <is>
          <t>F212</t>
        </is>
      </c>
      <c r="B48" t="inlineStr">
        <is>
          <t>Musical theater</t>
        </is>
      </c>
      <c r="C48" t="inlineStr">
        <is>
          <t>x</t>
        </is>
      </c>
      <c r="D48" t="inlineStr">
        <is>
          <t>Student Life</t>
        </is>
      </c>
      <c r="E48" t="inlineStr">
        <is>
          <t>Activities Offered</t>
        </is>
      </c>
      <c r="F48" t="inlineStr">
        <is>
          <t>All</t>
        </is>
      </c>
      <c r="G48" t="inlineStr">
        <is>
          <t>All</t>
        </is>
      </c>
      <c r="H48" t="inlineStr">
        <is>
          <t>All</t>
        </is>
      </c>
      <c r="I48" t="inlineStr">
        <is>
          <t>All</t>
        </is>
      </c>
      <c r="J48" t="inlineStr">
        <is>
          <t>All</t>
        </is>
      </c>
      <c r="K48" t="inlineStr">
        <is>
          <t>All</t>
        </is>
      </c>
      <c r="L48" t="inlineStr">
        <is>
          <t>x</t>
        </is>
      </c>
    </row>
    <row r="49" ht="18" customHeight="1" s="44">
      <c r="A49" t="inlineStr">
        <is>
          <t>F213</t>
        </is>
      </c>
      <c r="B49" t="inlineStr">
        <is>
          <t>Opera</t>
        </is>
      </c>
      <c r="C49" t="inlineStr">
        <is>
          <t>x</t>
        </is>
      </c>
      <c r="D49" t="inlineStr">
        <is>
          <t>Student Life</t>
        </is>
      </c>
      <c r="E49" t="inlineStr">
        <is>
          <t>Activities Offered</t>
        </is>
      </c>
      <c r="F49" t="inlineStr">
        <is>
          <t>All</t>
        </is>
      </c>
      <c r="G49" t="inlineStr">
        <is>
          <t>All</t>
        </is>
      </c>
      <c r="H49" t="inlineStr">
        <is>
          <t>All</t>
        </is>
      </c>
      <c r="I49" t="inlineStr">
        <is>
          <t>All</t>
        </is>
      </c>
      <c r="J49" t="inlineStr">
        <is>
          <t>All</t>
        </is>
      </c>
      <c r="K49" t="inlineStr">
        <is>
          <t>All</t>
        </is>
      </c>
      <c r="L49" t="inlineStr">
        <is>
          <t>x</t>
        </is>
      </c>
    </row>
    <row r="50" ht="18" customHeight="1" s="44">
      <c r="A50" t="inlineStr">
        <is>
          <t>F214</t>
        </is>
      </c>
      <c r="B50" t="inlineStr">
        <is>
          <t>Pep band</t>
        </is>
      </c>
      <c r="C50" t="inlineStr">
        <is>
          <t>x</t>
        </is>
      </c>
      <c r="D50" t="inlineStr">
        <is>
          <t>Student Life</t>
        </is>
      </c>
      <c r="E50" t="inlineStr">
        <is>
          <t>Activities Offered</t>
        </is>
      </c>
      <c r="F50" t="inlineStr">
        <is>
          <t>All</t>
        </is>
      </c>
      <c r="G50" t="inlineStr">
        <is>
          <t>All</t>
        </is>
      </c>
      <c r="H50" t="inlineStr">
        <is>
          <t>All</t>
        </is>
      </c>
      <c r="I50" t="inlineStr">
        <is>
          <t>All</t>
        </is>
      </c>
      <c r="J50" t="inlineStr">
        <is>
          <t>All</t>
        </is>
      </c>
      <c r="K50" t="inlineStr">
        <is>
          <t>All</t>
        </is>
      </c>
      <c r="L50" t="inlineStr">
        <is>
          <t>x</t>
        </is>
      </c>
    </row>
    <row r="51" ht="18" customHeight="1" s="44">
      <c r="A51" t="inlineStr">
        <is>
          <t>F215</t>
        </is>
      </c>
      <c r="B51" t="inlineStr">
        <is>
          <t>Radio station</t>
        </is>
      </c>
      <c r="C51" t="inlineStr">
        <is>
          <t>x</t>
        </is>
      </c>
      <c r="D51" t="inlineStr">
        <is>
          <t>Student Life</t>
        </is>
      </c>
      <c r="E51" t="inlineStr">
        <is>
          <t>Activities Offered</t>
        </is>
      </c>
      <c r="F51" t="inlineStr">
        <is>
          <t>All</t>
        </is>
      </c>
      <c r="G51" t="inlineStr">
        <is>
          <t>All</t>
        </is>
      </c>
      <c r="H51" t="inlineStr">
        <is>
          <t>All</t>
        </is>
      </c>
      <c r="I51" t="inlineStr">
        <is>
          <t>All</t>
        </is>
      </c>
      <c r="J51" t="inlineStr">
        <is>
          <t>All</t>
        </is>
      </c>
      <c r="K51" t="inlineStr">
        <is>
          <t>All</t>
        </is>
      </c>
      <c r="L51" t="inlineStr">
        <is>
          <t>x</t>
        </is>
      </c>
    </row>
    <row r="52" ht="18" customHeight="1" s="44">
      <c r="A52" t="inlineStr">
        <is>
          <t>F216</t>
        </is>
      </c>
      <c r="B52" t="inlineStr">
        <is>
          <t>Student government</t>
        </is>
      </c>
      <c r="C52" t="inlineStr">
        <is>
          <t>x</t>
        </is>
      </c>
      <c r="D52" t="inlineStr">
        <is>
          <t>Student Life</t>
        </is>
      </c>
      <c r="E52" t="inlineStr">
        <is>
          <t>Activities Offered</t>
        </is>
      </c>
      <c r="F52" t="inlineStr">
        <is>
          <t>All</t>
        </is>
      </c>
      <c r="G52" t="inlineStr">
        <is>
          <t>All</t>
        </is>
      </c>
      <c r="H52" t="inlineStr">
        <is>
          <t>All</t>
        </is>
      </c>
      <c r="I52" t="inlineStr">
        <is>
          <t>All</t>
        </is>
      </c>
      <c r="J52" t="inlineStr">
        <is>
          <t>All</t>
        </is>
      </c>
      <c r="K52" t="inlineStr">
        <is>
          <t>All</t>
        </is>
      </c>
      <c r="L52" t="inlineStr">
        <is>
          <t>x</t>
        </is>
      </c>
    </row>
    <row r="53" ht="18" customHeight="1" s="44">
      <c r="A53" t="inlineStr">
        <is>
          <t>F217</t>
        </is>
      </c>
      <c r="B53" s="2" t="inlineStr">
        <is>
          <t>Student newspaper</t>
        </is>
      </c>
      <c r="C53" t="inlineStr">
        <is>
          <t>x</t>
        </is>
      </c>
      <c r="D53" t="inlineStr">
        <is>
          <t>Student Life</t>
        </is>
      </c>
      <c r="E53" t="inlineStr">
        <is>
          <t>Activities Offered</t>
        </is>
      </c>
      <c r="F53" t="inlineStr">
        <is>
          <t>All</t>
        </is>
      </c>
      <c r="G53" t="inlineStr">
        <is>
          <t>All</t>
        </is>
      </c>
      <c r="H53" t="inlineStr">
        <is>
          <t>All</t>
        </is>
      </c>
      <c r="I53" t="inlineStr">
        <is>
          <t>All</t>
        </is>
      </c>
      <c r="J53" t="inlineStr">
        <is>
          <t>All</t>
        </is>
      </c>
      <c r="K53" t="inlineStr">
        <is>
          <t>All</t>
        </is>
      </c>
      <c r="L53" t="inlineStr">
        <is>
          <t>x</t>
        </is>
      </c>
    </row>
    <row r="54" ht="18" customHeight="1" s="44">
      <c r="A54" t="inlineStr">
        <is>
          <t>F218</t>
        </is>
      </c>
      <c r="B54" s="2" t="inlineStr">
        <is>
          <t>Student-run film society</t>
        </is>
      </c>
      <c r="C54" t="inlineStr">
        <is>
          <t>x</t>
        </is>
      </c>
      <c r="D54" t="inlineStr">
        <is>
          <t>Student Life</t>
        </is>
      </c>
      <c r="E54" t="inlineStr">
        <is>
          <t>Activities Offered</t>
        </is>
      </c>
      <c r="F54" t="inlineStr">
        <is>
          <t>All</t>
        </is>
      </c>
      <c r="G54" t="inlineStr">
        <is>
          <t>All</t>
        </is>
      </c>
      <c r="H54" t="inlineStr">
        <is>
          <t>All</t>
        </is>
      </c>
      <c r="I54" t="inlineStr">
        <is>
          <t>All</t>
        </is>
      </c>
      <c r="J54" t="inlineStr">
        <is>
          <t>All</t>
        </is>
      </c>
      <c r="K54" t="inlineStr">
        <is>
          <t>All</t>
        </is>
      </c>
      <c r="L54" t="inlineStr">
        <is>
          <t>x</t>
        </is>
      </c>
    </row>
    <row r="55" ht="18" customHeight="1" s="44">
      <c r="A55" t="inlineStr">
        <is>
          <t>F219</t>
        </is>
      </c>
      <c r="B55" s="2" t="inlineStr">
        <is>
          <t>Symphony orchestra</t>
        </is>
      </c>
      <c r="C55" t="inlineStr">
        <is>
          <t>x</t>
        </is>
      </c>
      <c r="D55" t="inlineStr">
        <is>
          <t>Student Life</t>
        </is>
      </c>
      <c r="E55" t="inlineStr">
        <is>
          <t>Activities Offered</t>
        </is>
      </c>
      <c r="F55" t="inlineStr">
        <is>
          <t>All</t>
        </is>
      </c>
      <c r="G55" t="inlineStr">
        <is>
          <t>All</t>
        </is>
      </c>
      <c r="H55" t="inlineStr">
        <is>
          <t>All</t>
        </is>
      </c>
      <c r="I55" t="inlineStr">
        <is>
          <t>All</t>
        </is>
      </c>
      <c r="J55" t="inlineStr">
        <is>
          <t>All</t>
        </is>
      </c>
      <c r="K55" t="inlineStr">
        <is>
          <t>All</t>
        </is>
      </c>
      <c r="L55" t="inlineStr">
        <is>
          <t>x</t>
        </is>
      </c>
    </row>
    <row r="56" ht="18" customHeight="1" s="44">
      <c r="A56" t="inlineStr">
        <is>
          <t>F220</t>
        </is>
      </c>
      <c r="B56" s="2" t="inlineStr">
        <is>
          <t>Television station</t>
        </is>
      </c>
      <c r="C56" t="inlineStr">
        <is>
          <t>x</t>
        </is>
      </c>
      <c r="D56" t="inlineStr">
        <is>
          <t>Student Life</t>
        </is>
      </c>
      <c r="E56" t="inlineStr">
        <is>
          <t>Activities Offered</t>
        </is>
      </c>
      <c r="F56" t="inlineStr">
        <is>
          <t>All</t>
        </is>
      </c>
      <c r="G56" t="inlineStr">
        <is>
          <t>All</t>
        </is>
      </c>
      <c r="H56" t="inlineStr">
        <is>
          <t>All</t>
        </is>
      </c>
      <c r="I56" t="inlineStr">
        <is>
          <t>All</t>
        </is>
      </c>
      <c r="J56" t="inlineStr">
        <is>
          <t>All</t>
        </is>
      </c>
      <c r="K56" t="inlineStr">
        <is>
          <t>All</t>
        </is>
      </c>
      <c r="L56" t="inlineStr">
        <is>
          <t>x</t>
        </is>
      </c>
    </row>
    <row r="57" ht="18" customHeight="1" s="44">
      <c r="A57" t="inlineStr">
        <is>
          <t>F221</t>
        </is>
      </c>
      <c r="B57" s="2" t="inlineStr">
        <is>
          <t>Yearbook</t>
        </is>
      </c>
      <c r="C57" t="inlineStr">
        <is>
          <t>x</t>
        </is>
      </c>
      <c r="D57" t="inlineStr">
        <is>
          <t>Student Life</t>
        </is>
      </c>
      <c r="E57" t="inlineStr">
        <is>
          <t>Activities Offered</t>
        </is>
      </c>
      <c r="F57" t="inlineStr">
        <is>
          <t>All</t>
        </is>
      </c>
      <c r="G57" t="inlineStr">
        <is>
          <t>All</t>
        </is>
      </c>
      <c r="H57" t="inlineStr">
        <is>
          <t>All</t>
        </is>
      </c>
      <c r="I57" t="inlineStr">
        <is>
          <t>All</t>
        </is>
      </c>
      <c r="J57" t="inlineStr">
        <is>
          <t>All</t>
        </is>
      </c>
      <c r="K57" t="inlineStr">
        <is>
          <t>All</t>
        </is>
      </c>
      <c r="L57" t="inlineStr">
        <is>
          <t>x</t>
        </is>
      </c>
    </row>
    <row r="58">
      <c r="B58" s="2" t="n"/>
    </row>
    <row r="59">
      <c r="B59" s="2" t="n"/>
    </row>
    <row r="60"/>
    <row r="61"/>
    <row r="62"/>
    <row r="63" ht="18" customHeight="1" s="44">
      <c r="B63" s="2" t="n"/>
    </row>
    <row r="64" ht="18" customHeight="1" s="44">
      <c r="A64" t="inlineStr">
        <is>
          <t>F301</t>
        </is>
      </c>
      <c r="B64" t="inlineStr">
        <is>
          <t>On Campus</t>
        </is>
      </c>
      <c r="C64" t="inlineStr">
        <is>
          <t>x</t>
        </is>
      </c>
      <c r="D64" t="inlineStr">
        <is>
          <t>Student Life</t>
        </is>
      </c>
      <c r="E64" t="inlineStr">
        <is>
          <t>ROTC</t>
        </is>
      </c>
      <c r="F64" t="inlineStr">
        <is>
          <t>Army</t>
        </is>
      </c>
      <c r="G64" t="inlineStr">
        <is>
          <t>All</t>
        </is>
      </c>
      <c r="H64" t="inlineStr">
        <is>
          <t>All</t>
        </is>
      </c>
      <c r="I64" t="inlineStr">
        <is>
          <t>All</t>
        </is>
      </c>
      <c r="J64" t="inlineStr">
        <is>
          <t>All</t>
        </is>
      </c>
      <c r="K64" t="inlineStr">
        <is>
          <t>All</t>
        </is>
      </c>
      <c r="L64" t="inlineStr">
        <is>
          <t>x</t>
        </is>
      </c>
    </row>
    <row r="65" ht="18" customHeight="1" s="44">
      <c r="A65" t="inlineStr">
        <is>
          <t>F302</t>
        </is>
      </c>
      <c r="B65" t="inlineStr">
        <is>
          <t>At Cooperating Institution</t>
        </is>
      </c>
      <c r="D65" t="inlineStr">
        <is>
          <t>Student Life</t>
        </is>
      </c>
      <c r="E65" t="inlineStr">
        <is>
          <t>ROTC</t>
        </is>
      </c>
      <c r="F65" t="inlineStr">
        <is>
          <t>Army</t>
        </is>
      </c>
      <c r="G65" t="inlineStr">
        <is>
          <t>All</t>
        </is>
      </c>
      <c r="H65" t="inlineStr">
        <is>
          <t>All</t>
        </is>
      </c>
      <c r="I65" t="inlineStr">
        <is>
          <t>All</t>
        </is>
      </c>
      <c r="J65" t="inlineStr">
        <is>
          <t>All</t>
        </is>
      </c>
      <c r="K65" t="inlineStr">
        <is>
          <t>All</t>
        </is>
      </c>
      <c r="L65" t="inlineStr">
        <is>
          <t>x</t>
        </is>
      </c>
    </row>
    <row r="66">
      <c r="B66" s="2" t="n"/>
    </row>
    <row r="67" ht="18" customHeight="1" s="44">
      <c r="A67" t="inlineStr">
        <is>
          <t>F303</t>
        </is>
      </c>
      <c r="B67" t="inlineStr">
        <is>
          <t>Name of Cooperating Institution</t>
        </is>
      </c>
      <c r="D67" t="inlineStr">
        <is>
          <t>Student Life</t>
        </is>
      </c>
      <c r="E67" t="inlineStr">
        <is>
          <t>ROTC</t>
        </is>
      </c>
      <c r="F67" t="inlineStr">
        <is>
          <t>Army</t>
        </is>
      </c>
      <c r="G67" t="inlineStr">
        <is>
          <t>All</t>
        </is>
      </c>
      <c r="H67" t="inlineStr">
        <is>
          <t>All</t>
        </is>
      </c>
      <c r="I67" t="inlineStr">
        <is>
          <t>All</t>
        </is>
      </c>
      <c r="J67" t="inlineStr">
        <is>
          <t>All</t>
        </is>
      </c>
      <c r="K67" t="inlineStr">
        <is>
          <t>All</t>
        </is>
      </c>
      <c r="L67" t="inlineStr">
        <is>
          <t>Text</t>
        </is>
      </c>
    </row>
    <row r="68">
      <c r="B68" s="7" t="n"/>
    </row>
    <row r="69" ht="18" customHeight="1" s="44">
      <c r="B69" s="2" t="n"/>
    </row>
    <row r="70" ht="18" customHeight="1" s="44">
      <c r="A70" t="inlineStr">
        <is>
          <t>F304</t>
        </is>
      </c>
      <c r="B70" t="inlineStr">
        <is>
          <t>Marine Option 
(for Naval ROTC)</t>
        </is>
      </c>
      <c r="C70" t="inlineStr">
        <is>
          <t>x</t>
        </is>
      </c>
      <c r="D70" t="inlineStr">
        <is>
          <t>Student Life</t>
        </is>
      </c>
      <c r="E70" t="inlineStr">
        <is>
          <t>ROTC</t>
        </is>
      </c>
      <c r="F70" t="inlineStr">
        <is>
          <t>Army</t>
        </is>
      </c>
      <c r="G70" t="inlineStr">
        <is>
          <t>All</t>
        </is>
      </c>
      <c r="H70" t="inlineStr">
        <is>
          <t>All</t>
        </is>
      </c>
      <c r="I70" t="inlineStr">
        <is>
          <t>All</t>
        </is>
      </c>
      <c r="J70" t="inlineStr">
        <is>
          <t>All</t>
        </is>
      </c>
      <c r="K70" t="inlineStr">
        <is>
          <t>All</t>
        </is>
      </c>
      <c r="L70" t="inlineStr">
        <is>
          <t>x</t>
        </is>
      </c>
    </row>
    <row r="71" ht="18" customHeight="1" s="44">
      <c r="A71" t="inlineStr">
        <is>
          <t>F305</t>
        </is>
      </c>
      <c r="B71" t="inlineStr">
        <is>
          <t>On Campus</t>
        </is>
      </c>
      <c r="C71" t="inlineStr">
        <is>
          <t>x</t>
        </is>
      </c>
      <c r="D71" t="inlineStr">
        <is>
          <t>Student Life</t>
        </is>
      </c>
      <c r="E71" t="inlineStr">
        <is>
          <t>ROTC</t>
        </is>
      </c>
      <c r="F71" t="inlineStr">
        <is>
          <t>Army</t>
        </is>
      </c>
      <c r="G71" t="inlineStr">
        <is>
          <t>All</t>
        </is>
      </c>
      <c r="H71" t="inlineStr">
        <is>
          <t>All</t>
        </is>
      </c>
      <c r="I71" t="inlineStr">
        <is>
          <t>All</t>
        </is>
      </c>
      <c r="J71" t="inlineStr">
        <is>
          <t>All</t>
        </is>
      </c>
      <c r="K71" t="inlineStr">
        <is>
          <t>All</t>
        </is>
      </c>
      <c r="L71" t="inlineStr">
        <is>
          <t>x</t>
        </is>
      </c>
    </row>
    <row r="72" ht="18" customHeight="1" s="44">
      <c r="A72" t="inlineStr">
        <is>
          <t>F306</t>
        </is>
      </c>
      <c r="B72" t="inlineStr">
        <is>
          <t>At Cooperating Institution</t>
        </is>
      </c>
      <c r="D72" t="inlineStr">
        <is>
          <t>Student Life</t>
        </is>
      </c>
      <c r="E72" t="inlineStr">
        <is>
          <t>ROTC</t>
        </is>
      </c>
      <c r="F72" t="inlineStr">
        <is>
          <t>Army</t>
        </is>
      </c>
      <c r="G72" t="inlineStr">
        <is>
          <t>All</t>
        </is>
      </c>
      <c r="H72" t="inlineStr">
        <is>
          <t>All</t>
        </is>
      </c>
      <c r="I72" t="inlineStr">
        <is>
          <t>All</t>
        </is>
      </c>
      <c r="J72" t="inlineStr">
        <is>
          <t>All</t>
        </is>
      </c>
      <c r="K72" t="inlineStr">
        <is>
          <t>All</t>
        </is>
      </c>
      <c r="L72" t="inlineStr">
        <is>
          <t>x</t>
        </is>
      </c>
    </row>
    <row r="73" ht="18" customHeight="1" s="44">
      <c r="B73" s="2" t="n"/>
    </row>
    <row r="74" ht="18" customHeight="1" s="44">
      <c r="A74" t="inlineStr">
        <is>
          <t>F307</t>
        </is>
      </c>
      <c r="B74" t="inlineStr">
        <is>
          <t>Name of Cooperating Institution</t>
        </is>
      </c>
      <c r="D74" t="inlineStr">
        <is>
          <t>Student Life</t>
        </is>
      </c>
      <c r="E74" t="inlineStr">
        <is>
          <t>ROTC</t>
        </is>
      </c>
      <c r="F74" t="inlineStr">
        <is>
          <t>Army</t>
        </is>
      </c>
      <c r="G74" t="inlineStr">
        <is>
          <t>All</t>
        </is>
      </c>
      <c r="H74" t="inlineStr">
        <is>
          <t>All</t>
        </is>
      </c>
      <c r="I74" t="inlineStr">
        <is>
          <t>All</t>
        </is>
      </c>
      <c r="J74" t="inlineStr">
        <is>
          <t>All</t>
        </is>
      </c>
      <c r="K74" t="inlineStr">
        <is>
          <t>All</t>
        </is>
      </c>
      <c r="L74" t="inlineStr">
        <is>
          <t>Text</t>
        </is>
      </c>
    </row>
    <row r="75"/>
    <row r="76" ht="18" customHeight="1" s="44">
      <c r="B76" s="2" t="n"/>
    </row>
    <row r="77" ht="18" customHeight="1" s="44">
      <c r="A77" t="inlineStr">
        <is>
          <t>F308</t>
        </is>
      </c>
      <c r="B77" t="inlineStr">
        <is>
          <t>On Campus</t>
        </is>
      </c>
      <c r="C77" t="inlineStr">
        <is>
          <t>x</t>
        </is>
      </c>
      <c r="D77" t="inlineStr">
        <is>
          <t>Student Life</t>
        </is>
      </c>
      <c r="E77" t="inlineStr">
        <is>
          <t>ROTC</t>
        </is>
      </c>
      <c r="F77" t="inlineStr">
        <is>
          <t>Army</t>
        </is>
      </c>
      <c r="G77" t="inlineStr">
        <is>
          <t>All</t>
        </is>
      </c>
      <c r="H77" t="inlineStr">
        <is>
          <t>All</t>
        </is>
      </c>
      <c r="I77" t="inlineStr">
        <is>
          <t>All</t>
        </is>
      </c>
      <c r="J77" t="inlineStr">
        <is>
          <t>All</t>
        </is>
      </c>
      <c r="K77" t="inlineStr">
        <is>
          <t>All</t>
        </is>
      </c>
      <c r="L77" t="inlineStr">
        <is>
          <t>x</t>
        </is>
      </c>
    </row>
    <row r="78" ht="18" customHeight="1" s="44">
      <c r="A78" t="inlineStr">
        <is>
          <t>F309</t>
        </is>
      </c>
      <c r="B78" t="inlineStr">
        <is>
          <t>At Cooperating Institution</t>
        </is>
      </c>
      <c r="D78" t="inlineStr">
        <is>
          <t>Student Life</t>
        </is>
      </c>
      <c r="E78" t="inlineStr">
        <is>
          <t>ROTC</t>
        </is>
      </c>
      <c r="F78" t="inlineStr">
        <is>
          <t>Army</t>
        </is>
      </c>
      <c r="G78" t="inlineStr">
        <is>
          <t>All</t>
        </is>
      </c>
      <c r="H78" t="inlineStr">
        <is>
          <t>All</t>
        </is>
      </c>
      <c r="I78" t="inlineStr">
        <is>
          <t>All</t>
        </is>
      </c>
      <c r="J78" t="inlineStr">
        <is>
          <t>All</t>
        </is>
      </c>
      <c r="K78" t="inlineStr">
        <is>
          <t>All</t>
        </is>
      </c>
      <c r="L78" t="inlineStr">
        <is>
          <t>x</t>
        </is>
      </c>
    </row>
    <row r="79" ht="18" customHeight="1" s="44">
      <c r="B79" s="2" t="n"/>
    </row>
    <row r="80" ht="18" customHeight="1" s="44">
      <c r="A80" t="inlineStr">
        <is>
          <t>F310</t>
        </is>
      </c>
      <c r="B80" t="inlineStr">
        <is>
          <t>Name of Cooperating Institution</t>
        </is>
      </c>
      <c r="D80" t="inlineStr">
        <is>
          <t>Student Life</t>
        </is>
      </c>
      <c r="E80" t="inlineStr">
        <is>
          <t>ROTC</t>
        </is>
      </c>
      <c r="F80" t="inlineStr">
        <is>
          <t>Army</t>
        </is>
      </c>
      <c r="G80" t="inlineStr">
        <is>
          <t>All</t>
        </is>
      </c>
      <c r="H80" t="inlineStr">
        <is>
          <t>All</t>
        </is>
      </c>
      <c r="I80" t="inlineStr">
        <is>
          <t>All</t>
        </is>
      </c>
      <c r="J80" t="inlineStr">
        <is>
          <t>All</t>
        </is>
      </c>
      <c r="K80" t="inlineStr">
        <is>
          <t>All</t>
        </is>
      </c>
      <c r="L80" t="inlineStr">
        <is>
          <t>Text</t>
        </is>
      </c>
    </row>
    <row r="81"/>
    <row r="82"/>
    <row r="83"/>
    <row r="84"/>
    <row r="85"/>
    <row r="86" ht="18" customHeight="1" s="44"/>
    <row r="87" ht="18" customHeight="1" s="44">
      <c r="A87" t="inlineStr">
        <is>
          <t>F401</t>
        </is>
      </c>
      <c r="B87" s="2" t="inlineStr">
        <is>
          <t>Coed dorms</t>
        </is>
      </c>
      <c r="C87" t="inlineStr">
        <is>
          <t>x</t>
        </is>
      </c>
      <c r="D87" t="inlineStr">
        <is>
          <t>Student Life</t>
        </is>
      </c>
      <c r="E87" t="inlineStr">
        <is>
          <t>Housing</t>
        </is>
      </c>
      <c r="F87" t="inlineStr">
        <is>
          <t>All</t>
        </is>
      </c>
      <c r="G87" t="inlineStr">
        <is>
          <t>All</t>
        </is>
      </c>
      <c r="H87" t="inlineStr">
        <is>
          <t>All</t>
        </is>
      </c>
      <c r="I87" t="inlineStr">
        <is>
          <t>All</t>
        </is>
      </c>
      <c r="J87" t="inlineStr">
        <is>
          <t>All</t>
        </is>
      </c>
      <c r="K87" t="inlineStr">
        <is>
          <t>All</t>
        </is>
      </c>
      <c r="L87" t="inlineStr">
        <is>
          <t>x</t>
        </is>
      </c>
    </row>
    <row r="88" ht="18" customHeight="1" s="44">
      <c r="A88" t="inlineStr">
        <is>
          <t>F402</t>
        </is>
      </c>
      <c r="B88" s="2" t="inlineStr">
        <is>
          <t>Men's dorms</t>
        </is>
      </c>
      <c r="C88" t="inlineStr">
        <is>
          <t>x</t>
        </is>
      </c>
      <c r="D88" t="inlineStr">
        <is>
          <t>Student Life</t>
        </is>
      </c>
      <c r="E88" t="inlineStr">
        <is>
          <t>Housing</t>
        </is>
      </c>
      <c r="F88" t="inlineStr">
        <is>
          <t>All</t>
        </is>
      </c>
      <c r="G88" t="inlineStr">
        <is>
          <t>All</t>
        </is>
      </c>
      <c r="H88" t="inlineStr">
        <is>
          <t>All</t>
        </is>
      </c>
      <c r="I88" t="inlineStr">
        <is>
          <t>All</t>
        </is>
      </c>
      <c r="J88" t="inlineStr">
        <is>
          <t>All</t>
        </is>
      </c>
      <c r="K88" t="inlineStr">
        <is>
          <t>Men</t>
        </is>
      </c>
      <c r="L88" t="inlineStr">
        <is>
          <t>x</t>
        </is>
      </c>
    </row>
    <row r="89" ht="18" customHeight="1" s="44">
      <c r="A89" t="inlineStr">
        <is>
          <t>F403</t>
        </is>
      </c>
      <c r="B89" s="2" t="inlineStr">
        <is>
          <t>Women's dorms</t>
        </is>
      </c>
      <c r="C89" t="inlineStr">
        <is>
          <t>x</t>
        </is>
      </c>
      <c r="D89" t="inlineStr">
        <is>
          <t>Student Life</t>
        </is>
      </c>
      <c r="E89" t="inlineStr">
        <is>
          <t>Housing</t>
        </is>
      </c>
      <c r="F89" t="inlineStr">
        <is>
          <t>All</t>
        </is>
      </c>
      <c r="G89" t="inlineStr">
        <is>
          <t>All</t>
        </is>
      </c>
      <c r="H89" t="inlineStr">
        <is>
          <t>All</t>
        </is>
      </c>
      <c r="I89" t="inlineStr">
        <is>
          <t>All</t>
        </is>
      </c>
      <c r="J89" t="inlineStr">
        <is>
          <t>All</t>
        </is>
      </c>
      <c r="K89" t="inlineStr">
        <is>
          <t>Women</t>
        </is>
      </c>
      <c r="L89" t="inlineStr">
        <is>
          <t>x</t>
        </is>
      </c>
    </row>
    <row r="90" ht="18" customHeight="1" s="44">
      <c r="A90" t="inlineStr">
        <is>
          <t>F404</t>
        </is>
      </c>
      <c r="B90" s="2" t="inlineStr">
        <is>
          <t>Apartments for married students</t>
        </is>
      </c>
      <c r="D90" t="inlineStr">
        <is>
          <t>Student Life</t>
        </is>
      </c>
      <c r="E90" t="inlineStr">
        <is>
          <t>Housing</t>
        </is>
      </c>
      <c r="F90" t="inlineStr">
        <is>
          <t>All</t>
        </is>
      </c>
      <c r="G90" t="inlineStr">
        <is>
          <t>All</t>
        </is>
      </c>
      <c r="H90" t="inlineStr">
        <is>
          <t>All</t>
        </is>
      </c>
      <c r="I90" t="inlineStr">
        <is>
          <t>All</t>
        </is>
      </c>
      <c r="J90" t="inlineStr">
        <is>
          <t>All</t>
        </is>
      </c>
      <c r="K90" t="inlineStr">
        <is>
          <t>All</t>
        </is>
      </c>
      <c r="L90" t="inlineStr">
        <is>
          <t>x</t>
        </is>
      </c>
    </row>
    <row r="91" ht="18" customHeight="1" s="44">
      <c r="A91" t="inlineStr">
        <is>
          <t>F405</t>
        </is>
      </c>
      <c r="B91" s="2" t="inlineStr">
        <is>
          <t>Apartments for single students</t>
        </is>
      </c>
      <c r="D91" t="inlineStr">
        <is>
          <t>Student Life</t>
        </is>
      </c>
      <c r="E91" t="inlineStr">
        <is>
          <t>Housing</t>
        </is>
      </c>
      <c r="F91" t="inlineStr">
        <is>
          <t>All</t>
        </is>
      </c>
      <c r="G91" t="inlineStr">
        <is>
          <t>All</t>
        </is>
      </c>
      <c r="H91" t="inlineStr">
        <is>
          <t>All</t>
        </is>
      </c>
      <c r="I91" t="inlineStr">
        <is>
          <t>All</t>
        </is>
      </c>
      <c r="J91" t="inlineStr">
        <is>
          <t>All</t>
        </is>
      </c>
      <c r="K91" t="inlineStr">
        <is>
          <t>All</t>
        </is>
      </c>
      <c r="L91" t="inlineStr">
        <is>
          <t>x</t>
        </is>
      </c>
    </row>
    <row r="92" ht="18" customHeight="1" s="44">
      <c r="A92" t="inlineStr">
        <is>
          <t>F406</t>
        </is>
      </c>
      <c r="B92" s="2" t="inlineStr">
        <is>
          <t>Special housing for disabled students</t>
        </is>
      </c>
      <c r="D92" t="inlineStr">
        <is>
          <t>Student Life</t>
        </is>
      </c>
      <c r="E92" t="inlineStr">
        <is>
          <t>Housing</t>
        </is>
      </c>
      <c r="F92" t="inlineStr">
        <is>
          <t>All</t>
        </is>
      </c>
      <c r="G92" t="inlineStr">
        <is>
          <t>All</t>
        </is>
      </c>
      <c r="H92" t="inlineStr">
        <is>
          <t>All</t>
        </is>
      </c>
      <c r="I92" t="inlineStr">
        <is>
          <t>All</t>
        </is>
      </c>
      <c r="J92" t="inlineStr">
        <is>
          <t>All</t>
        </is>
      </c>
      <c r="K92" t="inlineStr">
        <is>
          <t>All</t>
        </is>
      </c>
      <c r="L92" t="inlineStr">
        <is>
          <t>x</t>
        </is>
      </c>
    </row>
    <row r="93" ht="18" customHeight="1" s="44">
      <c r="A93" t="inlineStr">
        <is>
          <t>F407</t>
        </is>
      </c>
      <c r="B93" s="2" t="inlineStr">
        <is>
          <t>Special housing for international students</t>
        </is>
      </c>
      <c r="C93" t="inlineStr">
        <is>
          <t>x</t>
        </is>
      </c>
      <c r="D93" t="inlineStr">
        <is>
          <t>Student Life</t>
        </is>
      </c>
      <c r="E93" t="inlineStr">
        <is>
          <t>Housing</t>
        </is>
      </c>
      <c r="F93" t="inlineStr">
        <is>
          <t>All</t>
        </is>
      </c>
      <c r="G93" t="inlineStr">
        <is>
          <t>All</t>
        </is>
      </c>
      <c r="H93" t="inlineStr">
        <is>
          <t>All</t>
        </is>
      </c>
      <c r="I93" t="inlineStr">
        <is>
          <t>All</t>
        </is>
      </c>
      <c r="J93" t="inlineStr">
        <is>
          <t>All</t>
        </is>
      </c>
      <c r="K93" t="inlineStr">
        <is>
          <t>All</t>
        </is>
      </c>
      <c r="L93" t="inlineStr">
        <is>
          <t>x</t>
        </is>
      </c>
    </row>
    <row r="94" ht="18" customHeight="1" s="44">
      <c r="A94" t="inlineStr">
        <is>
          <t>F408</t>
        </is>
      </c>
      <c r="B94" s="8" t="inlineStr">
        <is>
          <t>Fraternity/sorority housing</t>
        </is>
      </c>
      <c r="C94" t="inlineStr">
        <is>
          <t>x</t>
        </is>
      </c>
      <c r="D94" t="inlineStr">
        <is>
          <t>Student Life</t>
        </is>
      </c>
      <c r="E94" t="inlineStr">
        <is>
          <t>Housing</t>
        </is>
      </c>
      <c r="F94" t="inlineStr">
        <is>
          <t>All</t>
        </is>
      </c>
      <c r="G94" t="inlineStr">
        <is>
          <t>All</t>
        </is>
      </c>
      <c r="H94" t="inlineStr">
        <is>
          <t>All</t>
        </is>
      </c>
      <c r="I94" t="inlineStr">
        <is>
          <t>All</t>
        </is>
      </c>
      <c r="J94" t="inlineStr">
        <is>
          <t>All</t>
        </is>
      </c>
      <c r="K94" t="inlineStr">
        <is>
          <t>All</t>
        </is>
      </c>
      <c r="L94" t="inlineStr">
        <is>
          <t>x</t>
        </is>
      </c>
    </row>
    <row r="95" ht="18" customHeight="1" s="44">
      <c r="A95" t="inlineStr">
        <is>
          <t>F409</t>
        </is>
      </c>
      <c r="B95" t="inlineStr">
        <is>
          <t>Cooperative housing</t>
        </is>
      </c>
      <c r="D95" t="inlineStr">
        <is>
          <t>Student Life</t>
        </is>
      </c>
      <c r="E95" t="inlineStr">
        <is>
          <t>Housing</t>
        </is>
      </c>
      <c r="F95" t="inlineStr">
        <is>
          <t>All</t>
        </is>
      </c>
      <c r="G95" t="inlineStr">
        <is>
          <t>All</t>
        </is>
      </c>
      <c r="H95" t="inlineStr">
        <is>
          <t>All</t>
        </is>
      </c>
      <c r="I95" t="inlineStr">
        <is>
          <t>All</t>
        </is>
      </c>
      <c r="J95" t="inlineStr">
        <is>
          <t>All</t>
        </is>
      </c>
      <c r="K95" t="inlineStr">
        <is>
          <t>All</t>
        </is>
      </c>
      <c r="L95" t="inlineStr">
        <is>
          <t>x</t>
        </is>
      </c>
    </row>
    <row r="96" ht="18" customHeight="1" s="44">
      <c r="A96" t="inlineStr">
        <is>
          <t>F410</t>
        </is>
      </c>
      <c r="B96" t="inlineStr">
        <is>
          <t>Theme housing</t>
        </is>
      </c>
      <c r="C96" t="inlineStr">
        <is>
          <t>x</t>
        </is>
      </c>
      <c r="D96" t="inlineStr">
        <is>
          <t>Student Life</t>
        </is>
      </c>
      <c r="E96" t="inlineStr">
        <is>
          <t>Housing</t>
        </is>
      </c>
      <c r="F96" t="inlineStr">
        <is>
          <t>All</t>
        </is>
      </c>
      <c r="G96" t="inlineStr">
        <is>
          <t>All</t>
        </is>
      </c>
      <c r="H96" t="inlineStr">
        <is>
          <t>All</t>
        </is>
      </c>
      <c r="I96" t="inlineStr">
        <is>
          <t>All</t>
        </is>
      </c>
      <c r="J96" t="inlineStr">
        <is>
          <t>All</t>
        </is>
      </c>
      <c r="K96" t="inlineStr">
        <is>
          <t>All</t>
        </is>
      </c>
      <c r="L96" t="inlineStr">
        <is>
          <t>x</t>
        </is>
      </c>
    </row>
    <row r="97" ht="18" customHeight="1" s="44">
      <c r="A97" t="inlineStr">
        <is>
          <t>F411</t>
        </is>
      </c>
      <c r="B97" t="inlineStr">
        <is>
          <t>Wellness housing</t>
        </is>
      </c>
      <c r="D97" t="inlineStr">
        <is>
          <t>Student Life</t>
        </is>
      </c>
      <c r="E97" t="inlineStr">
        <is>
          <t>Housing</t>
        </is>
      </c>
      <c r="F97" t="inlineStr">
        <is>
          <t>All</t>
        </is>
      </c>
      <c r="G97" t="inlineStr">
        <is>
          <t>All</t>
        </is>
      </c>
      <c r="H97" t="inlineStr">
        <is>
          <t>All</t>
        </is>
      </c>
      <c r="I97" t="inlineStr">
        <is>
          <t>All</t>
        </is>
      </c>
      <c r="J97" t="inlineStr">
        <is>
          <t>All</t>
        </is>
      </c>
      <c r="K97" t="inlineStr">
        <is>
          <t>All</t>
        </is>
      </c>
      <c r="L97" t="inlineStr">
        <is>
          <t>x</t>
        </is>
      </c>
    </row>
    <row r="98" ht="18" customHeight="1" s="44">
      <c r="A98" t="inlineStr">
        <is>
          <t>F412</t>
        </is>
      </c>
      <c r="B98" t="inlineStr">
        <is>
          <t>Living Learning Communities</t>
        </is>
      </c>
      <c r="C98" t="inlineStr">
        <is>
          <t>x</t>
        </is>
      </c>
      <c r="D98" t="inlineStr">
        <is>
          <t>Student Life</t>
        </is>
      </c>
      <c r="E98" t="inlineStr">
        <is>
          <t>Housing</t>
        </is>
      </c>
      <c r="F98" t="inlineStr">
        <is>
          <t>All</t>
        </is>
      </c>
      <c r="G98" t="inlineStr">
        <is>
          <t>All</t>
        </is>
      </c>
      <c r="H98" t="inlineStr">
        <is>
          <t>All</t>
        </is>
      </c>
      <c r="I98" t="inlineStr">
        <is>
          <t>All</t>
        </is>
      </c>
      <c r="J98" t="inlineStr">
        <is>
          <t>All</t>
        </is>
      </c>
      <c r="K98" t="inlineStr">
        <is>
          <t>All</t>
        </is>
      </c>
      <c r="L98" t="inlineStr">
        <is>
          <t>x</t>
        </is>
      </c>
    </row>
    <row r="99" ht="18" customHeight="1" s="44"/>
    <row r="100" ht="18" customHeight="1" s="44">
      <c r="A100" t="inlineStr">
        <is>
          <t>F413</t>
        </is>
      </c>
      <c r="B100" t="inlineStr">
        <is>
          <t>Other housing options (specify):</t>
        </is>
      </c>
      <c r="C100" t="inlineStr">
        <is>
          <t>Apartments for student families</t>
        </is>
      </c>
      <c r="D100" t="inlineStr">
        <is>
          <t>Student Life</t>
        </is>
      </c>
      <c r="E100" t="inlineStr">
        <is>
          <t>Housing</t>
        </is>
      </c>
      <c r="F100" t="inlineStr">
        <is>
          <t>All</t>
        </is>
      </c>
      <c r="G100" t="inlineStr">
        <is>
          <t>All</t>
        </is>
      </c>
      <c r="H100" t="inlineStr">
        <is>
          <t>All</t>
        </is>
      </c>
      <c r="I100" t="inlineStr">
        <is>
          <t>All</t>
        </is>
      </c>
      <c r="J100" t="inlineStr">
        <is>
          <t>All</t>
        </is>
      </c>
      <c r="K100" t="inlineStr">
        <is>
          <t>All</t>
        </is>
      </c>
      <c r="L100" t="inlineStr">
        <is>
          <t>Text</t>
        </is>
      </c>
    </row>
    <row r="101" ht="18" customHeight="1" s="44">
      <c r="B101" s="2" t="n"/>
    </row>
  </sheetData>
  <autoFilter ref="A1:L10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105"/>
  <sheetViews>
    <sheetView tabSelected="1" workbookViewId="0">
      <pane ySplit="1" topLeftCell="A22" activePane="bottomLeft" state="frozen"/>
      <selection pane="bottomLeft" activeCell="A22" sqref="A22"/>
    </sheetView>
  </sheetViews>
  <sheetFormatPr baseColWidth="8" defaultRowHeight="15"/>
  <cols>
    <col width="7.7109375" customWidth="1" style="44" min="1" max="1"/>
    <col width="40.7109375" customWidth="1" style="44" min="2" max="2"/>
    <col width="24.4257812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ht="23.25" customHeight="1" s="44">
      <c r="A7" s="9" t="inlineStr">
        <is>
          <t>G001</t>
        </is>
      </c>
      <c r="B7" s="10" t="inlineStr">
        <is>
          <t>Please provide the URL of your institution’s net price calculator:</t>
        </is>
      </c>
      <c r="C7" s="43" t="inlineStr">
        <is>
          <t>https://app.meadowfi.com/wisconsin</t>
        </is>
      </c>
      <c r="D7" t="inlineStr">
        <is>
          <t>Annual Expenses</t>
        </is>
      </c>
      <c r="E7" t="inlineStr">
        <is>
          <t>Information</t>
        </is>
      </c>
      <c r="F7" t="inlineStr">
        <is>
          <t>All</t>
        </is>
      </c>
      <c r="G7" t="inlineStr">
        <is>
          <t>All</t>
        </is>
      </c>
      <c r="H7" t="inlineStr">
        <is>
          <t>All</t>
        </is>
      </c>
      <c r="I7" t="inlineStr">
        <is>
          <t>All</t>
        </is>
      </c>
      <c r="J7" t="inlineStr">
        <is>
          <t>All</t>
        </is>
      </c>
      <c r="K7" t="inlineStr">
        <is>
          <t>All</t>
        </is>
      </c>
      <c r="L7" t="inlineStr">
        <is>
          <t>URL</t>
        </is>
      </c>
    </row>
    <row r="8">
      <c r="A8" s="9" t="n"/>
      <c r="B8" s="10" t="n"/>
    </row>
    <row r="9" ht="38.25" customHeight="1" s="44">
      <c r="A9" s="9" t="inlineStr">
        <is>
          <t>G002</t>
        </is>
      </c>
      <c r="B9" s="10" t="inlineStr">
        <is>
          <t>If your institution's 2025-2026 academic year costs of attendance are not available at this time please respond.</t>
        </is>
      </c>
      <c r="C9" t="inlineStr">
        <is>
          <t>x</t>
        </is>
      </c>
      <c r="D9" t="inlineStr">
        <is>
          <t>Annual Expenses</t>
        </is>
      </c>
      <c r="E9" t="inlineStr">
        <is>
          <t>Information</t>
        </is>
      </c>
      <c r="F9" t="inlineStr">
        <is>
          <t>All</t>
        </is>
      </c>
      <c r="G9" t="inlineStr">
        <is>
          <t>All</t>
        </is>
      </c>
      <c r="H9" t="inlineStr">
        <is>
          <t>All</t>
        </is>
      </c>
      <c r="I9" t="inlineStr">
        <is>
          <t>All</t>
        </is>
      </c>
      <c r="J9" t="inlineStr">
        <is>
          <t>All</t>
        </is>
      </c>
      <c r="K9" t="inlineStr">
        <is>
          <t>All</t>
        </is>
      </c>
      <c r="L9" t="inlineStr">
        <is>
          <t>x</t>
        </is>
      </c>
    </row>
    <row r="10">
      <c r="A10" s="9" t="n"/>
      <c r="B10" s="10" t="n"/>
    </row>
    <row r="11" ht="51" customHeight="1" s="44">
      <c r="A11" s="9" t="inlineStr">
        <is>
          <t>G003</t>
        </is>
      </c>
      <c r="B11" s="10" t="inlineStr">
        <is>
          <t>Please provide an approximate date (i.e., month/day) when your institution's final 2025-2026 academic year costs of attendance will be available:</t>
        </is>
      </c>
      <c r="C11" s="46" t="n">
        <v>45870</v>
      </c>
      <c r="D11" t="inlineStr">
        <is>
          <t>Annual Expenses</t>
        </is>
      </c>
      <c r="E11" t="inlineStr">
        <is>
          <t>Information</t>
        </is>
      </c>
      <c r="F11" t="inlineStr">
        <is>
          <t>All</t>
        </is>
      </c>
      <c r="G11" t="inlineStr">
        <is>
          <t>All</t>
        </is>
      </c>
      <c r="H11" t="inlineStr">
        <is>
          <t>All</t>
        </is>
      </c>
      <c r="I11" t="inlineStr">
        <is>
          <t>All</t>
        </is>
      </c>
      <c r="J11" t="inlineStr">
        <is>
          <t>All</t>
        </is>
      </c>
      <c r="K11" t="inlineStr">
        <is>
          <t>All</t>
        </is>
      </c>
      <c r="L11" t="inlineStr">
        <is>
          <t>MM-DD</t>
        </is>
      </c>
    </row>
    <row r="12"/>
    <row r="13"/>
    <row r="14"/>
    <row r="15"/>
    <row r="16"/>
    <row r="17"/>
    <row r="18"/>
    <row r="19"/>
    <row r="20"/>
    <row r="21"/>
    <row r="22"/>
    <row r="23"/>
    <row r="24"/>
    <row r="25" ht="18" customHeight="1" s="44"/>
    <row r="26" ht="18" customHeight="1" s="44">
      <c r="A26" t="inlineStr">
        <is>
          <t>G101</t>
        </is>
      </c>
      <c r="B26" t="inlineStr">
        <is>
          <t>Tuition</t>
        </is>
      </c>
      <c r="C26" s="52" t="n"/>
      <c r="D26" t="inlineStr">
        <is>
          <t>Annual Expenses</t>
        </is>
      </c>
      <c r="E26" t="inlineStr">
        <is>
          <t>Private Tuition</t>
        </is>
      </c>
      <c r="F26" t="inlineStr">
        <is>
          <t>Full-Time</t>
        </is>
      </c>
      <c r="G26" t="inlineStr">
        <is>
          <t>Undergraduate</t>
        </is>
      </c>
      <c r="H26" t="inlineStr">
        <is>
          <t>First-year</t>
        </is>
      </c>
      <c r="I26" t="inlineStr">
        <is>
          <t>All</t>
        </is>
      </c>
      <c r="J26" t="inlineStr">
        <is>
          <t>All</t>
        </is>
      </c>
      <c r="K26" t="inlineStr">
        <is>
          <t>All</t>
        </is>
      </c>
      <c r="L26" t="inlineStr">
        <is>
          <t>Nearest $1</t>
        </is>
      </c>
    </row>
    <row r="27"/>
    <row r="28" ht="18" customHeight="1" s="44"/>
    <row r="29" ht="18" customHeight="1" s="44">
      <c r="A29" t="inlineStr">
        <is>
          <t>G102</t>
        </is>
      </c>
      <c r="B29" t="inlineStr">
        <is>
          <t>Tuition</t>
        </is>
      </c>
      <c r="C29" s="52" t="n"/>
      <c r="D29" t="inlineStr">
        <is>
          <t>Annual Expenses</t>
        </is>
      </c>
      <c r="E29" t="inlineStr">
        <is>
          <t>Private Tuition</t>
        </is>
      </c>
      <c r="F29" t="inlineStr">
        <is>
          <t>Full-Time</t>
        </is>
      </c>
      <c r="G29" t="inlineStr">
        <is>
          <t>Undergraduate</t>
        </is>
      </c>
      <c r="H29" t="inlineStr">
        <is>
          <t>Undergraduates</t>
        </is>
      </c>
      <c r="I29" t="inlineStr">
        <is>
          <t>All</t>
        </is>
      </c>
      <c r="J29" t="inlineStr">
        <is>
          <t>All</t>
        </is>
      </c>
      <c r="K29" t="inlineStr">
        <is>
          <t>All</t>
        </is>
      </c>
      <c r="L29" t="inlineStr">
        <is>
          <t>Nearest $1</t>
        </is>
      </c>
    </row>
    <row r="30">
      <c r="B30" s="2" t="n"/>
    </row>
    <row r="31" ht="18" customHeight="1" s="44"/>
    <row r="32" ht="18" customHeight="1" s="44">
      <c r="A32" t="inlineStr">
        <is>
          <t>G103</t>
        </is>
      </c>
      <c r="B32" t="inlineStr">
        <is>
          <t>Tuition: In-district</t>
        </is>
      </c>
      <c r="C32" s="52" t="n">
        <v>10506.48</v>
      </c>
      <c r="D32" t="inlineStr">
        <is>
          <t>Annual Expenses</t>
        </is>
      </c>
      <c r="E32" t="inlineStr">
        <is>
          <t>Public Tuition</t>
        </is>
      </c>
      <c r="F32" t="inlineStr">
        <is>
          <t>Full-Time</t>
        </is>
      </c>
      <c r="G32" t="inlineStr">
        <is>
          <t>Undergraduate</t>
        </is>
      </c>
      <c r="H32" t="inlineStr">
        <is>
          <t>First-year</t>
        </is>
      </c>
      <c r="I32" t="inlineStr">
        <is>
          <t>All</t>
        </is>
      </c>
      <c r="J32" t="inlineStr">
        <is>
          <t>All</t>
        </is>
      </c>
      <c r="K32" t="inlineStr">
        <is>
          <t>All</t>
        </is>
      </c>
      <c r="L32" t="inlineStr">
        <is>
          <t>Nearest $1</t>
        </is>
      </c>
    </row>
    <row r="33" ht="18" customHeight="1" s="44">
      <c r="A33" t="inlineStr">
        <is>
          <t>G104</t>
        </is>
      </c>
      <c r="B33" t="inlineStr">
        <is>
          <t>Tuition: In-state (out-of-district):</t>
        </is>
      </c>
      <c r="C33" s="52" t="n">
        <v>10506.48</v>
      </c>
      <c r="D33" t="inlineStr">
        <is>
          <t>Annual Expenses</t>
        </is>
      </c>
      <c r="E33" t="inlineStr">
        <is>
          <t>Public Tuition</t>
        </is>
      </c>
      <c r="F33" t="inlineStr">
        <is>
          <t>Full-Time</t>
        </is>
      </c>
      <c r="G33" t="inlineStr">
        <is>
          <t>Undergraduate</t>
        </is>
      </c>
      <c r="H33" t="inlineStr">
        <is>
          <t>First-year</t>
        </is>
      </c>
      <c r="I33" t="inlineStr">
        <is>
          <t>All</t>
        </is>
      </c>
      <c r="J33" t="inlineStr">
        <is>
          <t>All</t>
        </is>
      </c>
      <c r="K33" t="inlineStr">
        <is>
          <t>All</t>
        </is>
      </c>
      <c r="L33" t="inlineStr">
        <is>
          <t>Nearest $1</t>
        </is>
      </c>
    </row>
    <row r="34" ht="18" customHeight="1" s="44">
      <c r="A34" t="inlineStr">
        <is>
          <t>G105</t>
        </is>
      </c>
      <c r="B34" s="2" t="inlineStr">
        <is>
          <t>Tuition: Out-of-state:</t>
        </is>
      </c>
      <c r="C34" s="52" t="n">
        <v>42530.88</v>
      </c>
      <c r="D34" t="inlineStr">
        <is>
          <t>Annual Expenses</t>
        </is>
      </c>
      <c r="E34" t="inlineStr">
        <is>
          <t>Public Tuition</t>
        </is>
      </c>
      <c r="F34" t="inlineStr">
        <is>
          <t>Full-Time</t>
        </is>
      </c>
      <c r="G34" t="inlineStr">
        <is>
          <t>Undergraduate</t>
        </is>
      </c>
      <c r="H34" t="inlineStr">
        <is>
          <t>First-year</t>
        </is>
      </c>
      <c r="I34" t="inlineStr">
        <is>
          <t>All</t>
        </is>
      </c>
      <c r="J34" t="inlineStr">
        <is>
          <t>All</t>
        </is>
      </c>
      <c r="K34" t="inlineStr">
        <is>
          <t>All</t>
        </is>
      </c>
      <c r="L34" t="inlineStr">
        <is>
          <t>Nearest $1</t>
        </is>
      </c>
    </row>
    <row r="35" ht="18" customHeight="1" s="44">
      <c r="A35" t="inlineStr">
        <is>
          <t>G106</t>
        </is>
      </c>
      <c r="B35" s="2" t="inlineStr">
        <is>
          <t>Tuition: Non-resident</t>
        </is>
      </c>
      <c r="C35" s="52" t="n">
        <v>43530.96</v>
      </c>
      <c r="D35" t="inlineStr">
        <is>
          <t>Annual Expenses</t>
        </is>
      </c>
      <c r="E35" t="inlineStr">
        <is>
          <t>Public Tuition</t>
        </is>
      </c>
      <c r="F35" t="inlineStr">
        <is>
          <t>Full-Time</t>
        </is>
      </c>
      <c r="G35" t="inlineStr">
        <is>
          <t>Undergraduate</t>
        </is>
      </c>
      <c r="H35" t="inlineStr">
        <is>
          <t>First-year</t>
        </is>
      </c>
      <c r="I35" t="inlineStr">
        <is>
          <t>All</t>
        </is>
      </c>
      <c r="J35" t="inlineStr">
        <is>
          <t>All</t>
        </is>
      </c>
      <c r="K35" t="inlineStr">
        <is>
          <t>All</t>
        </is>
      </c>
      <c r="L35" t="inlineStr">
        <is>
          <t>Nearest $1</t>
        </is>
      </c>
    </row>
    <row r="36" ht="15.6" customHeight="1" s="44">
      <c r="B36" s="2" t="n"/>
    </row>
    <row r="37" ht="18" customHeight="1" s="44"/>
    <row r="38" ht="18" customHeight="1" s="44">
      <c r="A38" t="inlineStr">
        <is>
          <t>G107</t>
        </is>
      </c>
      <c r="B38" t="inlineStr">
        <is>
          <t>Tuition: In-district</t>
        </is>
      </c>
      <c r="C38" s="52" t="n">
        <v>10506.48</v>
      </c>
      <c r="D38" t="inlineStr">
        <is>
          <t>Annual Expenses</t>
        </is>
      </c>
      <c r="E38" t="inlineStr">
        <is>
          <t>Public Tuition</t>
        </is>
      </c>
      <c r="F38" t="inlineStr">
        <is>
          <t>Full-Time</t>
        </is>
      </c>
      <c r="G38" t="inlineStr">
        <is>
          <t>Undergraduate</t>
        </is>
      </c>
      <c r="H38" t="inlineStr">
        <is>
          <t>Undergraduates</t>
        </is>
      </c>
      <c r="I38" t="inlineStr">
        <is>
          <t>All</t>
        </is>
      </c>
      <c r="J38" t="inlineStr">
        <is>
          <t>All</t>
        </is>
      </c>
      <c r="K38" t="inlineStr">
        <is>
          <t>All</t>
        </is>
      </c>
      <c r="L38" t="inlineStr">
        <is>
          <t>Nearest $1</t>
        </is>
      </c>
    </row>
    <row r="39" ht="18" customHeight="1" s="44">
      <c r="A39" t="inlineStr">
        <is>
          <t>G108</t>
        </is>
      </c>
      <c r="B39" t="inlineStr">
        <is>
          <t>Tuition: In-state (out-of-district):</t>
        </is>
      </c>
      <c r="C39" s="52" t="n">
        <v>10506.48</v>
      </c>
      <c r="D39" t="inlineStr">
        <is>
          <t>Annual Expenses</t>
        </is>
      </c>
      <c r="E39" t="inlineStr">
        <is>
          <t>Public Tuition</t>
        </is>
      </c>
      <c r="F39" t="inlineStr">
        <is>
          <t>Full-Time</t>
        </is>
      </c>
      <c r="G39" t="inlineStr">
        <is>
          <t>Undergraduate</t>
        </is>
      </c>
      <c r="H39" t="inlineStr">
        <is>
          <t>Undergraduates</t>
        </is>
      </c>
      <c r="I39" t="inlineStr">
        <is>
          <t>All</t>
        </is>
      </c>
      <c r="J39" t="inlineStr">
        <is>
          <t>All</t>
        </is>
      </c>
      <c r="K39" t="inlineStr">
        <is>
          <t>All</t>
        </is>
      </c>
      <c r="L39" t="inlineStr">
        <is>
          <t>Nearest $1</t>
        </is>
      </c>
    </row>
    <row r="40" ht="18" customHeight="1" s="44">
      <c r="A40" t="inlineStr">
        <is>
          <t>G109</t>
        </is>
      </c>
      <c r="B40" s="2" t="inlineStr">
        <is>
          <t>Tuition: Out-of-state:</t>
        </is>
      </c>
      <c r="C40" s="52" t="n">
        <v>42530.88</v>
      </c>
      <c r="D40" t="inlineStr">
        <is>
          <t>Annual Expenses</t>
        </is>
      </c>
      <c r="E40" t="inlineStr">
        <is>
          <t>Public Tuition</t>
        </is>
      </c>
      <c r="F40" t="inlineStr">
        <is>
          <t>Full-Time</t>
        </is>
      </c>
      <c r="G40" t="inlineStr">
        <is>
          <t>Undergraduate</t>
        </is>
      </c>
      <c r="H40" t="inlineStr">
        <is>
          <t>Undergraduates</t>
        </is>
      </c>
      <c r="I40" t="inlineStr">
        <is>
          <t>All</t>
        </is>
      </c>
      <c r="J40" t="inlineStr">
        <is>
          <t>All</t>
        </is>
      </c>
      <c r="K40" t="inlineStr">
        <is>
          <t>All</t>
        </is>
      </c>
      <c r="L40" t="inlineStr">
        <is>
          <t>Nearest $1</t>
        </is>
      </c>
    </row>
    <row r="41" ht="18" customHeight="1" s="44">
      <c r="A41" t="inlineStr">
        <is>
          <t>G110</t>
        </is>
      </c>
      <c r="B41" s="2" t="inlineStr">
        <is>
          <t>Tuition: Non-resident</t>
        </is>
      </c>
      <c r="C41" s="52" t="n">
        <v>43530.96</v>
      </c>
      <c r="D41" t="inlineStr">
        <is>
          <t>Annual Expenses</t>
        </is>
      </c>
      <c r="E41" t="inlineStr">
        <is>
          <t>Public Tuition</t>
        </is>
      </c>
      <c r="F41" t="inlineStr">
        <is>
          <t>Full-Time</t>
        </is>
      </c>
      <c r="G41" t="inlineStr">
        <is>
          <t>Undergraduate</t>
        </is>
      </c>
      <c r="H41" t="inlineStr">
        <is>
          <t>Undergraduates</t>
        </is>
      </c>
      <c r="I41" t="inlineStr">
        <is>
          <t>All</t>
        </is>
      </c>
      <c r="J41" t="inlineStr">
        <is>
          <t>All</t>
        </is>
      </c>
      <c r="K41" t="inlineStr">
        <is>
          <t>All</t>
        </is>
      </c>
      <c r="L41" t="inlineStr">
        <is>
          <t>Nearest $1</t>
        </is>
      </c>
    </row>
    <row r="42">
      <c r="B42" s="2" t="n"/>
    </row>
    <row r="43" ht="18" customHeight="1" s="44"/>
    <row r="44" ht="18" customHeight="1" s="44">
      <c r="A44" t="inlineStr">
        <is>
          <t>G111</t>
        </is>
      </c>
      <c r="B44" t="inlineStr">
        <is>
          <t>Required Fees:</t>
        </is>
      </c>
      <c r="C44" s="52" t="n">
        <v>1659.98</v>
      </c>
      <c r="D44" t="inlineStr">
        <is>
          <t>Annual Expenses</t>
        </is>
      </c>
      <c r="E44" t="inlineStr">
        <is>
          <t>All Institutions Expenses</t>
        </is>
      </c>
      <c r="F44" t="inlineStr">
        <is>
          <t>Full-Time</t>
        </is>
      </c>
      <c r="G44" t="inlineStr">
        <is>
          <t>Undergraduate</t>
        </is>
      </c>
      <c r="H44" t="inlineStr">
        <is>
          <t>First-year</t>
        </is>
      </c>
      <c r="I44" t="inlineStr">
        <is>
          <t>All</t>
        </is>
      </c>
      <c r="J44" t="inlineStr">
        <is>
          <t>All</t>
        </is>
      </c>
      <c r="K44" t="inlineStr">
        <is>
          <t>All</t>
        </is>
      </c>
      <c r="L44" t="inlineStr">
        <is>
          <t>Nearest $1</t>
        </is>
      </c>
    </row>
    <row r="45" ht="18" customHeight="1" s="44">
      <c r="A45" t="inlineStr">
        <is>
          <t>G112</t>
        </is>
      </c>
      <c r="B45" t="inlineStr">
        <is>
          <t>Food and housing (on-campus):</t>
        </is>
      </c>
      <c r="C45" s="52" t="n">
        <v>14520</v>
      </c>
      <c r="D45" t="inlineStr">
        <is>
          <t>Annual Expenses</t>
        </is>
      </c>
      <c r="E45" t="inlineStr">
        <is>
          <t>All Institutions Expenses</t>
        </is>
      </c>
      <c r="F45" t="inlineStr">
        <is>
          <t>Full-Time</t>
        </is>
      </c>
      <c r="G45" t="inlineStr">
        <is>
          <t>Undergraduate</t>
        </is>
      </c>
      <c r="H45" t="inlineStr">
        <is>
          <t>First-year</t>
        </is>
      </c>
      <c r="I45" t="inlineStr">
        <is>
          <t>All</t>
        </is>
      </c>
      <c r="J45" t="inlineStr">
        <is>
          <t>All</t>
        </is>
      </c>
      <c r="K45" t="inlineStr">
        <is>
          <t>All</t>
        </is>
      </c>
      <c r="L45" t="inlineStr">
        <is>
          <t>Nearest $1</t>
        </is>
      </c>
    </row>
    <row r="46" ht="18" customHeight="1" s="44">
      <c r="A46" t="inlineStr">
        <is>
          <t>G113</t>
        </is>
      </c>
      <c r="B46" s="2" t="inlineStr">
        <is>
          <t>Housing Only (on-campus):</t>
        </is>
      </c>
      <c r="C46" s="52" t="n"/>
      <c r="D46" t="inlineStr">
        <is>
          <t>Annual Expenses</t>
        </is>
      </c>
      <c r="E46" t="inlineStr">
        <is>
          <t>All Institutions Expenses</t>
        </is>
      </c>
      <c r="F46" t="inlineStr">
        <is>
          <t>Full-Time</t>
        </is>
      </c>
      <c r="G46" t="inlineStr">
        <is>
          <t>Undergraduate</t>
        </is>
      </c>
      <c r="H46" t="inlineStr">
        <is>
          <t>First-year</t>
        </is>
      </c>
      <c r="I46" t="inlineStr">
        <is>
          <t>All</t>
        </is>
      </c>
      <c r="J46" t="inlineStr">
        <is>
          <t>All</t>
        </is>
      </c>
      <c r="K46" t="inlineStr">
        <is>
          <t>All</t>
        </is>
      </c>
      <c r="L46" t="inlineStr">
        <is>
          <t>Nearest $1</t>
        </is>
      </c>
    </row>
    <row r="47" ht="18" customHeight="1" s="44">
      <c r="A47" t="inlineStr">
        <is>
          <t>G114</t>
        </is>
      </c>
      <c r="B47" s="2" t="inlineStr">
        <is>
          <t>Food Only (on-campus meal plan):</t>
        </is>
      </c>
      <c r="C47" s="52" t="n"/>
      <c r="D47" t="inlineStr">
        <is>
          <t>Annual Expenses</t>
        </is>
      </c>
      <c r="E47" t="inlineStr">
        <is>
          <t>All Institutions Expenses</t>
        </is>
      </c>
      <c r="F47" t="inlineStr">
        <is>
          <t>Full-Time</t>
        </is>
      </c>
      <c r="G47" t="inlineStr">
        <is>
          <t>Undergraduate</t>
        </is>
      </c>
      <c r="H47" t="inlineStr">
        <is>
          <t>First-year</t>
        </is>
      </c>
      <c r="I47" t="inlineStr">
        <is>
          <t>All</t>
        </is>
      </c>
      <c r="J47" t="inlineStr">
        <is>
          <t>All</t>
        </is>
      </c>
      <c r="K47" t="inlineStr">
        <is>
          <t>All</t>
        </is>
      </c>
      <c r="L47" t="inlineStr">
        <is>
          <t>Nearest $1</t>
        </is>
      </c>
    </row>
    <row r="48">
      <c r="B48" s="2" t="n"/>
    </row>
    <row r="49" ht="18" customHeight="1" s="44"/>
    <row r="50" ht="18" customHeight="1" s="44">
      <c r="A50" t="inlineStr">
        <is>
          <t>G115</t>
        </is>
      </c>
      <c r="B50" t="inlineStr">
        <is>
          <t>Required Fees:</t>
        </is>
      </c>
      <c r="C50" s="52" t="n">
        <v>1660</v>
      </c>
      <c r="D50" t="inlineStr">
        <is>
          <t>Annual Expenses</t>
        </is>
      </c>
      <c r="E50" t="inlineStr">
        <is>
          <t>All Institutions Expenses</t>
        </is>
      </c>
      <c r="F50" t="inlineStr">
        <is>
          <t>Full-Time</t>
        </is>
      </c>
      <c r="G50" t="inlineStr">
        <is>
          <t>Undergraduate</t>
        </is>
      </c>
      <c r="H50" t="inlineStr">
        <is>
          <t>Undergraduates</t>
        </is>
      </c>
      <c r="I50" t="inlineStr">
        <is>
          <t>All</t>
        </is>
      </c>
      <c r="J50" t="inlineStr">
        <is>
          <t>All</t>
        </is>
      </c>
      <c r="K50" t="inlineStr">
        <is>
          <t>All</t>
        </is>
      </c>
      <c r="L50" t="inlineStr">
        <is>
          <t>Nearest $1</t>
        </is>
      </c>
    </row>
    <row r="51" ht="18" customHeight="1" s="44">
      <c r="A51" t="inlineStr">
        <is>
          <t>G116</t>
        </is>
      </c>
      <c r="B51" t="inlineStr">
        <is>
          <t>Food and housing (on-campus):</t>
        </is>
      </c>
      <c r="C51" s="52" t="n">
        <v>14520</v>
      </c>
      <c r="D51" t="inlineStr">
        <is>
          <t>Annual Expenses</t>
        </is>
      </c>
      <c r="E51" t="inlineStr">
        <is>
          <t>All Institutions Expenses</t>
        </is>
      </c>
      <c r="F51" t="inlineStr">
        <is>
          <t>Full-Time</t>
        </is>
      </c>
      <c r="G51" t="inlineStr">
        <is>
          <t>Undergraduate</t>
        </is>
      </c>
      <c r="H51" t="inlineStr">
        <is>
          <t>Undergraduates</t>
        </is>
      </c>
      <c r="I51" t="inlineStr">
        <is>
          <t>All</t>
        </is>
      </c>
      <c r="J51" t="inlineStr">
        <is>
          <t>All</t>
        </is>
      </c>
      <c r="K51" t="inlineStr">
        <is>
          <t>All</t>
        </is>
      </c>
      <c r="L51" t="inlineStr">
        <is>
          <t>Nearest $1</t>
        </is>
      </c>
    </row>
    <row r="52" ht="18" customHeight="1" s="44">
      <c r="A52" t="inlineStr">
        <is>
          <t>G117</t>
        </is>
      </c>
      <c r="B52" s="2" t="inlineStr">
        <is>
          <t>Housing Only (on-campus):</t>
        </is>
      </c>
      <c r="C52" s="52" t="n"/>
      <c r="D52" t="inlineStr">
        <is>
          <t>Annual Expenses</t>
        </is>
      </c>
      <c r="E52" t="inlineStr">
        <is>
          <t>All Institutions Expenses</t>
        </is>
      </c>
      <c r="F52" t="inlineStr">
        <is>
          <t>Full-Time</t>
        </is>
      </c>
      <c r="G52" t="inlineStr">
        <is>
          <t>Undergraduate</t>
        </is>
      </c>
      <c r="H52" t="inlineStr">
        <is>
          <t>Undergraduates</t>
        </is>
      </c>
      <c r="I52" t="inlineStr">
        <is>
          <t>All</t>
        </is>
      </c>
      <c r="J52" t="inlineStr">
        <is>
          <t>All</t>
        </is>
      </c>
      <c r="K52" t="inlineStr">
        <is>
          <t>All</t>
        </is>
      </c>
      <c r="L52" t="inlineStr">
        <is>
          <t>Nearest $1</t>
        </is>
      </c>
    </row>
    <row r="53" ht="18" customHeight="1" s="44">
      <c r="A53" t="inlineStr">
        <is>
          <t>G118</t>
        </is>
      </c>
      <c r="B53" s="2" t="inlineStr">
        <is>
          <t>Food Only (on-campus meal plan):</t>
        </is>
      </c>
      <c r="C53" s="52" t="n"/>
      <c r="D53" t="inlineStr">
        <is>
          <t>Annual Expenses</t>
        </is>
      </c>
      <c r="E53" t="inlineStr">
        <is>
          <t>All Institutions Expenses</t>
        </is>
      </c>
      <c r="F53" t="inlineStr">
        <is>
          <t>Full-Time</t>
        </is>
      </c>
      <c r="G53" t="inlineStr">
        <is>
          <t>Undergraduate</t>
        </is>
      </c>
      <c r="H53" t="inlineStr">
        <is>
          <t>Undergraduates</t>
        </is>
      </c>
      <c r="I53" t="inlineStr">
        <is>
          <t>All</t>
        </is>
      </c>
      <c r="J53" t="inlineStr">
        <is>
          <t>All</t>
        </is>
      </c>
      <c r="K53" t="inlineStr">
        <is>
          <t>All</t>
        </is>
      </c>
      <c r="L53" t="inlineStr">
        <is>
          <t>Nearest $1</t>
        </is>
      </c>
    </row>
    <row r="54">
      <c r="B54" s="2" t="n"/>
    </row>
    <row r="55">
      <c r="B55" s="2" t="n"/>
    </row>
    <row r="56" ht="47.1" customHeight="1" s="44">
      <c r="A56" t="inlineStr">
        <is>
          <t>G119</t>
        </is>
      </c>
      <c r="B56" s="2" t="inlineStr">
        <is>
          <t>Comprehensive tuition and food and housing fee (if your college cannot provide separate tuition and food and housing fees):</t>
        </is>
      </c>
      <c r="C56" s="52" t="n"/>
      <c r="D56" t="inlineStr">
        <is>
          <t>Annual Expenses</t>
        </is>
      </c>
      <c r="E56" t="inlineStr">
        <is>
          <t>Comprehensive Expenses</t>
        </is>
      </c>
      <c r="F56" t="inlineStr">
        <is>
          <t>Full-Time</t>
        </is>
      </c>
      <c r="G56" t="inlineStr">
        <is>
          <t>Undergraduate</t>
        </is>
      </c>
      <c r="H56" t="inlineStr">
        <is>
          <t>All</t>
        </is>
      </c>
      <c r="I56" t="inlineStr">
        <is>
          <t>All</t>
        </is>
      </c>
      <c r="J56" t="inlineStr">
        <is>
          <t>All</t>
        </is>
      </c>
      <c r="K56" t="inlineStr">
        <is>
          <t>All</t>
        </is>
      </c>
      <c r="L56" t="inlineStr">
        <is>
          <t>Nearest $1</t>
        </is>
      </c>
    </row>
    <row r="57">
      <c r="B57" s="2" t="n"/>
    </row>
    <row r="58">
      <c r="B58" s="2" t="n"/>
    </row>
    <row r="59" ht="18" customHeight="1" s="44">
      <c r="A59" t="inlineStr">
        <is>
          <t>G120</t>
        </is>
      </c>
      <c r="B59" s="2" t="inlineStr">
        <is>
          <t>Other:</t>
        </is>
      </c>
      <c r="C59" s="52" t="n"/>
      <c r="D59" t="inlineStr">
        <is>
          <t>Annual Expenses</t>
        </is>
      </c>
      <c r="E59" t="inlineStr">
        <is>
          <t>Comprehensive Expenses</t>
        </is>
      </c>
      <c r="F59" t="inlineStr">
        <is>
          <t>Full-Time</t>
        </is>
      </c>
      <c r="G59" t="inlineStr">
        <is>
          <t>Undergraduate</t>
        </is>
      </c>
      <c r="H59" t="inlineStr">
        <is>
          <t>All</t>
        </is>
      </c>
      <c r="I59" t="inlineStr">
        <is>
          <t>All</t>
        </is>
      </c>
      <c r="J59" t="inlineStr">
        <is>
          <t>All</t>
        </is>
      </c>
      <c r="K59" t="inlineStr">
        <is>
          <t>All</t>
        </is>
      </c>
      <c r="L59" t="inlineStr">
        <is>
          <t>Nearest $1</t>
        </is>
      </c>
    </row>
    <row r="60">
      <c r="B60" s="2" t="n"/>
    </row>
    <row r="61" ht="32.1" customHeight="1" s="44">
      <c r="B61" s="2" t="n"/>
    </row>
    <row r="62" ht="18" customHeight="1" s="44">
      <c r="A62" t="inlineStr">
        <is>
          <t>G201</t>
        </is>
      </c>
      <c r="B62" s="2" t="inlineStr">
        <is>
          <t>Minimum</t>
        </is>
      </c>
      <c r="C62" t="n">
        <v>12</v>
      </c>
      <c r="D62" t="inlineStr">
        <is>
          <t>Annual Expenses</t>
        </is>
      </c>
      <c r="E62" t="inlineStr">
        <is>
          <t>Credits per Term</t>
        </is>
      </c>
      <c r="F62" t="inlineStr">
        <is>
          <t>Full-Time</t>
        </is>
      </c>
      <c r="G62" t="inlineStr">
        <is>
          <t>Undergraduate</t>
        </is>
      </c>
      <c r="H62" t="inlineStr">
        <is>
          <t>All</t>
        </is>
      </c>
      <c r="I62" t="inlineStr">
        <is>
          <t>All</t>
        </is>
      </c>
      <c r="J62" t="inlineStr">
        <is>
          <t>All</t>
        </is>
      </c>
      <c r="K62" t="inlineStr">
        <is>
          <t>All</t>
        </is>
      </c>
      <c r="L62" t="inlineStr">
        <is>
          <t>Number</t>
        </is>
      </c>
    </row>
    <row r="63" ht="18" customHeight="1" s="44">
      <c r="A63" t="inlineStr">
        <is>
          <t>G202</t>
        </is>
      </c>
      <c r="B63" t="inlineStr">
        <is>
          <t>Maximum</t>
        </is>
      </c>
      <c r="C63" t="n">
        <v>18</v>
      </c>
      <c r="D63" t="inlineStr">
        <is>
          <t>Annual Expenses</t>
        </is>
      </c>
      <c r="E63" t="inlineStr">
        <is>
          <t>Credits per Term</t>
        </is>
      </c>
      <c r="F63" t="inlineStr">
        <is>
          <t>Full-Time</t>
        </is>
      </c>
      <c r="G63" t="inlineStr">
        <is>
          <t>Undergraduate</t>
        </is>
      </c>
      <c r="H63" t="inlineStr">
        <is>
          <t>All</t>
        </is>
      </c>
      <c r="I63" t="inlineStr">
        <is>
          <t>All</t>
        </is>
      </c>
      <c r="J63" t="inlineStr">
        <is>
          <t>All</t>
        </is>
      </c>
      <c r="K63" t="inlineStr">
        <is>
          <t>All</t>
        </is>
      </c>
      <c r="L63" t="inlineStr">
        <is>
          <t>Number</t>
        </is>
      </c>
    </row>
    <row r="64"/>
    <row r="65" ht="18" customHeight="1" s="44"/>
    <row r="66" ht="30" customHeight="1" s="44">
      <c r="A66" t="inlineStr">
        <is>
          <t>G301</t>
        </is>
      </c>
      <c r="B66" s="2" t="inlineStr">
        <is>
          <t>Do tuition and fees vary by year of study (e.g., sophomore, junior, senior)?</t>
        </is>
      </c>
      <c r="C66" t="inlineStr">
        <is>
          <t>N</t>
        </is>
      </c>
      <c r="D66" t="inlineStr">
        <is>
          <t>Annual Expenses</t>
        </is>
      </c>
      <c r="E66" t="inlineStr">
        <is>
          <t>Tuition Policies</t>
        </is>
      </c>
      <c r="F66" t="inlineStr">
        <is>
          <t>All</t>
        </is>
      </c>
      <c r="G66" t="inlineStr">
        <is>
          <t>All</t>
        </is>
      </c>
      <c r="H66" t="inlineStr">
        <is>
          <t>All</t>
        </is>
      </c>
      <c r="I66" t="inlineStr">
        <is>
          <t>All</t>
        </is>
      </c>
      <c r="J66" t="inlineStr">
        <is>
          <t>All</t>
        </is>
      </c>
      <c r="K66" t="inlineStr">
        <is>
          <t>All</t>
        </is>
      </c>
      <c r="L66" t="inlineStr">
        <is>
          <t>YN</t>
        </is>
      </c>
    </row>
    <row r="67">
      <c r="B67" s="2" t="n"/>
    </row>
    <row r="68">
      <c r="B68" s="2" t="n"/>
    </row>
    <row r="69" ht="30" customHeight="1" s="44">
      <c r="A69" t="inlineStr">
        <is>
          <t>G401</t>
        </is>
      </c>
      <c r="B69" s="2" t="inlineStr">
        <is>
          <t xml:space="preserve">Do tuition and fees vary by undergraduate instructional program?   </t>
        </is>
      </c>
      <c r="C69" t="inlineStr">
        <is>
          <t>Y</t>
        </is>
      </c>
      <c r="D69" t="inlineStr">
        <is>
          <t>Annual Expenses</t>
        </is>
      </c>
      <c r="E69" t="inlineStr">
        <is>
          <t>Tuition Policies</t>
        </is>
      </c>
      <c r="F69" t="inlineStr">
        <is>
          <t>All</t>
        </is>
      </c>
      <c r="G69" t="inlineStr">
        <is>
          <t>All</t>
        </is>
      </c>
      <c r="H69" t="inlineStr">
        <is>
          <t>All</t>
        </is>
      </c>
      <c r="I69" t="inlineStr">
        <is>
          <t>All</t>
        </is>
      </c>
      <c r="J69" t="inlineStr">
        <is>
          <t>All</t>
        </is>
      </c>
      <c r="K69" t="inlineStr">
        <is>
          <t>All</t>
        </is>
      </c>
      <c r="L69" t="inlineStr">
        <is>
          <t>YN</t>
        </is>
      </c>
    </row>
    <row r="70">
      <c r="B70" s="2" t="n"/>
    </row>
    <row r="71" ht="45" customHeight="1" s="44">
      <c r="A71" t="inlineStr">
        <is>
          <t>G402</t>
        </is>
      </c>
      <c r="B71" s="7" t="inlineStr">
        <is>
          <t>If yes, what percentage of full-time undergraduates pay more than the tuition and fees reported in G1?</t>
        </is>
      </c>
      <c r="C71" s="49" t="n">
        <v>0.26</v>
      </c>
      <c r="D71" t="inlineStr">
        <is>
          <t>Annual Expenses</t>
        </is>
      </c>
      <c r="E71" t="inlineStr">
        <is>
          <t>Tuition Policies</t>
        </is>
      </c>
      <c r="F71" t="inlineStr">
        <is>
          <t>All</t>
        </is>
      </c>
      <c r="G71" t="inlineStr">
        <is>
          <t>All</t>
        </is>
      </c>
      <c r="H71" t="inlineStr">
        <is>
          <t>All</t>
        </is>
      </c>
      <c r="I71" t="inlineStr">
        <is>
          <t>All</t>
        </is>
      </c>
      <c r="J71" t="inlineStr">
        <is>
          <t>All</t>
        </is>
      </c>
      <c r="K71" t="inlineStr">
        <is>
          <t>All</t>
        </is>
      </c>
      <c r="L71" t="inlineStr">
        <is>
          <t>Nearest 1%</t>
        </is>
      </c>
    </row>
    <row r="72">
      <c r="B72" s="2" t="n"/>
    </row>
    <row r="73">
      <c r="B73" s="2" t="n"/>
    </row>
    <row r="74"/>
    <row r="75"/>
    <row r="76"/>
    <row r="77" ht="18" customHeight="1" s="44"/>
    <row r="78" ht="18" customHeight="1" s="44">
      <c r="A78" t="inlineStr">
        <is>
          <t>G501</t>
        </is>
      </c>
      <c r="B78" t="inlineStr">
        <is>
          <t>Books and supplies:</t>
        </is>
      </c>
      <c r="C78" s="52" t="n">
        <v>700</v>
      </c>
      <c r="D78" t="inlineStr">
        <is>
          <t>Annual Expenses</t>
        </is>
      </c>
      <c r="E78" t="inlineStr">
        <is>
          <t>Estimated Expenses</t>
        </is>
      </c>
      <c r="F78" t="inlineStr">
        <is>
          <t>Full-Time</t>
        </is>
      </c>
      <c r="G78" t="inlineStr">
        <is>
          <t>Undergraduate</t>
        </is>
      </c>
      <c r="H78" t="inlineStr">
        <is>
          <t>Residents</t>
        </is>
      </c>
      <c r="I78" t="inlineStr">
        <is>
          <t>All</t>
        </is>
      </c>
      <c r="J78" t="inlineStr">
        <is>
          <t>All</t>
        </is>
      </c>
      <c r="K78" t="inlineStr">
        <is>
          <t>All</t>
        </is>
      </c>
      <c r="L78" t="inlineStr">
        <is>
          <t>Nearest $1</t>
        </is>
      </c>
    </row>
    <row r="79" ht="18" customHeight="1" s="44">
      <c r="A79" t="inlineStr">
        <is>
          <t>G502</t>
        </is>
      </c>
      <c r="B79" t="inlineStr">
        <is>
          <t>Transportation:</t>
        </is>
      </c>
      <c r="C79" s="52" t="n">
        <v>600</v>
      </c>
      <c r="D79" t="inlineStr">
        <is>
          <t>Annual Expenses</t>
        </is>
      </c>
      <c r="E79" t="inlineStr">
        <is>
          <t>Estimated Expenses</t>
        </is>
      </c>
      <c r="F79" t="inlineStr">
        <is>
          <t>Full-Time</t>
        </is>
      </c>
      <c r="G79" t="inlineStr">
        <is>
          <t>Undergraduate</t>
        </is>
      </c>
      <c r="H79" t="inlineStr">
        <is>
          <t>Residents</t>
        </is>
      </c>
      <c r="I79" t="inlineStr">
        <is>
          <t>All</t>
        </is>
      </c>
      <c r="J79" t="inlineStr">
        <is>
          <t>All</t>
        </is>
      </c>
      <c r="K79" t="inlineStr">
        <is>
          <t>All</t>
        </is>
      </c>
      <c r="L79" t="inlineStr">
        <is>
          <t>Nearest $1</t>
        </is>
      </c>
    </row>
    <row r="80" ht="18" customHeight="1" s="44">
      <c r="A80" t="inlineStr">
        <is>
          <t>G503</t>
        </is>
      </c>
      <c r="B80" s="2" t="inlineStr">
        <is>
          <t>Other expenses:</t>
        </is>
      </c>
      <c r="C80" s="52" t="n">
        <v>2638</v>
      </c>
      <c r="D80" t="inlineStr">
        <is>
          <t>Annual Expenses</t>
        </is>
      </c>
      <c r="E80" t="inlineStr">
        <is>
          <t>Estimated Expenses</t>
        </is>
      </c>
      <c r="F80" t="inlineStr">
        <is>
          <t>Full-Time</t>
        </is>
      </c>
      <c r="G80" t="inlineStr">
        <is>
          <t>Undergraduate</t>
        </is>
      </c>
      <c r="H80" t="inlineStr">
        <is>
          <t>Residents</t>
        </is>
      </c>
      <c r="I80" t="inlineStr">
        <is>
          <t>All</t>
        </is>
      </c>
      <c r="J80" t="inlineStr">
        <is>
          <t>All</t>
        </is>
      </c>
      <c r="K80" t="inlineStr">
        <is>
          <t>All</t>
        </is>
      </c>
      <c r="L80" t="inlineStr">
        <is>
          <t>Nearest $1</t>
        </is>
      </c>
    </row>
    <row r="81">
      <c r="B81" s="2" t="n"/>
    </row>
    <row r="82" ht="18.6" customHeight="1" s="44"/>
    <row r="83" ht="18" customHeight="1" s="44">
      <c r="A83" t="inlineStr">
        <is>
          <t>G504</t>
        </is>
      </c>
      <c r="B83" t="inlineStr">
        <is>
          <t>Books and supplies:</t>
        </is>
      </c>
      <c r="C83" s="52" t="n">
        <v>700</v>
      </c>
      <c r="D83" t="inlineStr">
        <is>
          <t>Annual Expenses</t>
        </is>
      </c>
      <c r="E83" t="inlineStr">
        <is>
          <t>Estimated Expenses</t>
        </is>
      </c>
      <c r="F83" t="inlineStr">
        <is>
          <t>Full-Time</t>
        </is>
      </c>
      <c r="G83" t="inlineStr">
        <is>
          <t>Undergraduate</t>
        </is>
      </c>
      <c r="H83" t="inlineStr">
        <is>
          <t>Commuters (living at home)</t>
        </is>
      </c>
      <c r="I83" t="inlineStr">
        <is>
          <t>All</t>
        </is>
      </c>
      <c r="J83" t="inlineStr">
        <is>
          <t>All</t>
        </is>
      </c>
      <c r="K83" t="inlineStr">
        <is>
          <t>All</t>
        </is>
      </c>
      <c r="L83" t="inlineStr">
        <is>
          <t>Nearest $1</t>
        </is>
      </c>
    </row>
    <row r="84" ht="18" customHeight="1" s="44">
      <c r="A84" t="inlineStr">
        <is>
          <t>G505</t>
        </is>
      </c>
      <c r="B84" t="inlineStr">
        <is>
          <t>Food only:</t>
        </is>
      </c>
      <c r="C84" s="52" t="n">
        <v>4418</v>
      </c>
      <c r="D84" t="inlineStr">
        <is>
          <t>Annual Expenses</t>
        </is>
      </c>
      <c r="E84" t="inlineStr">
        <is>
          <t>Estimated Expenses</t>
        </is>
      </c>
      <c r="F84" t="inlineStr">
        <is>
          <t>Full-Time</t>
        </is>
      </c>
      <c r="G84" t="inlineStr">
        <is>
          <t>Undergraduate</t>
        </is>
      </c>
      <c r="H84" t="inlineStr">
        <is>
          <t>Commuters (living at home)</t>
        </is>
      </c>
      <c r="I84" t="inlineStr">
        <is>
          <t>All</t>
        </is>
      </c>
      <c r="J84" t="inlineStr">
        <is>
          <t>All</t>
        </is>
      </c>
      <c r="K84" t="inlineStr">
        <is>
          <t>All</t>
        </is>
      </c>
      <c r="L84" t="inlineStr">
        <is>
          <t>Nearest $1</t>
        </is>
      </c>
    </row>
    <row r="85" ht="18" customHeight="1" s="44">
      <c r="A85" t="inlineStr">
        <is>
          <t>G506</t>
        </is>
      </c>
      <c r="B85" t="inlineStr">
        <is>
          <t>Transportation</t>
        </is>
      </c>
      <c r="C85" s="52" t="n">
        <v>1300</v>
      </c>
      <c r="D85" t="inlineStr">
        <is>
          <t>Annual Expenses</t>
        </is>
      </c>
      <c r="E85" t="inlineStr">
        <is>
          <t>Estimated Expenses</t>
        </is>
      </c>
      <c r="F85" t="inlineStr">
        <is>
          <t>Full-Time</t>
        </is>
      </c>
      <c r="G85" t="inlineStr">
        <is>
          <t>Undergraduate</t>
        </is>
      </c>
      <c r="H85" t="inlineStr">
        <is>
          <t>Commuters (living at home)</t>
        </is>
      </c>
      <c r="I85" t="inlineStr">
        <is>
          <t>All</t>
        </is>
      </c>
      <c r="J85" t="inlineStr">
        <is>
          <t>All</t>
        </is>
      </c>
      <c r="K85" t="inlineStr">
        <is>
          <t>All</t>
        </is>
      </c>
      <c r="L85" t="inlineStr">
        <is>
          <t>Nearest $1</t>
        </is>
      </c>
    </row>
    <row r="86" ht="18" customHeight="1" s="44">
      <c r="A86" t="inlineStr">
        <is>
          <t>G507</t>
        </is>
      </c>
      <c r="B86" s="2" t="inlineStr">
        <is>
          <t>Other expenses:</t>
        </is>
      </c>
      <c r="C86" s="52" t="n">
        <v>2638</v>
      </c>
      <c r="D86" t="inlineStr">
        <is>
          <t>Annual Expenses</t>
        </is>
      </c>
      <c r="E86" t="inlineStr">
        <is>
          <t>Estimated Expenses</t>
        </is>
      </c>
      <c r="F86" t="inlineStr">
        <is>
          <t>Full-Time</t>
        </is>
      </c>
      <c r="G86" t="inlineStr">
        <is>
          <t>Undergraduate</t>
        </is>
      </c>
      <c r="H86" t="inlineStr">
        <is>
          <t>Commuters (living at home)</t>
        </is>
      </c>
      <c r="I86" t="inlineStr">
        <is>
          <t>All</t>
        </is>
      </c>
      <c r="J86" t="inlineStr">
        <is>
          <t>All</t>
        </is>
      </c>
      <c r="K86" t="inlineStr">
        <is>
          <t>All</t>
        </is>
      </c>
      <c r="L86" t="inlineStr">
        <is>
          <t>Nearest $1</t>
        </is>
      </c>
    </row>
    <row r="87"/>
    <row r="88" ht="18" customHeight="1" s="44"/>
    <row r="89" ht="18" customHeight="1" s="44">
      <c r="A89" t="inlineStr">
        <is>
          <t>G508</t>
        </is>
      </c>
      <c r="B89" t="inlineStr">
        <is>
          <t>Books and supplies:</t>
        </is>
      </c>
      <c r="C89" s="52" t="n">
        <v>700</v>
      </c>
      <c r="D89" t="inlineStr">
        <is>
          <t>Annual Expenses</t>
        </is>
      </c>
      <c r="E89" t="inlineStr">
        <is>
          <t>Estimated Expenses</t>
        </is>
      </c>
      <c r="F89" t="inlineStr">
        <is>
          <t>Full-Time</t>
        </is>
      </c>
      <c r="G89" t="inlineStr">
        <is>
          <t>Undergraduate</t>
        </is>
      </c>
      <c r="H89" t="inlineStr">
        <is>
          <t>Commuters (not living at home)</t>
        </is>
      </c>
      <c r="I89" t="inlineStr">
        <is>
          <t>All</t>
        </is>
      </c>
      <c r="J89" t="inlineStr">
        <is>
          <t>All</t>
        </is>
      </c>
      <c r="K89" t="inlineStr">
        <is>
          <t>All</t>
        </is>
      </c>
      <c r="L89" t="inlineStr">
        <is>
          <t>Nearest $1</t>
        </is>
      </c>
    </row>
    <row r="90" ht="18" customHeight="1" s="44">
      <c r="A90" t="inlineStr">
        <is>
          <t>G509</t>
        </is>
      </c>
      <c r="B90" t="inlineStr">
        <is>
          <t>Housing only:</t>
        </is>
      </c>
      <c r="C90" s="52" t="n"/>
      <c r="D90" t="inlineStr">
        <is>
          <t>Annual Expenses</t>
        </is>
      </c>
      <c r="E90" t="inlineStr">
        <is>
          <t>Estimated Expenses</t>
        </is>
      </c>
      <c r="F90" t="inlineStr">
        <is>
          <t>Full-Time</t>
        </is>
      </c>
      <c r="G90" t="inlineStr">
        <is>
          <t>Undergraduate</t>
        </is>
      </c>
      <c r="H90" t="inlineStr">
        <is>
          <t>Commuters (not living at home)</t>
        </is>
      </c>
      <c r="I90" t="inlineStr">
        <is>
          <t>All</t>
        </is>
      </c>
      <c r="J90" t="inlineStr">
        <is>
          <t>All</t>
        </is>
      </c>
      <c r="K90" t="inlineStr">
        <is>
          <t>All</t>
        </is>
      </c>
      <c r="L90" t="inlineStr">
        <is>
          <t>Nearest $1</t>
        </is>
      </c>
    </row>
    <row r="91" ht="18" customHeight="1" s="44">
      <c r="A91" t="inlineStr">
        <is>
          <t>G510</t>
        </is>
      </c>
      <c r="B91" t="inlineStr">
        <is>
          <t>Food only:</t>
        </is>
      </c>
      <c r="C91" s="52" t="n"/>
      <c r="D91" t="inlineStr">
        <is>
          <t>Annual Expenses</t>
        </is>
      </c>
      <c r="E91" t="inlineStr">
        <is>
          <t>Estimated Expenses</t>
        </is>
      </c>
      <c r="F91" t="inlineStr">
        <is>
          <t>Full-Time</t>
        </is>
      </c>
      <c r="G91" t="inlineStr">
        <is>
          <t>Undergraduate</t>
        </is>
      </c>
      <c r="H91" t="inlineStr">
        <is>
          <t>Commuters (not living at home)</t>
        </is>
      </c>
      <c r="I91" t="inlineStr">
        <is>
          <t>All</t>
        </is>
      </c>
      <c r="J91" t="inlineStr">
        <is>
          <t>All</t>
        </is>
      </c>
      <c r="K91" t="inlineStr">
        <is>
          <t>All</t>
        </is>
      </c>
      <c r="L91" t="inlineStr">
        <is>
          <t>Nearest $1</t>
        </is>
      </c>
    </row>
    <row r="92" ht="18" customHeight="1" s="44">
      <c r="A92" t="inlineStr">
        <is>
          <t>G511</t>
        </is>
      </c>
      <c r="B92" s="2" t="inlineStr">
        <is>
          <t>Food and housing total*</t>
        </is>
      </c>
      <c r="C92" s="52" t="n">
        <v>14520</v>
      </c>
      <c r="D92" t="inlineStr">
        <is>
          <t>Annual Expenses</t>
        </is>
      </c>
      <c r="E92" t="inlineStr">
        <is>
          <t>Estimated Expenses</t>
        </is>
      </c>
      <c r="F92" t="inlineStr">
        <is>
          <t>Full-Time</t>
        </is>
      </c>
      <c r="G92" t="inlineStr">
        <is>
          <t>Undergraduate</t>
        </is>
      </c>
      <c r="H92" t="inlineStr">
        <is>
          <t>Commuters (not living at home)</t>
        </is>
      </c>
      <c r="I92" t="inlineStr">
        <is>
          <t>All</t>
        </is>
      </c>
      <c r="J92" t="inlineStr">
        <is>
          <t>All</t>
        </is>
      </c>
      <c r="K92" t="inlineStr">
        <is>
          <t>All</t>
        </is>
      </c>
      <c r="L92" t="inlineStr">
        <is>
          <t>Nearest $1</t>
        </is>
      </c>
    </row>
    <row r="93" ht="18" customHeight="1" s="44">
      <c r="A93" t="inlineStr">
        <is>
          <t>G512</t>
        </is>
      </c>
      <c r="B93" t="inlineStr">
        <is>
          <t>Transportation:</t>
        </is>
      </c>
      <c r="C93" s="52" t="n">
        <v>1200</v>
      </c>
      <c r="D93" t="inlineStr">
        <is>
          <t>Annual Expenses</t>
        </is>
      </c>
      <c r="E93" t="inlineStr">
        <is>
          <t>Estimated Expenses</t>
        </is>
      </c>
      <c r="F93" t="inlineStr">
        <is>
          <t>Full-Time</t>
        </is>
      </c>
      <c r="G93" t="inlineStr">
        <is>
          <t>Undergraduate</t>
        </is>
      </c>
      <c r="H93" t="inlineStr">
        <is>
          <t>Commuters (not living at home)</t>
        </is>
      </c>
      <c r="I93" t="inlineStr">
        <is>
          <t>All</t>
        </is>
      </c>
      <c r="J93" t="inlineStr">
        <is>
          <t>All</t>
        </is>
      </c>
      <c r="K93" t="inlineStr">
        <is>
          <t>All</t>
        </is>
      </c>
      <c r="L93" t="inlineStr">
        <is>
          <t>Nearest $1</t>
        </is>
      </c>
    </row>
    <row r="94" ht="18" customHeight="1" s="44">
      <c r="A94" t="inlineStr">
        <is>
          <t>G513</t>
        </is>
      </c>
      <c r="B94" t="inlineStr">
        <is>
          <t>Other expenses:</t>
        </is>
      </c>
      <c r="C94" s="52" t="n">
        <v>2638</v>
      </c>
      <c r="D94" t="inlineStr">
        <is>
          <t>Annual Expenses</t>
        </is>
      </c>
      <c r="E94" t="inlineStr">
        <is>
          <t>Estimated Expenses</t>
        </is>
      </c>
      <c r="F94" t="inlineStr">
        <is>
          <t>Full-Time</t>
        </is>
      </c>
      <c r="G94" t="inlineStr">
        <is>
          <t>Undergraduate</t>
        </is>
      </c>
      <c r="H94" t="inlineStr">
        <is>
          <t>Commuters (not living at home)</t>
        </is>
      </c>
      <c r="I94" t="inlineStr">
        <is>
          <t>All</t>
        </is>
      </c>
      <c r="J94" t="inlineStr">
        <is>
          <t>All</t>
        </is>
      </c>
      <c r="K94" t="inlineStr">
        <is>
          <t>All</t>
        </is>
      </c>
      <c r="L94" t="inlineStr">
        <is>
          <t>Nearest $1</t>
        </is>
      </c>
    </row>
    <row r="95"/>
    <row r="96"/>
    <row r="97"/>
    <row r="98"/>
    <row r="99"/>
    <row r="100" ht="18" customHeight="1" s="44">
      <c r="A100" t="inlineStr">
        <is>
          <t>G601</t>
        </is>
      </c>
      <c r="B100" t="inlineStr">
        <is>
          <t>PRIVATE INSTITUTIONS:</t>
        </is>
      </c>
      <c r="C100" s="52" t="n"/>
      <c r="D100" t="inlineStr">
        <is>
          <t>Annual Expenses</t>
        </is>
      </c>
      <c r="E100" t="inlineStr">
        <is>
          <t>Per-Credit-Hour Charges</t>
        </is>
      </c>
      <c r="F100" t="inlineStr">
        <is>
          <t>Full-Time</t>
        </is>
      </c>
      <c r="G100" t="inlineStr">
        <is>
          <t>Undergraduate</t>
        </is>
      </c>
      <c r="H100" t="inlineStr">
        <is>
          <t>All</t>
        </is>
      </c>
      <c r="I100" t="inlineStr">
        <is>
          <t>All</t>
        </is>
      </c>
      <c r="J100" t="inlineStr">
        <is>
          <t>All</t>
        </is>
      </c>
      <c r="K100" t="inlineStr">
        <is>
          <t>All</t>
        </is>
      </c>
      <c r="L100" t="inlineStr">
        <is>
          <t>Nearest $1</t>
        </is>
      </c>
    </row>
    <row r="101" ht="18" customHeight="1" s="44">
      <c r="A101" t="inlineStr">
        <is>
          <t>G602</t>
        </is>
      </c>
      <c r="B101" t="inlineStr">
        <is>
          <t>PUBLIC INSTITUTIONS:</t>
        </is>
      </c>
      <c r="C101" s="52" t="n"/>
      <c r="D101" t="inlineStr">
        <is>
          <t>Annual Expenses</t>
        </is>
      </c>
      <c r="E101" t="inlineStr">
        <is>
          <t>Per-Credit-Hour Charges</t>
        </is>
      </c>
      <c r="F101" t="inlineStr">
        <is>
          <t>Full-Time</t>
        </is>
      </c>
      <c r="G101" t="inlineStr">
        <is>
          <t>Undergraduate</t>
        </is>
      </c>
      <c r="H101" t="inlineStr">
        <is>
          <t>All</t>
        </is>
      </c>
      <c r="I101" t="inlineStr">
        <is>
          <t>All</t>
        </is>
      </c>
      <c r="J101" t="inlineStr">
        <is>
          <t>All</t>
        </is>
      </c>
      <c r="K101" t="inlineStr">
        <is>
          <t>All</t>
        </is>
      </c>
      <c r="L101" t="inlineStr">
        <is>
          <t>Nearest $1</t>
        </is>
      </c>
    </row>
    <row r="102" ht="18" customHeight="1" s="44">
      <c r="A102" t="inlineStr">
        <is>
          <t>G603</t>
        </is>
      </c>
      <c r="B102" t="inlineStr">
        <is>
          <t>In-district:</t>
        </is>
      </c>
      <c r="C102" s="52" t="n">
        <v>437.77</v>
      </c>
      <c r="D102" t="inlineStr">
        <is>
          <t>Annual Expenses</t>
        </is>
      </c>
      <c r="E102" t="inlineStr">
        <is>
          <t>Per-Credit-Hour Charges</t>
        </is>
      </c>
      <c r="F102" t="inlineStr">
        <is>
          <t>Full-Time</t>
        </is>
      </c>
      <c r="G102" t="inlineStr">
        <is>
          <t>Undergraduate</t>
        </is>
      </c>
      <c r="H102" t="inlineStr">
        <is>
          <t>All</t>
        </is>
      </c>
      <c r="I102" t="inlineStr">
        <is>
          <t>All</t>
        </is>
      </c>
      <c r="J102" t="inlineStr">
        <is>
          <t>All</t>
        </is>
      </c>
      <c r="K102" t="inlineStr">
        <is>
          <t>All</t>
        </is>
      </c>
      <c r="L102" t="inlineStr">
        <is>
          <t>Nearest $1</t>
        </is>
      </c>
    </row>
    <row r="103" ht="18" customHeight="1" s="44">
      <c r="A103" t="inlineStr">
        <is>
          <t>G604</t>
        </is>
      </c>
      <c r="B103" t="inlineStr">
        <is>
          <t>In-state (out-of-district):</t>
        </is>
      </c>
      <c r="C103" s="52" t="n">
        <v>437.77</v>
      </c>
      <c r="D103" t="inlineStr">
        <is>
          <t>Annual Expenses</t>
        </is>
      </c>
      <c r="E103" t="inlineStr">
        <is>
          <t>Per-Credit-Hour Charges</t>
        </is>
      </c>
      <c r="F103" t="inlineStr">
        <is>
          <t>Full-Time</t>
        </is>
      </c>
      <c r="G103" t="inlineStr">
        <is>
          <t>Undergraduate</t>
        </is>
      </c>
      <c r="H103" t="inlineStr">
        <is>
          <t>All</t>
        </is>
      </c>
      <c r="I103" t="inlineStr">
        <is>
          <t>All</t>
        </is>
      </c>
      <c r="J103" t="inlineStr">
        <is>
          <t>All</t>
        </is>
      </c>
      <c r="K103" t="inlineStr">
        <is>
          <t>All</t>
        </is>
      </c>
      <c r="L103" t="inlineStr">
        <is>
          <t>Nearest $1</t>
        </is>
      </c>
    </row>
    <row r="104" ht="18" customHeight="1" s="44">
      <c r="A104" t="inlineStr">
        <is>
          <t>G605</t>
        </is>
      </c>
      <c r="B104" t="inlineStr">
        <is>
          <t>Out-of-state:</t>
        </is>
      </c>
      <c r="C104" s="52" t="n">
        <v>1772.12</v>
      </c>
      <c r="D104" t="inlineStr">
        <is>
          <t>Annual Expenses</t>
        </is>
      </c>
      <c r="E104" t="inlineStr">
        <is>
          <t>Per-Credit-Hour Charges</t>
        </is>
      </c>
      <c r="F104" t="inlineStr">
        <is>
          <t>Full-Time</t>
        </is>
      </c>
      <c r="G104" t="inlineStr">
        <is>
          <t>Undergraduate</t>
        </is>
      </c>
      <c r="H104" t="inlineStr">
        <is>
          <t>All</t>
        </is>
      </c>
      <c r="I104" t="inlineStr">
        <is>
          <t>All</t>
        </is>
      </c>
      <c r="J104" t="inlineStr">
        <is>
          <t>All</t>
        </is>
      </c>
      <c r="K104" t="inlineStr">
        <is>
          <t>All</t>
        </is>
      </c>
      <c r="L104" t="inlineStr">
        <is>
          <t>Nearest $1</t>
        </is>
      </c>
    </row>
    <row r="105" ht="18" customHeight="1" s="44">
      <c r="A105" t="inlineStr">
        <is>
          <t>G606</t>
        </is>
      </c>
      <c r="B105" t="inlineStr">
        <is>
          <t>NONRESIDENTS:</t>
        </is>
      </c>
      <c r="C105" s="52" t="n">
        <v>1813.79</v>
      </c>
      <c r="D105" t="inlineStr">
        <is>
          <t>Annual Expenses</t>
        </is>
      </c>
      <c r="E105" t="inlineStr">
        <is>
          <t>Per-Credit-Hour Charges</t>
        </is>
      </c>
      <c r="F105" t="inlineStr">
        <is>
          <t>Full-Time</t>
        </is>
      </c>
      <c r="G105" t="inlineStr">
        <is>
          <t>Undergraduate</t>
        </is>
      </c>
      <c r="H105" t="inlineStr">
        <is>
          <t>All</t>
        </is>
      </c>
      <c r="I105" t="inlineStr">
        <is>
          <t>All</t>
        </is>
      </c>
      <c r="J105" t="inlineStr">
        <is>
          <t>All</t>
        </is>
      </c>
      <c r="K105" t="inlineStr">
        <is>
          <t>All</t>
        </is>
      </c>
      <c r="L105" t="inlineStr">
        <is>
          <t>Nearest $1</t>
        </is>
      </c>
    </row>
  </sheetData>
  <autoFilter ref="A1:L105"/>
  <hyperlinks>
    <hyperlink xmlns:r="http://schemas.openxmlformats.org/officeDocument/2006/relationships" ref="C7"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414"/>
  <sheetViews>
    <sheetView zoomScaleNormal="100" workbookViewId="0">
      <pane ySplit="1" topLeftCell="A320" activePane="bottomLeft" state="frozen"/>
      <selection pane="bottomLeft" activeCell="C337" sqref="C337"/>
    </sheetView>
  </sheetViews>
  <sheetFormatPr baseColWidth="8" defaultColWidth="8.7109375" defaultRowHeight="15"/>
  <cols>
    <col width="40.7109375" customWidth="1" style="44" min="2" max="2"/>
    <col width="27.2851562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ht="18" customHeight="1" s="44"/>
    <row r="66">
      <c r="B66" t="inlineStr">
        <is>
          <t>2024-2025</t>
        </is>
      </c>
      <c r="C66" t="inlineStr">
        <is>
          <t>x</t>
        </is>
      </c>
      <c r="D66" t="inlineStr">
        <is>
          <t>Financial Aid</t>
        </is>
      </c>
      <c r="E66" t="inlineStr">
        <is>
          <t>Reporting Year</t>
        </is>
      </c>
      <c r="F66" t="inlineStr">
        <is>
          <t>All</t>
        </is>
      </c>
      <c r="G66" t="inlineStr">
        <is>
          <t>All</t>
        </is>
      </c>
      <c r="H66" t="inlineStr">
        <is>
          <t>All</t>
        </is>
      </c>
      <c r="I66" t="inlineStr">
        <is>
          <t>All</t>
        </is>
      </c>
      <c r="J66" t="inlineStr">
        <is>
          <t>All</t>
        </is>
      </c>
      <c r="K66" t="inlineStr">
        <is>
          <t>All</t>
        </is>
      </c>
      <c r="L66" t="inlineStr">
        <is>
          <t>x</t>
        </is>
      </c>
    </row>
    <row r="67">
      <c r="A67" t="inlineStr">
        <is>
          <t>H102</t>
        </is>
      </c>
      <c r="B67" t="inlineStr">
        <is>
          <t>2023-2024 Final</t>
        </is>
      </c>
      <c r="D67" t="inlineStr">
        <is>
          <t>Financial Aid</t>
        </is>
      </c>
      <c r="E67" t="inlineStr">
        <is>
          <t>Reporting Year</t>
        </is>
      </c>
      <c r="F67" t="inlineStr">
        <is>
          <t>All</t>
        </is>
      </c>
      <c r="G67" t="inlineStr">
        <is>
          <t>All</t>
        </is>
      </c>
      <c r="H67" t="inlineStr">
        <is>
          <t>All</t>
        </is>
      </c>
      <c r="I67" t="inlineStr">
        <is>
          <t>All</t>
        </is>
      </c>
      <c r="J67" t="inlineStr">
        <is>
          <t>All</t>
        </is>
      </c>
      <c r="K67" t="inlineStr">
        <is>
          <t>All</t>
        </is>
      </c>
      <c r="L67" t="inlineStr">
        <is>
          <t>x</t>
        </is>
      </c>
    </row>
    <row r="68"/>
    <row r="69"/>
    <row r="70"/>
    <row r="71"/>
    <row r="72"/>
    <row r="73">
      <c r="A73" t="inlineStr">
        <is>
          <t>H103</t>
        </is>
      </c>
      <c r="B73" t="inlineStr">
        <is>
          <t>Federal methodology (FM)</t>
        </is>
      </c>
      <c r="C73" t="inlineStr">
        <is>
          <t>x</t>
        </is>
      </c>
      <c r="D73" t="inlineStr">
        <is>
          <t>Financial Aid</t>
        </is>
      </c>
      <c r="E73" t="inlineStr">
        <is>
          <t>Methodology</t>
        </is>
      </c>
      <c r="F73" t="inlineStr">
        <is>
          <t>All</t>
        </is>
      </c>
      <c r="G73" t="inlineStr">
        <is>
          <t>All</t>
        </is>
      </c>
      <c r="H73" t="inlineStr">
        <is>
          <t>All</t>
        </is>
      </c>
      <c r="I73" t="inlineStr">
        <is>
          <t>All</t>
        </is>
      </c>
      <c r="J73" t="inlineStr">
        <is>
          <t>All</t>
        </is>
      </c>
      <c r="K73" t="inlineStr">
        <is>
          <t>All</t>
        </is>
      </c>
      <c r="L73" t="inlineStr">
        <is>
          <t>x</t>
        </is>
      </c>
    </row>
    <row r="74">
      <c r="A74" t="inlineStr">
        <is>
          <t>H104</t>
        </is>
      </c>
      <c r="B74" t="inlineStr">
        <is>
          <t>Institutional methodology (IM)</t>
        </is>
      </c>
      <c r="D74" t="inlineStr">
        <is>
          <t>Financial Aid</t>
        </is>
      </c>
      <c r="E74" t="inlineStr">
        <is>
          <t>Methodology</t>
        </is>
      </c>
      <c r="F74" t="inlineStr">
        <is>
          <t>All</t>
        </is>
      </c>
      <c r="G74" t="inlineStr">
        <is>
          <t>All</t>
        </is>
      </c>
      <c r="H74" t="inlineStr">
        <is>
          <t>All</t>
        </is>
      </c>
      <c r="I74" t="inlineStr">
        <is>
          <t>All</t>
        </is>
      </c>
      <c r="J74" t="inlineStr">
        <is>
          <t>All</t>
        </is>
      </c>
      <c r="K74" t="inlineStr">
        <is>
          <t>All</t>
        </is>
      </c>
      <c r="L74" t="inlineStr">
        <is>
          <t>x</t>
        </is>
      </c>
    </row>
    <row r="75">
      <c r="A75" t="inlineStr">
        <is>
          <t>H105</t>
        </is>
      </c>
      <c r="B75" t="inlineStr">
        <is>
          <t>Both FM and IM</t>
        </is>
      </c>
      <c r="D75" t="inlineStr">
        <is>
          <t>Financial Aid</t>
        </is>
      </c>
      <c r="E75" t="inlineStr">
        <is>
          <t>Methodology</t>
        </is>
      </c>
      <c r="F75" t="inlineStr">
        <is>
          <t>All</t>
        </is>
      </c>
      <c r="G75" t="inlineStr">
        <is>
          <t>All</t>
        </is>
      </c>
      <c r="H75" t="inlineStr">
        <is>
          <t>All</t>
        </is>
      </c>
      <c r="I75" t="inlineStr">
        <is>
          <t>All</t>
        </is>
      </c>
      <c r="J75" t="inlineStr">
        <is>
          <t>All</t>
        </is>
      </c>
      <c r="K75" t="inlineStr">
        <is>
          <t>All</t>
        </is>
      </c>
      <c r="L75" t="inlineStr">
        <is>
          <t>x</t>
        </is>
      </c>
    </row>
    <row r="76"/>
    <row r="77"/>
    <row r="78"/>
    <row r="79" ht="36.6" customHeight="1" s="44"/>
    <row r="80">
      <c r="B80" s="27" t="inlineStr">
        <is>
          <t>Scholarships/Grants</t>
        </is>
      </c>
    </row>
    <row r="81" ht="18" customHeight="1" s="44">
      <c r="A81" t="inlineStr">
        <is>
          <t>H106</t>
        </is>
      </c>
      <c r="B81" s="27" t="inlineStr">
        <is>
          <t>Federal</t>
        </is>
      </c>
      <c r="C81" s="52" t="n">
        <v>44183661</v>
      </c>
      <c r="D81" t="inlineStr">
        <is>
          <t>Financial Aid</t>
        </is>
      </c>
      <c r="E81" t="inlineStr">
        <is>
          <t>Need-based Aid Awarded</t>
        </is>
      </c>
      <c r="F81" t="inlineStr">
        <is>
          <t>Degree-seeking</t>
        </is>
      </c>
      <c r="G81" t="inlineStr">
        <is>
          <t>Undergraduate</t>
        </is>
      </c>
      <c r="H81" t="inlineStr">
        <is>
          <t>Undergraduates</t>
        </is>
      </c>
      <c r="I81" t="inlineStr">
        <is>
          <t>All</t>
        </is>
      </c>
      <c r="J81" t="inlineStr">
        <is>
          <t>All</t>
        </is>
      </c>
      <c r="K81" t="inlineStr">
        <is>
          <t>All</t>
        </is>
      </c>
      <c r="L81" t="inlineStr">
        <is>
          <t>Nearest $1</t>
        </is>
      </c>
    </row>
    <row r="82" ht="30" customHeight="1" s="44">
      <c r="A82" t="inlineStr">
        <is>
          <t>H107</t>
        </is>
      </c>
      <c r="B82" s="2" t="inlineStr">
        <is>
          <t>State all states, not only the state in which your institution is located</t>
        </is>
      </c>
      <c r="C82" s="52" t="n">
        <v>15907355</v>
      </c>
      <c r="D82" t="inlineStr">
        <is>
          <t>Financial Aid</t>
        </is>
      </c>
      <c r="E82" t="inlineStr">
        <is>
          <t>Need-based Aid Awarded</t>
        </is>
      </c>
      <c r="F82" t="inlineStr">
        <is>
          <t>Degree-seeking</t>
        </is>
      </c>
      <c r="G82" t="inlineStr">
        <is>
          <t>Undergraduate</t>
        </is>
      </c>
      <c r="H82" t="inlineStr">
        <is>
          <t>Undergraduates</t>
        </is>
      </c>
      <c r="I82" t="inlineStr">
        <is>
          <t>All</t>
        </is>
      </c>
      <c r="J82" t="inlineStr">
        <is>
          <t>All</t>
        </is>
      </c>
      <c r="K82" t="inlineStr">
        <is>
          <t>All</t>
        </is>
      </c>
      <c r="L82" t="inlineStr">
        <is>
          <t>Nearest $1</t>
        </is>
      </c>
    </row>
    <row r="83" ht="75" customHeight="1" s="44">
      <c r="A83" t="inlineStr">
        <is>
          <t>H108</t>
        </is>
      </c>
      <c r="B83" s="2" t="inlineStr">
        <is>
          <t>Institutional: Endowed scholarships, annual gifts and tuition funded grants, awarded by the college, excluding athletic aid and tuition waivers (which are reported below).</t>
        </is>
      </c>
      <c r="C83" s="52" t="n">
        <v>146719693</v>
      </c>
      <c r="D83" t="inlineStr">
        <is>
          <t>Financial Aid</t>
        </is>
      </c>
      <c r="E83" t="inlineStr">
        <is>
          <t>Need-based Aid Awarded</t>
        </is>
      </c>
      <c r="F83" t="inlineStr">
        <is>
          <t>Degree-seeking</t>
        </is>
      </c>
      <c r="G83" t="inlineStr">
        <is>
          <t>Undergraduate</t>
        </is>
      </c>
      <c r="H83" t="inlineStr">
        <is>
          <t>Undergraduates</t>
        </is>
      </c>
      <c r="I83" t="inlineStr">
        <is>
          <t>All</t>
        </is>
      </c>
      <c r="J83" t="inlineStr">
        <is>
          <t>All</t>
        </is>
      </c>
      <c r="K83" t="inlineStr">
        <is>
          <t>All</t>
        </is>
      </c>
      <c r="L83" t="inlineStr">
        <is>
          <t>Nearest $1</t>
        </is>
      </c>
    </row>
    <row r="84" ht="45" customHeight="1" s="44">
      <c r="A84" t="inlineStr">
        <is>
          <t>H109</t>
        </is>
      </c>
      <c r="B84" s="2" t="inlineStr">
        <is>
          <t>Scholarships/grants from external sources (e.g. Kiwanis, National Merit) not awarded by the college</t>
        </is>
      </c>
      <c r="C84" s="52" t="n">
        <v>7379772</v>
      </c>
      <c r="D84" t="inlineStr">
        <is>
          <t>Financial Aid</t>
        </is>
      </c>
      <c r="E84" t="inlineStr">
        <is>
          <t>Need-based Aid Awarded</t>
        </is>
      </c>
      <c r="F84" t="inlineStr">
        <is>
          <t>Degree-seeking</t>
        </is>
      </c>
      <c r="G84" t="inlineStr">
        <is>
          <t>Undergraduate</t>
        </is>
      </c>
      <c r="H84" t="inlineStr">
        <is>
          <t>Undergraduates</t>
        </is>
      </c>
      <c r="I84" t="inlineStr">
        <is>
          <t>All</t>
        </is>
      </c>
      <c r="J84" t="inlineStr">
        <is>
          <t>All</t>
        </is>
      </c>
      <c r="K84" t="inlineStr">
        <is>
          <t>All</t>
        </is>
      </c>
      <c r="L84" t="inlineStr">
        <is>
          <t>Nearest $1</t>
        </is>
      </c>
    </row>
    <row r="85" ht="18" customHeight="1" s="44">
      <c r="A85" t="inlineStr">
        <is>
          <t>H110</t>
        </is>
      </c>
      <c r="B85" s="27" t="inlineStr">
        <is>
          <t>Total Scholarships/Grants</t>
        </is>
      </c>
      <c r="C85" s="54">
        <f>SUM(C81:C84)</f>
        <v/>
      </c>
      <c r="D85" t="inlineStr">
        <is>
          <t>Financial Aid</t>
        </is>
      </c>
      <c r="E85" t="inlineStr">
        <is>
          <t>Need-based Aid Awarded</t>
        </is>
      </c>
      <c r="F85" t="inlineStr">
        <is>
          <t>Degree-seeking</t>
        </is>
      </c>
      <c r="G85" t="inlineStr">
        <is>
          <t>Undergraduate</t>
        </is>
      </c>
      <c r="H85" t="inlineStr">
        <is>
          <t>Undergraduates</t>
        </is>
      </c>
      <c r="I85" t="inlineStr">
        <is>
          <t>All</t>
        </is>
      </c>
      <c r="J85" t="inlineStr">
        <is>
          <t>All</t>
        </is>
      </c>
      <c r="K85" t="inlineStr">
        <is>
          <t>All</t>
        </is>
      </c>
      <c r="L85" t="inlineStr">
        <is>
          <t>Nearest $1</t>
        </is>
      </c>
    </row>
    <row r="86" ht="18" customHeight="1" s="44">
      <c r="B86" s="27" t="inlineStr">
        <is>
          <t>Self-Help</t>
        </is>
      </c>
      <c r="C86" s="55" t="n"/>
    </row>
    <row r="87" ht="30" customHeight="1" s="44">
      <c r="A87" t="inlineStr">
        <is>
          <t>H111</t>
        </is>
      </c>
      <c r="B87" s="2" t="inlineStr">
        <is>
          <t>Student loans from all sources (excluding parent loans)</t>
        </is>
      </c>
      <c r="C87" s="52" t="n">
        <v>25049983</v>
      </c>
      <c r="D87" t="inlineStr">
        <is>
          <t>Financial Aid</t>
        </is>
      </c>
      <c r="E87" t="inlineStr">
        <is>
          <t>Need-based Aid Awarded</t>
        </is>
      </c>
      <c r="F87" t="inlineStr">
        <is>
          <t>Degree-seeking</t>
        </is>
      </c>
      <c r="G87" t="inlineStr">
        <is>
          <t>Undergraduate</t>
        </is>
      </c>
      <c r="H87" t="inlineStr">
        <is>
          <t>Undergraduates</t>
        </is>
      </c>
      <c r="I87" t="inlineStr">
        <is>
          <t>All</t>
        </is>
      </c>
      <c r="J87" t="inlineStr">
        <is>
          <t>All</t>
        </is>
      </c>
      <c r="K87" t="inlineStr">
        <is>
          <t>All</t>
        </is>
      </c>
      <c r="L87" t="inlineStr">
        <is>
          <t>Nearest $1</t>
        </is>
      </c>
    </row>
    <row r="88">
      <c r="A88" t="inlineStr">
        <is>
          <t>H112</t>
        </is>
      </c>
      <c r="B88" s="2" t="inlineStr">
        <is>
          <t>Federal Work-Study</t>
        </is>
      </c>
      <c r="C88" s="52" t="n">
        <v>19493365</v>
      </c>
      <c r="D88" t="inlineStr">
        <is>
          <t>Financial Aid</t>
        </is>
      </c>
      <c r="E88" t="inlineStr">
        <is>
          <t>Need-based Aid Awarded</t>
        </is>
      </c>
      <c r="F88" t="inlineStr">
        <is>
          <t>Degree-seeking</t>
        </is>
      </c>
      <c r="G88" t="inlineStr">
        <is>
          <t>Undergraduate</t>
        </is>
      </c>
      <c r="H88" t="inlineStr">
        <is>
          <t>Undergraduates</t>
        </is>
      </c>
      <c r="I88" t="inlineStr">
        <is>
          <t>All</t>
        </is>
      </c>
      <c r="J88" t="inlineStr">
        <is>
          <t>All</t>
        </is>
      </c>
      <c r="K88" t="inlineStr">
        <is>
          <t>All</t>
        </is>
      </c>
      <c r="L88" t="inlineStr">
        <is>
          <t>Nearest $1</t>
        </is>
      </c>
    </row>
    <row r="89" ht="45" customHeight="1" s="44">
      <c r="A89" t="inlineStr">
        <is>
          <t>H113</t>
        </is>
      </c>
      <c r="B89" s="2" t="inlineStr">
        <is>
          <t>State and other (e.g., institutional) work-study/employment (Note: Excludes Federal Work-Study captured above.)</t>
        </is>
      </c>
      <c r="C89" s="52" t="n">
        <v>0</v>
      </c>
      <c r="D89" t="inlineStr">
        <is>
          <t>Financial Aid</t>
        </is>
      </c>
      <c r="E89" t="inlineStr">
        <is>
          <t>Need-based Aid Awarded</t>
        </is>
      </c>
      <c r="F89" t="inlineStr">
        <is>
          <t>Degree-seeking</t>
        </is>
      </c>
      <c r="G89" t="inlineStr">
        <is>
          <t>Undergraduate</t>
        </is>
      </c>
      <c r="H89" t="inlineStr">
        <is>
          <t>Undergraduates</t>
        </is>
      </c>
      <c r="I89" t="inlineStr">
        <is>
          <t>All</t>
        </is>
      </c>
      <c r="J89" t="inlineStr">
        <is>
          <t>All</t>
        </is>
      </c>
      <c r="K89" t="inlineStr">
        <is>
          <t>All</t>
        </is>
      </c>
      <c r="L89" t="inlineStr">
        <is>
          <t>Nearest $1</t>
        </is>
      </c>
    </row>
    <row r="90" ht="18" customHeight="1" s="44">
      <c r="A90" t="inlineStr">
        <is>
          <t>H114</t>
        </is>
      </c>
      <c r="B90" s="27" t="inlineStr">
        <is>
          <t>Total Self-Help</t>
        </is>
      </c>
      <c r="C90" s="54">
        <f>SUM(C87:C89)</f>
        <v/>
      </c>
      <c r="D90" t="inlineStr">
        <is>
          <t>Financial Aid</t>
        </is>
      </c>
      <c r="E90" t="inlineStr">
        <is>
          <t>Need-based Aid Awarded</t>
        </is>
      </c>
      <c r="F90" t="inlineStr">
        <is>
          <t>Degree-seeking</t>
        </is>
      </c>
      <c r="G90" t="inlineStr">
        <is>
          <t>Undergraduate</t>
        </is>
      </c>
      <c r="H90" t="inlineStr">
        <is>
          <t>Undergraduates</t>
        </is>
      </c>
      <c r="I90" t="inlineStr">
        <is>
          <t>All</t>
        </is>
      </c>
      <c r="J90" t="inlineStr">
        <is>
          <t>All</t>
        </is>
      </c>
      <c r="K90" t="inlineStr">
        <is>
          <t>All</t>
        </is>
      </c>
      <c r="L90" t="inlineStr">
        <is>
          <t>Nearest $1</t>
        </is>
      </c>
    </row>
    <row r="91" ht="18" customHeight="1" s="44">
      <c r="A91" t="inlineStr">
        <is>
          <t>H115</t>
        </is>
      </c>
      <c r="B91" s="27" t="inlineStr">
        <is>
          <t>Parent Loans</t>
        </is>
      </c>
      <c r="C91" s="52" t="n">
        <v>8227913</v>
      </c>
      <c r="D91" t="inlineStr">
        <is>
          <t>Financial Aid</t>
        </is>
      </c>
      <c r="E91" t="inlineStr">
        <is>
          <t>Need-based Aid Awarded</t>
        </is>
      </c>
      <c r="F91" t="inlineStr">
        <is>
          <t>Degree-seeking</t>
        </is>
      </c>
      <c r="G91" t="inlineStr">
        <is>
          <t>Undergraduate</t>
        </is>
      </c>
      <c r="H91" t="inlineStr">
        <is>
          <t>Undergraduates</t>
        </is>
      </c>
      <c r="I91" t="inlineStr">
        <is>
          <t>All</t>
        </is>
      </c>
      <c r="J91" t="inlineStr">
        <is>
          <t>All</t>
        </is>
      </c>
      <c r="K91" t="inlineStr">
        <is>
          <t>All</t>
        </is>
      </c>
      <c r="L91" t="inlineStr">
        <is>
          <t>Nearest $1</t>
        </is>
      </c>
    </row>
    <row r="92" ht="75" customHeight="1" s="44">
      <c r="A92" t="inlineStr">
        <is>
          <t>H116</t>
        </is>
      </c>
      <c r="B92" s="2" t="inlineStr">
        <is>
          <t>Tuition Waivers
Note: Reporting is optional. Report tuition waivers in this row if you choose to report them. Do not report tuition waivers elsewhere.</t>
        </is>
      </c>
      <c r="C92" s="52" t="n">
        <v>7620152</v>
      </c>
      <c r="D92" t="inlineStr">
        <is>
          <t>Financial Aid</t>
        </is>
      </c>
      <c r="E92" t="inlineStr">
        <is>
          <t>Need-based Aid Awarded</t>
        </is>
      </c>
      <c r="F92" t="inlineStr">
        <is>
          <t>Degree-seeking</t>
        </is>
      </c>
      <c r="G92" t="inlineStr">
        <is>
          <t>Undergraduate</t>
        </is>
      </c>
      <c r="H92" t="inlineStr">
        <is>
          <t>Undergraduates</t>
        </is>
      </c>
      <c r="I92" t="inlineStr">
        <is>
          <t>All</t>
        </is>
      </c>
      <c r="J92" t="inlineStr">
        <is>
          <t>All</t>
        </is>
      </c>
      <c r="K92" t="inlineStr">
        <is>
          <t>All</t>
        </is>
      </c>
      <c r="L92" t="inlineStr">
        <is>
          <t>Nearest $1</t>
        </is>
      </c>
    </row>
    <row r="93" ht="18" customHeight="1" s="44">
      <c r="A93" t="inlineStr">
        <is>
          <t>H117</t>
        </is>
      </c>
      <c r="B93" s="27" t="inlineStr">
        <is>
          <t>Athletic Awards</t>
        </is>
      </c>
      <c r="C93" s="52" t="n">
        <v>2026230</v>
      </c>
      <c r="D93" t="inlineStr">
        <is>
          <t>Financial Aid</t>
        </is>
      </c>
      <c r="E93" t="inlineStr">
        <is>
          <t>Need-based Aid Awarded</t>
        </is>
      </c>
      <c r="F93" t="inlineStr">
        <is>
          <t>Degree-seeking</t>
        </is>
      </c>
      <c r="G93" t="inlineStr">
        <is>
          <t>Undergraduate</t>
        </is>
      </c>
      <c r="H93" t="inlineStr">
        <is>
          <t>Undergraduates</t>
        </is>
      </c>
      <c r="I93" t="inlineStr">
        <is>
          <t>All</t>
        </is>
      </c>
      <c r="J93" t="inlineStr">
        <is>
          <t>All</t>
        </is>
      </c>
      <c r="K93" t="inlineStr">
        <is>
          <t>All</t>
        </is>
      </c>
      <c r="L93" t="inlineStr">
        <is>
          <t>Nearest $1</t>
        </is>
      </c>
    </row>
    <row r="94">
      <c r="B94" s="2" t="n"/>
    </row>
    <row r="95" ht="38.45" customHeight="1" s="44"/>
    <row r="96">
      <c r="B96" s="27" t="inlineStr">
        <is>
          <t>Scholarships/Grants</t>
        </is>
      </c>
    </row>
    <row r="97" ht="18" customHeight="1" s="44">
      <c r="A97" t="inlineStr">
        <is>
          <t>H118</t>
        </is>
      </c>
      <c r="B97" s="27" t="inlineStr">
        <is>
          <t>Federal</t>
        </is>
      </c>
      <c r="C97" s="52" t="n">
        <v>128962</v>
      </c>
      <c r="D97" t="inlineStr">
        <is>
          <t>Financial Aid</t>
        </is>
      </c>
      <c r="E97" t="inlineStr">
        <is>
          <t>Non-need-based Aid Awarded</t>
        </is>
      </c>
      <c r="F97" t="inlineStr">
        <is>
          <t>Degree-seeking</t>
        </is>
      </c>
      <c r="G97" t="inlineStr">
        <is>
          <t>Undergraduate</t>
        </is>
      </c>
      <c r="H97" t="inlineStr">
        <is>
          <t>Undergraduates</t>
        </is>
      </c>
      <c r="I97" t="inlineStr">
        <is>
          <t>All</t>
        </is>
      </c>
      <c r="J97" t="inlineStr">
        <is>
          <t>All</t>
        </is>
      </c>
      <c r="K97" t="inlineStr">
        <is>
          <t>All</t>
        </is>
      </c>
      <c r="L97" t="inlineStr">
        <is>
          <t>Nearest $1</t>
        </is>
      </c>
    </row>
    <row r="98" ht="30" customHeight="1" s="44">
      <c r="A98" t="inlineStr">
        <is>
          <t>H119</t>
        </is>
      </c>
      <c r="B98" s="2" t="inlineStr">
        <is>
          <t>State all states, not only the state in which your institution is located</t>
        </is>
      </c>
      <c r="C98" s="52" t="n">
        <v>5005958</v>
      </c>
      <c r="D98" t="inlineStr">
        <is>
          <t>Financial Aid</t>
        </is>
      </c>
      <c r="E98" t="inlineStr">
        <is>
          <t>Non-need-based Aid Awarded</t>
        </is>
      </c>
      <c r="F98" t="inlineStr">
        <is>
          <t>Degree-seeking</t>
        </is>
      </c>
      <c r="G98" t="inlineStr">
        <is>
          <t>Undergraduate</t>
        </is>
      </c>
      <c r="H98" t="inlineStr">
        <is>
          <t>Undergraduates</t>
        </is>
      </c>
      <c r="I98" t="inlineStr">
        <is>
          <t>All</t>
        </is>
      </c>
      <c r="J98" t="inlineStr">
        <is>
          <t>All</t>
        </is>
      </c>
      <c r="K98" t="inlineStr">
        <is>
          <t>All</t>
        </is>
      </c>
      <c r="L98" t="inlineStr">
        <is>
          <t>Nearest $1</t>
        </is>
      </c>
    </row>
    <row r="99" ht="75" customHeight="1" s="44">
      <c r="A99" t="inlineStr">
        <is>
          <t>H120</t>
        </is>
      </c>
      <c r="B99" s="2" t="inlineStr">
        <is>
          <t>Institutional: Endowed scholarships, annual gifts and tuition funded grants, awarded by the college, excluding athletic aid and tuition waivers (which are reported below).</t>
        </is>
      </c>
      <c r="C99" s="52" t="n">
        <v>24317541</v>
      </c>
      <c r="D99" t="inlineStr">
        <is>
          <t>Financial Aid</t>
        </is>
      </c>
      <c r="E99" t="inlineStr">
        <is>
          <t>Non-need-based Aid Awarded</t>
        </is>
      </c>
      <c r="F99" t="inlineStr">
        <is>
          <t>Degree-seeking</t>
        </is>
      </c>
      <c r="G99" t="inlineStr">
        <is>
          <t>Undergraduate</t>
        </is>
      </c>
      <c r="H99" t="inlineStr">
        <is>
          <t>Undergraduates</t>
        </is>
      </c>
      <c r="I99" t="inlineStr">
        <is>
          <t>All</t>
        </is>
      </c>
      <c r="J99" t="inlineStr">
        <is>
          <t>All</t>
        </is>
      </c>
      <c r="K99" t="inlineStr">
        <is>
          <t>All</t>
        </is>
      </c>
      <c r="L99" t="inlineStr">
        <is>
          <t>Nearest $1</t>
        </is>
      </c>
    </row>
    <row r="100" ht="45" customHeight="1" s="44">
      <c r="A100" t="inlineStr">
        <is>
          <t>H121</t>
        </is>
      </c>
      <c r="B100" s="2" t="inlineStr">
        <is>
          <t>Scholarships/grants from external sources (e.g. Kiwanis, National Merit) not awarded by the college</t>
        </is>
      </c>
      <c r="C100" s="52" t="n">
        <v>15950097</v>
      </c>
      <c r="D100" t="inlineStr">
        <is>
          <t>Financial Aid</t>
        </is>
      </c>
      <c r="E100" t="inlineStr">
        <is>
          <t>Non-need-based Aid Awarded</t>
        </is>
      </c>
      <c r="F100" t="inlineStr">
        <is>
          <t>Degree-seeking</t>
        </is>
      </c>
      <c r="G100" t="inlineStr">
        <is>
          <t>Undergraduate</t>
        </is>
      </c>
      <c r="H100" t="inlineStr">
        <is>
          <t>Undergraduates</t>
        </is>
      </c>
      <c r="I100" t="inlineStr">
        <is>
          <t>All</t>
        </is>
      </c>
      <c r="J100" t="inlineStr">
        <is>
          <t>All</t>
        </is>
      </c>
      <c r="K100" t="inlineStr">
        <is>
          <t>All</t>
        </is>
      </c>
      <c r="L100" t="inlineStr">
        <is>
          <t>Nearest $1</t>
        </is>
      </c>
    </row>
    <row r="101">
      <c r="A101" t="inlineStr">
        <is>
          <t>H122</t>
        </is>
      </c>
      <c r="B101" s="27" t="inlineStr">
        <is>
          <t>Total Scholarships/Grants</t>
        </is>
      </c>
      <c r="C101" s="54">
        <f>SUM(C97:C100)</f>
        <v/>
      </c>
      <c r="D101" t="inlineStr">
        <is>
          <t>Financial Aid</t>
        </is>
      </c>
      <c r="E101" t="inlineStr">
        <is>
          <t>Non-need-based Aid Awarded</t>
        </is>
      </c>
      <c r="F101" t="inlineStr">
        <is>
          <t>Degree-seeking</t>
        </is>
      </c>
      <c r="G101" t="inlineStr">
        <is>
          <t>Undergraduate</t>
        </is>
      </c>
      <c r="H101" t="inlineStr">
        <is>
          <t>Undergraduates</t>
        </is>
      </c>
      <c r="I101" t="inlineStr">
        <is>
          <t>All</t>
        </is>
      </c>
      <c r="J101" t="inlineStr">
        <is>
          <t>All</t>
        </is>
      </c>
      <c r="K101" t="inlineStr">
        <is>
          <t>All</t>
        </is>
      </c>
      <c r="L101" t="inlineStr">
        <is>
          <t>Nearest $1</t>
        </is>
      </c>
    </row>
    <row r="102" ht="18" customHeight="1" s="44">
      <c r="B102" s="27" t="inlineStr">
        <is>
          <t>Self-Help</t>
        </is>
      </c>
      <c r="C102" s="55" t="n"/>
    </row>
    <row r="103" ht="30" customHeight="1" s="44">
      <c r="A103" t="inlineStr">
        <is>
          <t>H123</t>
        </is>
      </c>
      <c r="B103" s="2" t="inlineStr">
        <is>
          <t>Student loans from all sources (excluding parent loans)</t>
        </is>
      </c>
      <c r="C103" s="52" t="n">
        <v>50291283</v>
      </c>
      <c r="D103" t="inlineStr">
        <is>
          <t>Financial Aid</t>
        </is>
      </c>
      <c r="E103" t="inlineStr">
        <is>
          <t>Non-need-based Aid Awarded</t>
        </is>
      </c>
      <c r="F103" t="inlineStr">
        <is>
          <t>Degree-seeking</t>
        </is>
      </c>
      <c r="G103" t="inlineStr">
        <is>
          <t>Undergraduate</t>
        </is>
      </c>
      <c r="H103" t="inlineStr">
        <is>
          <t>Undergraduates</t>
        </is>
      </c>
      <c r="I103" t="inlineStr">
        <is>
          <t>All</t>
        </is>
      </c>
      <c r="J103" t="inlineStr">
        <is>
          <t>All</t>
        </is>
      </c>
      <c r="K103" t="inlineStr">
        <is>
          <t>All</t>
        </is>
      </c>
      <c r="L103" t="inlineStr">
        <is>
          <t>Nearest $1</t>
        </is>
      </c>
    </row>
    <row r="104">
      <c r="B104" s="2" t="inlineStr">
        <is>
          <t>Federal Work-Study</t>
        </is>
      </c>
      <c r="C104" s="55" t="n"/>
    </row>
    <row r="105" ht="45" customHeight="1" s="44">
      <c r="A105" t="inlineStr">
        <is>
          <t>H124</t>
        </is>
      </c>
      <c r="B105" s="2" t="inlineStr">
        <is>
          <t>State and other (e.g., institutional) work-study/employment (Note: Excludes Federal Work-Study captured above.)</t>
        </is>
      </c>
      <c r="C105" s="52" t="n">
        <v>0</v>
      </c>
      <c r="D105" t="inlineStr">
        <is>
          <t>Financial Aid</t>
        </is>
      </c>
      <c r="E105" t="inlineStr">
        <is>
          <t>Non-need-based Aid Awarded</t>
        </is>
      </c>
      <c r="F105" t="inlineStr">
        <is>
          <t>Degree-seeking</t>
        </is>
      </c>
      <c r="G105" t="inlineStr">
        <is>
          <t>Undergraduate</t>
        </is>
      </c>
      <c r="H105" t="inlineStr">
        <is>
          <t>Undergraduates</t>
        </is>
      </c>
      <c r="I105" t="inlineStr">
        <is>
          <t>All</t>
        </is>
      </c>
      <c r="J105" t="inlineStr">
        <is>
          <t>All</t>
        </is>
      </c>
      <c r="K105" t="inlineStr">
        <is>
          <t>All</t>
        </is>
      </c>
      <c r="L105" t="inlineStr">
        <is>
          <t>Nearest $1</t>
        </is>
      </c>
    </row>
    <row r="106" ht="18" customHeight="1" s="44">
      <c r="A106" t="inlineStr">
        <is>
          <t>H125</t>
        </is>
      </c>
      <c r="B106" s="27" t="inlineStr">
        <is>
          <t>Total Self-Help</t>
        </is>
      </c>
      <c r="C106" s="54">
        <f>SUM(C103:C105)</f>
        <v/>
      </c>
      <c r="D106" t="inlineStr">
        <is>
          <t>Financial Aid</t>
        </is>
      </c>
      <c r="E106" t="inlineStr">
        <is>
          <t>Non-need-based Aid Awarded</t>
        </is>
      </c>
      <c r="F106" t="inlineStr">
        <is>
          <t>Degree-seeking</t>
        </is>
      </c>
      <c r="G106" t="inlineStr">
        <is>
          <t>Undergraduate</t>
        </is>
      </c>
      <c r="H106" t="inlineStr">
        <is>
          <t>Undergraduates</t>
        </is>
      </c>
      <c r="I106" t="inlineStr">
        <is>
          <t>All</t>
        </is>
      </c>
      <c r="J106" t="inlineStr">
        <is>
          <t>All</t>
        </is>
      </c>
      <c r="K106" t="inlineStr">
        <is>
          <t>All</t>
        </is>
      </c>
      <c r="L106" t="inlineStr">
        <is>
          <t>Nearest $1</t>
        </is>
      </c>
    </row>
    <row r="107" ht="18" customHeight="1" s="44">
      <c r="A107" t="inlineStr">
        <is>
          <t>H126</t>
        </is>
      </c>
      <c r="B107" s="27" t="inlineStr">
        <is>
          <t>Parent Loans</t>
        </is>
      </c>
      <c r="C107" s="52" t="n">
        <v>23453168</v>
      </c>
      <c r="D107" t="inlineStr">
        <is>
          <t>Financial Aid</t>
        </is>
      </c>
      <c r="E107" t="inlineStr">
        <is>
          <t>Non-need-based Aid Awarded</t>
        </is>
      </c>
      <c r="F107" t="inlineStr">
        <is>
          <t>Degree-seeking</t>
        </is>
      </c>
      <c r="G107" t="inlineStr">
        <is>
          <t>Undergraduate</t>
        </is>
      </c>
      <c r="H107" t="inlineStr">
        <is>
          <t>Undergraduates</t>
        </is>
      </c>
      <c r="I107" t="inlineStr">
        <is>
          <t>All</t>
        </is>
      </c>
      <c r="J107" t="inlineStr">
        <is>
          <t>All</t>
        </is>
      </c>
      <c r="K107" t="inlineStr">
        <is>
          <t>All</t>
        </is>
      </c>
      <c r="L107" t="inlineStr">
        <is>
          <t>Nearest $1</t>
        </is>
      </c>
    </row>
    <row r="108" ht="75" customHeight="1" s="44">
      <c r="A108" t="inlineStr">
        <is>
          <t>H127</t>
        </is>
      </c>
      <c r="B108" s="2" t="inlineStr">
        <is>
          <t>Tuition Waivers
Note: Reporting is optional. Report tuition waivers in this row if you choose to report them. Do not report tuition waivers elsewhere.</t>
        </is>
      </c>
      <c r="C108" s="52" t="n">
        <v>287208</v>
      </c>
      <c r="D108" t="inlineStr">
        <is>
          <t>Financial Aid</t>
        </is>
      </c>
      <c r="E108" t="inlineStr">
        <is>
          <t>Non-need-based Aid Awarded</t>
        </is>
      </c>
      <c r="F108" t="inlineStr">
        <is>
          <t>Degree-seeking</t>
        </is>
      </c>
      <c r="G108" t="inlineStr">
        <is>
          <t>Undergraduate</t>
        </is>
      </c>
      <c r="H108" t="inlineStr">
        <is>
          <t>Undergraduates</t>
        </is>
      </c>
      <c r="I108" t="inlineStr">
        <is>
          <t>All</t>
        </is>
      </c>
      <c r="J108" t="inlineStr">
        <is>
          <t>All</t>
        </is>
      </c>
      <c r="K108" t="inlineStr">
        <is>
          <t>All</t>
        </is>
      </c>
      <c r="L108" t="inlineStr">
        <is>
          <t>Nearest $1</t>
        </is>
      </c>
    </row>
    <row r="109" ht="18" customHeight="1" s="44">
      <c r="A109" t="inlineStr">
        <is>
          <t>H128</t>
        </is>
      </c>
      <c r="B109" s="27" t="inlineStr">
        <is>
          <t>Athletic Awards</t>
        </is>
      </c>
      <c r="C109" s="52" t="n">
        <v>12718597</v>
      </c>
      <c r="D109" t="inlineStr">
        <is>
          <t>Financial Aid</t>
        </is>
      </c>
      <c r="E109" t="inlineStr">
        <is>
          <t>Non-need-based Aid Awarded</t>
        </is>
      </c>
      <c r="F109" t="inlineStr">
        <is>
          <t>Degree-seeking</t>
        </is>
      </c>
      <c r="G109" t="inlineStr">
        <is>
          <t>Undergraduate</t>
        </is>
      </c>
      <c r="H109" t="inlineStr">
        <is>
          <t>Undergraduates</t>
        </is>
      </c>
      <c r="I109" t="inlineStr">
        <is>
          <t>All</t>
        </is>
      </c>
      <c r="J109" t="inlineStr">
        <is>
          <t>All</t>
        </is>
      </c>
      <c r="K109" t="inlineStr">
        <is>
          <t>All</t>
        </is>
      </c>
      <c r="L109" t="inlineStr">
        <is>
          <t>Nearest $1</t>
        </is>
      </c>
    </row>
    <row r="110">
      <c r="B110" s="2" t="n"/>
    </row>
    <row r="111"/>
    <row r="112"/>
    <row r="113"/>
    <row r="114"/>
    <row r="115"/>
    <row r="116"/>
    <row r="117"/>
    <row r="118"/>
    <row r="119"/>
    <row r="120"/>
    <row r="121"/>
    <row r="122"/>
    <row r="123"/>
    <row r="124"/>
    <row r="125" ht="18" customHeight="1" s="44"/>
    <row r="126" ht="45" customHeight="1" s="44">
      <c r="A126" t="inlineStr">
        <is>
          <t>H201</t>
        </is>
      </c>
      <c r="B126" s="2" t="inlineStr">
        <is>
          <t>A. Number of degree-seeking undergraduate students (CDS Item B1 if reporting on Fall 2024 cohort)</t>
        </is>
      </c>
      <c r="C126" t="n">
        <v>8491</v>
      </c>
      <c r="D126" t="inlineStr">
        <is>
          <t>Financial Aid</t>
        </is>
      </c>
      <c r="E126" t="inlineStr">
        <is>
          <t>Students Awarded Aid</t>
        </is>
      </c>
      <c r="F126" t="inlineStr">
        <is>
          <t>Degree-seeking</t>
        </is>
      </c>
      <c r="G126" t="inlineStr">
        <is>
          <t>Undergraduate</t>
        </is>
      </c>
      <c r="H126" t="inlineStr">
        <is>
          <t>First-time, first-year</t>
        </is>
      </c>
      <c r="I126" t="inlineStr">
        <is>
          <t>All</t>
        </is>
      </c>
      <c r="J126" t="inlineStr">
        <is>
          <t>FT</t>
        </is>
      </c>
      <c r="K126" t="inlineStr">
        <is>
          <t>All</t>
        </is>
      </c>
      <c r="L126" t="inlineStr">
        <is>
          <t>Number</t>
        </is>
      </c>
    </row>
    <row r="127" ht="30" customHeight="1" s="44">
      <c r="A127" t="inlineStr">
        <is>
          <t>H202</t>
        </is>
      </c>
      <c r="B127" s="2" t="inlineStr">
        <is>
          <t>B. Number of students in line a who applied for need-based financial aid</t>
        </is>
      </c>
      <c r="C127" t="n">
        <v>6175</v>
      </c>
      <c r="D127" t="inlineStr">
        <is>
          <t>Financial Aid</t>
        </is>
      </c>
      <c r="E127" t="inlineStr">
        <is>
          <t>Students Awarded Aid</t>
        </is>
      </c>
      <c r="F127" t="inlineStr">
        <is>
          <t>Degree-seeking</t>
        </is>
      </c>
      <c r="G127" t="inlineStr">
        <is>
          <t>Undergraduate</t>
        </is>
      </c>
      <c r="H127" t="inlineStr">
        <is>
          <t>First-time, first-year</t>
        </is>
      </c>
      <c r="I127" t="inlineStr">
        <is>
          <t>All</t>
        </is>
      </c>
      <c r="J127" t="inlineStr">
        <is>
          <t>FT</t>
        </is>
      </c>
      <c r="K127" t="inlineStr">
        <is>
          <t>All</t>
        </is>
      </c>
      <c r="L127" t="inlineStr">
        <is>
          <t>Number</t>
        </is>
      </c>
    </row>
    <row r="128" ht="30" customHeight="1" s="44">
      <c r="A128" t="inlineStr">
        <is>
          <t>H203</t>
        </is>
      </c>
      <c r="B128" s="2" t="inlineStr">
        <is>
          <t>C. Number of students in line b who were determined to have financial need</t>
        </is>
      </c>
      <c r="C128" t="n">
        <v>3001</v>
      </c>
      <c r="D128" t="inlineStr">
        <is>
          <t>Financial Aid</t>
        </is>
      </c>
      <c r="E128" t="inlineStr">
        <is>
          <t>Students Awarded Aid</t>
        </is>
      </c>
      <c r="F128" t="inlineStr">
        <is>
          <t>Degree-seeking</t>
        </is>
      </c>
      <c r="G128" t="inlineStr">
        <is>
          <t>Undergraduate</t>
        </is>
      </c>
      <c r="H128" t="inlineStr">
        <is>
          <t>First-time, first-year</t>
        </is>
      </c>
      <c r="I128" t="inlineStr">
        <is>
          <t>All</t>
        </is>
      </c>
      <c r="J128" t="inlineStr">
        <is>
          <t>FT</t>
        </is>
      </c>
      <c r="K128" t="inlineStr">
        <is>
          <t>All</t>
        </is>
      </c>
      <c r="L128" t="inlineStr">
        <is>
          <t>Number</t>
        </is>
      </c>
    </row>
    <row r="129" ht="30" customHeight="1" s="44">
      <c r="A129" t="inlineStr">
        <is>
          <t>H204</t>
        </is>
      </c>
      <c r="B129" s="2" t="inlineStr">
        <is>
          <t>D. Number of students in line c who were awarded any financial aid</t>
        </is>
      </c>
      <c r="C129" t="n">
        <v>2814</v>
      </c>
      <c r="D129" t="inlineStr">
        <is>
          <t>Financial Aid</t>
        </is>
      </c>
      <c r="E129" t="inlineStr">
        <is>
          <t>Students Awarded Aid</t>
        </is>
      </c>
      <c r="F129" t="inlineStr">
        <is>
          <t>Degree-seeking</t>
        </is>
      </c>
      <c r="G129" t="inlineStr">
        <is>
          <t>Undergraduate</t>
        </is>
      </c>
      <c r="H129" t="inlineStr">
        <is>
          <t>First-time, first-year</t>
        </is>
      </c>
      <c r="I129" t="inlineStr">
        <is>
          <t>All</t>
        </is>
      </c>
      <c r="J129" t="inlineStr">
        <is>
          <t>FT</t>
        </is>
      </c>
      <c r="K129" t="inlineStr">
        <is>
          <t>All</t>
        </is>
      </c>
      <c r="L129" t="inlineStr">
        <is>
          <t>Number</t>
        </is>
      </c>
    </row>
    <row r="130" ht="45" customHeight="1" s="44">
      <c r="A130" t="inlineStr">
        <is>
          <t>H205</t>
        </is>
      </c>
      <c r="B130" s="2" t="inlineStr">
        <is>
          <t>E. Number of students in line d who were awarded any need-based scholarship or grant aid</t>
        </is>
      </c>
      <c r="C130" t="n">
        <v>2442</v>
      </c>
      <c r="D130" t="inlineStr">
        <is>
          <t>Financial Aid</t>
        </is>
      </c>
      <c r="E130" t="inlineStr">
        <is>
          <t>Students Awarded Aid</t>
        </is>
      </c>
      <c r="F130" t="inlineStr">
        <is>
          <t>Degree-seeking</t>
        </is>
      </c>
      <c r="G130" t="inlineStr">
        <is>
          <t>Undergraduate</t>
        </is>
      </c>
      <c r="H130" t="inlineStr">
        <is>
          <t>First-time, first-year</t>
        </is>
      </c>
      <c r="I130" t="inlineStr">
        <is>
          <t>All</t>
        </is>
      </c>
      <c r="J130" t="inlineStr">
        <is>
          <t>FT</t>
        </is>
      </c>
      <c r="K130" t="inlineStr">
        <is>
          <t>All</t>
        </is>
      </c>
      <c r="L130" t="inlineStr">
        <is>
          <t>Number</t>
        </is>
      </c>
    </row>
    <row r="131" ht="30" customHeight="1" s="44">
      <c r="A131" t="inlineStr">
        <is>
          <t>H206</t>
        </is>
      </c>
      <c r="B131" s="2" t="inlineStr">
        <is>
          <t>F. Number of students in line d who were awarded any need-based self-help aid</t>
        </is>
      </c>
      <c r="C131" t="n">
        <v>2220</v>
      </c>
      <c r="D131" t="inlineStr">
        <is>
          <t>Financial Aid</t>
        </is>
      </c>
      <c r="E131" t="inlineStr">
        <is>
          <t>Students Awarded Aid</t>
        </is>
      </c>
      <c r="F131" t="inlineStr">
        <is>
          <t>Degree-seeking</t>
        </is>
      </c>
      <c r="G131" t="inlineStr">
        <is>
          <t>Undergraduate</t>
        </is>
      </c>
      <c r="H131" t="inlineStr">
        <is>
          <t>First-time, first-year</t>
        </is>
      </c>
      <c r="I131" t="inlineStr">
        <is>
          <t>All</t>
        </is>
      </c>
      <c r="J131" t="inlineStr">
        <is>
          <t>FT</t>
        </is>
      </c>
      <c r="K131" t="inlineStr">
        <is>
          <t>All</t>
        </is>
      </c>
      <c r="L131" t="inlineStr">
        <is>
          <t>Number</t>
        </is>
      </c>
    </row>
    <row r="132" ht="45" customHeight="1" s="44">
      <c r="A132" t="inlineStr">
        <is>
          <t>H207</t>
        </is>
      </c>
      <c r="B132" s="2" t="inlineStr">
        <is>
          <t>G. Number of students in line d who were awarded any non-need-based scholarship or grant aid</t>
        </is>
      </c>
      <c r="C132" t="n">
        <v>198</v>
      </c>
      <c r="D132" t="inlineStr">
        <is>
          <t>Financial Aid</t>
        </is>
      </c>
      <c r="E132" t="inlineStr">
        <is>
          <t>Students Awarded Aid</t>
        </is>
      </c>
      <c r="F132" t="inlineStr">
        <is>
          <t>Degree-seeking</t>
        </is>
      </c>
      <c r="G132" t="inlineStr">
        <is>
          <t>Undergraduate</t>
        </is>
      </c>
      <c r="H132" t="inlineStr">
        <is>
          <t>First-time, first-year</t>
        </is>
      </c>
      <c r="I132" t="inlineStr">
        <is>
          <t>All</t>
        </is>
      </c>
      <c r="J132" t="inlineStr">
        <is>
          <t>FT</t>
        </is>
      </c>
      <c r="K132" t="inlineStr">
        <is>
          <t>All</t>
        </is>
      </c>
      <c r="L132" t="inlineStr">
        <is>
          <t>Number</t>
        </is>
      </c>
    </row>
    <row r="133" ht="15.6" customHeight="1" s="44">
      <c r="A133" t="inlineStr">
        <is>
          <t>H208</t>
        </is>
      </c>
      <c r="B133" s="2" t="inlineStr">
        <is>
          <t>H. Number of students in line d whose need was fully met (exclude PLUS loans, unsubsidized loans, and private alternative loans)</t>
        </is>
      </c>
      <c r="C133" t="n">
        <v>2192</v>
      </c>
      <c r="D133" t="inlineStr">
        <is>
          <t>Financial Aid</t>
        </is>
      </c>
      <c r="E133" t="inlineStr">
        <is>
          <t>Students Awarded Aid</t>
        </is>
      </c>
      <c r="F133" t="inlineStr">
        <is>
          <t>Degree-seeking</t>
        </is>
      </c>
      <c r="G133" t="inlineStr">
        <is>
          <t>Undergraduate</t>
        </is>
      </c>
      <c r="H133" t="inlineStr">
        <is>
          <t>First-time, first-year</t>
        </is>
      </c>
      <c r="I133" t="inlineStr">
        <is>
          <t>All</t>
        </is>
      </c>
      <c r="J133" t="inlineStr">
        <is>
          <t>FT</t>
        </is>
      </c>
      <c r="K133" t="inlineStr">
        <is>
          <t>All</t>
        </is>
      </c>
      <c r="L133" t="inlineStr">
        <is>
          <t>Number</t>
        </is>
      </c>
    </row>
    <row r="134" ht="15.6" customHeight="1" s="44">
      <c r="B134" s="2" t="n"/>
    </row>
    <row r="135" ht="105" customHeight="1" s="44">
      <c r="A135" t="inlineStr">
        <is>
          <t>H209</t>
        </is>
      </c>
      <c r="B135"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35" s="42" t="n">
        <v>0.89</v>
      </c>
      <c r="D135" t="inlineStr">
        <is>
          <t>Financial Aid</t>
        </is>
      </c>
      <c r="E135" t="inlineStr">
        <is>
          <t>Students Awarded Aid</t>
        </is>
      </c>
      <c r="F135" t="inlineStr">
        <is>
          <t>Degree-seeking</t>
        </is>
      </c>
      <c r="G135" t="inlineStr">
        <is>
          <t>Undergraduate</t>
        </is>
      </c>
      <c r="H135" t="inlineStr">
        <is>
          <t>First-time, first-year</t>
        </is>
      </c>
      <c r="I135" t="inlineStr">
        <is>
          <t>All</t>
        </is>
      </c>
      <c r="J135" t="inlineStr">
        <is>
          <t>FT</t>
        </is>
      </c>
      <c r="K135" t="inlineStr">
        <is>
          <t>All</t>
        </is>
      </c>
      <c r="L135" t="inlineStr">
        <is>
          <t>Nearest 1%</t>
        </is>
      </c>
    </row>
    <row r="136">
      <c r="B136" s="2" t="n"/>
    </row>
    <row r="137" ht="75" customHeight="1" s="44">
      <c r="A137" t="inlineStr">
        <is>
          <t>H210</t>
        </is>
      </c>
      <c r="B137" s="2" t="inlineStr">
        <is>
          <t>J. The average financial aid package of those in line d. Exclude any resources that were awarded to replace EFC (PLUS loans, unsubsidized loans, and private alternative loans)</t>
        </is>
      </c>
      <c r="C137" s="56" t="n">
        <v>31125</v>
      </c>
      <c r="D137" t="inlineStr">
        <is>
          <t>Financial Aid</t>
        </is>
      </c>
      <c r="E137" t="inlineStr">
        <is>
          <t>Students Awarded Aid</t>
        </is>
      </c>
      <c r="F137" t="inlineStr">
        <is>
          <t>Degree-seeking</t>
        </is>
      </c>
      <c r="G137" t="inlineStr">
        <is>
          <t>Undergraduate</t>
        </is>
      </c>
      <c r="H137" t="inlineStr">
        <is>
          <t>First-time, first-year</t>
        </is>
      </c>
      <c r="I137" t="inlineStr">
        <is>
          <t>All</t>
        </is>
      </c>
      <c r="J137" t="inlineStr">
        <is>
          <t>FT</t>
        </is>
      </c>
      <c r="K137" t="inlineStr">
        <is>
          <t>All</t>
        </is>
      </c>
      <c r="L137" t="inlineStr">
        <is>
          <t>Nearest $1</t>
        </is>
      </c>
    </row>
    <row r="138" ht="30" customHeight="1" s="44">
      <c r="A138" t="inlineStr">
        <is>
          <t>H211</t>
        </is>
      </c>
      <c r="B138" s="2" t="inlineStr">
        <is>
          <t>K. Average need-based scholarship and grant award of those in line e</t>
        </is>
      </c>
      <c r="C138" s="56" t="n">
        <v>30820</v>
      </c>
      <c r="D138" t="inlineStr">
        <is>
          <t>Financial Aid</t>
        </is>
      </c>
      <c r="E138" t="inlineStr">
        <is>
          <t>Students Awarded Aid</t>
        </is>
      </c>
      <c r="F138" t="inlineStr">
        <is>
          <t>Degree-seeking</t>
        </is>
      </c>
      <c r="G138" t="inlineStr">
        <is>
          <t>Undergraduate</t>
        </is>
      </c>
      <c r="H138" t="inlineStr">
        <is>
          <t>First-time, first-year</t>
        </is>
      </c>
      <c r="I138" t="inlineStr">
        <is>
          <t>All</t>
        </is>
      </c>
      <c r="J138" t="inlineStr">
        <is>
          <t>FT</t>
        </is>
      </c>
      <c r="K138" t="inlineStr">
        <is>
          <t>All</t>
        </is>
      </c>
      <c r="L138" t="inlineStr">
        <is>
          <t>Nearest $1</t>
        </is>
      </c>
    </row>
    <row r="139" ht="60" customHeight="1" s="44">
      <c r="A139" t="inlineStr">
        <is>
          <t>H212</t>
        </is>
      </c>
      <c r="B139" s="2" t="inlineStr">
        <is>
          <t>L. Average need-based self-help award (excluding PLUS loans, unsubsidized loans, and private alternative loans) of those in line f</t>
        </is>
      </c>
      <c r="C139" s="56" t="n">
        <v>4855</v>
      </c>
      <c r="D139" t="inlineStr">
        <is>
          <t>Financial Aid</t>
        </is>
      </c>
      <c r="E139" t="inlineStr">
        <is>
          <t>Students Awarded Aid</t>
        </is>
      </c>
      <c r="F139" t="inlineStr">
        <is>
          <t>Degree-seeking</t>
        </is>
      </c>
      <c r="G139" t="inlineStr">
        <is>
          <t>Undergraduate</t>
        </is>
      </c>
      <c r="H139" t="inlineStr">
        <is>
          <t>First-time, first-year</t>
        </is>
      </c>
      <c r="I139" t="inlineStr">
        <is>
          <t>All</t>
        </is>
      </c>
      <c r="J139" t="inlineStr">
        <is>
          <t>FT</t>
        </is>
      </c>
      <c r="K139" t="inlineStr">
        <is>
          <t>All</t>
        </is>
      </c>
      <c r="L139" t="inlineStr">
        <is>
          <t>Nearest $1</t>
        </is>
      </c>
    </row>
    <row r="140" ht="60" customHeight="1" s="44">
      <c r="A140" t="inlineStr">
        <is>
          <t>H213</t>
        </is>
      </c>
      <c r="B140" s="2" t="inlineStr">
        <is>
          <t>M. Average need-based loan (excluding PLUS loans, unsubsidized loans, and private alternative loans) of those in line f who were awarded a need-based loan</t>
        </is>
      </c>
      <c r="C140" s="56" t="n">
        <v>2225</v>
      </c>
      <c r="D140" t="inlineStr">
        <is>
          <t>Financial Aid</t>
        </is>
      </c>
      <c r="E140" t="inlineStr">
        <is>
          <t>Students Awarded Aid</t>
        </is>
      </c>
      <c r="F140" t="inlineStr">
        <is>
          <t>Degree-seeking</t>
        </is>
      </c>
      <c r="G140" t="inlineStr">
        <is>
          <t>Undergraduate</t>
        </is>
      </c>
      <c r="H140" t="inlineStr">
        <is>
          <t>First-time, first-year</t>
        </is>
      </c>
      <c r="I140" t="inlineStr">
        <is>
          <t>All</t>
        </is>
      </c>
      <c r="J140" t="inlineStr">
        <is>
          <t>FT</t>
        </is>
      </c>
      <c r="K140" t="inlineStr">
        <is>
          <t>All</t>
        </is>
      </c>
      <c r="L140" t="inlineStr">
        <is>
          <t>Nearest $1</t>
        </is>
      </c>
    </row>
    <row r="141">
      <c r="B141" s="2" t="n"/>
    </row>
    <row r="142">
      <c r="B142" s="2" t="n"/>
    </row>
    <row r="143"/>
    <row r="144" ht="45" customHeight="1" s="44">
      <c r="A144" t="inlineStr">
        <is>
          <t>H214</t>
        </is>
      </c>
      <c r="B144" s="2" t="inlineStr">
        <is>
          <t>A. Number of degree-seeking undergraduate students (CDS Item B1 if reporting on Fall 2024 cohort)</t>
        </is>
      </c>
      <c r="C144" t="n">
        <v>35196</v>
      </c>
      <c r="D144" t="inlineStr">
        <is>
          <t>Financial Aid</t>
        </is>
      </c>
      <c r="E144" t="inlineStr">
        <is>
          <t>Students Awarded Aid</t>
        </is>
      </c>
      <c r="F144" t="inlineStr">
        <is>
          <t>Degree-seeking</t>
        </is>
      </c>
      <c r="G144" t="inlineStr">
        <is>
          <t>Undergraduate</t>
        </is>
      </c>
      <c r="H144" t="inlineStr">
        <is>
          <t>Undergraduates</t>
        </is>
      </c>
      <c r="I144" t="inlineStr">
        <is>
          <t>All</t>
        </is>
      </c>
      <c r="J144" t="inlineStr">
        <is>
          <t>FT</t>
        </is>
      </c>
      <c r="K144" t="inlineStr">
        <is>
          <t>All</t>
        </is>
      </c>
      <c r="L144" t="inlineStr">
        <is>
          <t>Number</t>
        </is>
      </c>
    </row>
    <row r="145" ht="30" customHeight="1" s="44">
      <c r="A145" t="inlineStr">
        <is>
          <t>H215</t>
        </is>
      </c>
      <c r="B145" s="2" t="inlineStr">
        <is>
          <t>B. Number of students in line a who applied for need-based financial aid</t>
        </is>
      </c>
      <c r="C145" t="n">
        <v>18643</v>
      </c>
      <c r="D145" t="inlineStr">
        <is>
          <t>Financial Aid</t>
        </is>
      </c>
      <c r="E145" t="inlineStr">
        <is>
          <t>Students Awarded Aid</t>
        </is>
      </c>
      <c r="F145" t="inlineStr">
        <is>
          <t>Degree-seeking</t>
        </is>
      </c>
      <c r="G145" t="inlineStr">
        <is>
          <t>Undergraduate</t>
        </is>
      </c>
      <c r="H145" t="inlineStr">
        <is>
          <t>Undergraduates</t>
        </is>
      </c>
      <c r="I145" t="inlineStr">
        <is>
          <t>All</t>
        </is>
      </c>
      <c r="J145" t="inlineStr">
        <is>
          <t>FT</t>
        </is>
      </c>
      <c r="K145" t="inlineStr">
        <is>
          <t>All</t>
        </is>
      </c>
      <c r="L145" t="inlineStr">
        <is>
          <t>Number</t>
        </is>
      </c>
    </row>
    <row r="146" ht="30" customHeight="1" s="44">
      <c r="A146" t="inlineStr">
        <is>
          <t>H216</t>
        </is>
      </c>
      <c r="B146" s="2" t="inlineStr">
        <is>
          <t>C. Number of students in line b who were determined to have financial need</t>
        </is>
      </c>
      <c r="C146" t="n">
        <v>10876</v>
      </c>
      <c r="D146" t="inlineStr">
        <is>
          <t>Financial Aid</t>
        </is>
      </c>
      <c r="E146" t="inlineStr">
        <is>
          <t>Students Awarded Aid</t>
        </is>
      </c>
      <c r="F146" t="inlineStr">
        <is>
          <t>Degree-seeking</t>
        </is>
      </c>
      <c r="G146" t="inlineStr">
        <is>
          <t>Undergraduate</t>
        </is>
      </c>
      <c r="H146" t="inlineStr">
        <is>
          <t>Undergraduates</t>
        </is>
      </c>
      <c r="I146" t="inlineStr">
        <is>
          <t>All</t>
        </is>
      </c>
      <c r="J146" t="inlineStr">
        <is>
          <t>FT</t>
        </is>
      </c>
      <c r="K146" t="inlineStr">
        <is>
          <t>All</t>
        </is>
      </c>
      <c r="L146" t="inlineStr">
        <is>
          <t>Number</t>
        </is>
      </c>
    </row>
    <row r="147" ht="30" customHeight="1" s="44">
      <c r="A147" t="inlineStr">
        <is>
          <t>H217</t>
        </is>
      </c>
      <c r="B147" s="2" t="inlineStr">
        <is>
          <t>D. Number of students in line c who were awarded any financial aid</t>
        </is>
      </c>
      <c r="C147" t="n">
        <v>10338</v>
      </c>
      <c r="D147" t="inlineStr">
        <is>
          <t>Financial Aid</t>
        </is>
      </c>
      <c r="E147" t="inlineStr">
        <is>
          <t>Students Awarded Aid</t>
        </is>
      </c>
      <c r="F147" t="inlineStr">
        <is>
          <t>Degree-seeking</t>
        </is>
      </c>
      <c r="G147" t="inlineStr">
        <is>
          <t>Undergraduate</t>
        </is>
      </c>
      <c r="H147" t="inlineStr">
        <is>
          <t>Undergraduates</t>
        </is>
      </c>
      <c r="I147" t="inlineStr">
        <is>
          <t>All</t>
        </is>
      </c>
      <c r="J147" t="inlineStr">
        <is>
          <t>FT</t>
        </is>
      </c>
      <c r="K147" t="inlineStr">
        <is>
          <t>All</t>
        </is>
      </c>
      <c r="L147" t="inlineStr">
        <is>
          <t>Number</t>
        </is>
      </c>
    </row>
    <row r="148" ht="45" customHeight="1" s="44">
      <c r="A148" t="inlineStr">
        <is>
          <t>H218</t>
        </is>
      </c>
      <c r="B148" s="2" t="inlineStr">
        <is>
          <t>E. Number of students in line d who were awarded any need-based scholarship or grant aid</t>
        </is>
      </c>
      <c r="C148" t="n">
        <v>8954</v>
      </c>
      <c r="D148" t="inlineStr">
        <is>
          <t>Financial Aid</t>
        </is>
      </c>
      <c r="E148" t="inlineStr">
        <is>
          <t>Students Awarded Aid</t>
        </is>
      </c>
      <c r="F148" t="inlineStr">
        <is>
          <t>Degree-seeking</t>
        </is>
      </c>
      <c r="G148" t="inlineStr">
        <is>
          <t>Undergraduate</t>
        </is>
      </c>
      <c r="H148" t="inlineStr">
        <is>
          <t>Undergraduates</t>
        </is>
      </c>
      <c r="I148" t="inlineStr">
        <is>
          <t>All</t>
        </is>
      </c>
      <c r="J148" t="inlineStr">
        <is>
          <t>FT</t>
        </is>
      </c>
      <c r="K148" t="inlineStr">
        <is>
          <t>All</t>
        </is>
      </c>
      <c r="L148" t="inlineStr">
        <is>
          <t>Number</t>
        </is>
      </c>
    </row>
    <row r="149" ht="30" customHeight="1" s="44">
      <c r="A149" t="inlineStr">
        <is>
          <t>H219</t>
        </is>
      </c>
      <c r="B149" s="2" t="inlineStr">
        <is>
          <t>F. Number of students in line d who were awarded any need-based self-help aid</t>
        </is>
      </c>
      <c r="C149" t="n">
        <v>7602</v>
      </c>
      <c r="D149" t="inlineStr">
        <is>
          <t>Financial Aid</t>
        </is>
      </c>
      <c r="E149" t="inlineStr">
        <is>
          <t>Students Awarded Aid</t>
        </is>
      </c>
      <c r="F149" t="inlineStr">
        <is>
          <t>Degree-seeking</t>
        </is>
      </c>
      <c r="G149" t="inlineStr">
        <is>
          <t>Undergraduate</t>
        </is>
      </c>
      <c r="H149" t="inlineStr">
        <is>
          <t>Undergraduates</t>
        </is>
      </c>
      <c r="I149" t="inlineStr">
        <is>
          <t>All</t>
        </is>
      </c>
      <c r="J149" t="inlineStr">
        <is>
          <t>FT</t>
        </is>
      </c>
      <c r="K149" t="inlineStr">
        <is>
          <t>All</t>
        </is>
      </c>
      <c r="L149" t="inlineStr">
        <is>
          <t>Number</t>
        </is>
      </c>
    </row>
    <row r="150" ht="45" customHeight="1" s="44">
      <c r="A150" t="inlineStr">
        <is>
          <t>H220</t>
        </is>
      </c>
      <c r="B150" s="2" t="inlineStr">
        <is>
          <t>G. Number of students in line d who were awarded any non-need-based scholarship or grant aid</t>
        </is>
      </c>
      <c r="C150" t="n">
        <v>751</v>
      </c>
      <c r="D150" t="inlineStr">
        <is>
          <t>Financial Aid</t>
        </is>
      </c>
      <c r="E150" t="inlineStr">
        <is>
          <t>Students Awarded Aid</t>
        </is>
      </c>
      <c r="F150" t="inlineStr">
        <is>
          <t>Degree-seeking</t>
        </is>
      </c>
      <c r="G150" t="inlineStr">
        <is>
          <t>Undergraduate</t>
        </is>
      </c>
      <c r="H150" t="inlineStr">
        <is>
          <t>Undergraduates</t>
        </is>
      </c>
      <c r="I150" t="inlineStr">
        <is>
          <t>All</t>
        </is>
      </c>
      <c r="J150" t="inlineStr">
        <is>
          <t>FT</t>
        </is>
      </c>
      <c r="K150" t="inlineStr">
        <is>
          <t>All</t>
        </is>
      </c>
      <c r="L150" t="inlineStr">
        <is>
          <t>Number</t>
        </is>
      </c>
    </row>
    <row r="151" ht="15.6" customHeight="1" s="44">
      <c r="A151" t="inlineStr">
        <is>
          <t>H221</t>
        </is>
      </c>
      <c r="B151" s="8" t="inlineStr">
        <is>
          <t>H. Number of students in line d whose need was fully met (exclude PLUS loans, unsubsidized loans, and private alternative loans)</t>
        </is>
      </c>
      <c r="C151" t="n">
        <v>6640</v>
      </c>
      <c r="D151" t="inlineStr">
        <is>
          <t>Financial Aid</t>
        </is>
      </c>
      <c r="E151" t="inlineStr">
        <is>
          <t>Students Awarded Aid</t>
        </is>
      </c>
      <c r="F151" t="inlineStr">
        <is>
          <t>Degree-seeking</t>
        </is>
      </c>
      <c r="G151" t="inlineStr">
        <is>
          <t>Undergraduate</t>
        </is>
      </c>
      <c r="H151" t="inlineStr">
        <is>
          <t>Undergraduates</t>
        </is>
      </c>
      <c r="I151" t="inlineStr">
        <is>
          <t>All</t>
        </is>
      </c>
      <c r="J151" t="inlineStr">
        <is>
          <t>FT</t>
        </is>
      </c>
      <c r="K151" t="inlineStr">
        <is>
          <t>All</t>
        </is>
      </c>
      <c r="L151" t="inlineStr">
        <is>
          <t>Number</t>
        </is>
      </c>
    </row>
    <row r="152" ht="15.6" customHeight="1" s="44">
      <c r="B152" s="2" t="n"/>
    </row>
    <row r="153" ht="105" customHeight="1" s="44">
      <c r="A153" t="inlineStr">
        <is>
          <t>H222</t>
        </is>
      </c>
      <c r="B153"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53" s="29" t="n">
        <v>0.841</v>
      </c>
      <c r="D153" t="inlineStr">
        <is>
          <t>Financial Aid</t>
        </is>
      </c>
      <c r="E153" t="inlineStr">
        <is>
          <t>Students Awarded Aid</t>
        </is>
      </c>
      <c r="F153" t="inlineStr">
        <is>
          <t>Degree-seeking</t>
        </is>
      </c>
      <c r="G153" t="inlineStr">
        <is>
          <t>Undergraduate</t>
        </is>
      </c>
      <c r="H153" t="inlineStr">
        <is>
          <t>Undergraduates</t>
        </is>
      </c>
      <c r="I153" t="inlineStr">
        <is>
          <t>All</t>
        </is>
      </c>
      <c r="J153" t="inlineStr">
        <is>
          <t>FT</t>
        </is>
      </c>
      <c r="K153" t="inlineStr">
        <is>
          <t>All</t>
        </is>
      </c>
      <c r="L153" t="inlineStr">
        <is>
          <t>Nearest 1%</t>
        </is>
      </c>
    </row>
    <row r="154">
      <c r="B154" s="2" t="n"/>
    </row>
    <row r="155" ht="75" customHeight="1" s="44">
      <c r="A155" t="inlineStr">
        <is>
          <t>H223</t>
        </is>
      </c>
      <c r="B155" s="2" t="inlineStr">
        <is>
          <t>J. The average financial aid package of those in line d. Exclude any resources that were awarded to replace EFC (PLUS loans, unsubsidized loans, and private alternative loans)</t>
        </is>
      </c>
      <c r="C155" s="56" t="n">
        <v>25909</v>
      </c>
      <c r="D155" t="inlineStr">
        <is>
          <t>Financial Aid</t>
        </is>
      </c>
      <c r="E155" t="inlineStr">
        <is>
          <t>Students Awarded Aid</t>
        </is>
      </c>
      <c r="F155" t="inlineStr">
        <is>
          <t>Degree-seeking</t>
        </is>
      </c>
      <c r="G155" t="inlineStr">
        <is>
          <t>Undergraduate</t>
        </is>
      </c>
      <c r="H155" t="inlineStr">
        <is>
          <t>Undergraduates</t>
        </is>
      </c>
      <c r="I155" t="inlineStr">
        <is>
          <t>All</t>
        </is>
      </c>
      <c r="J155" t="inlineStr">
        <is>
          <t>FT</t>
        </is>
      </c>
      <c r="K155" t="inlineStr">
        <is>
          <t>All</t>
        </is>
      </c>
      <c r="L155" t="inlineStr">
        <is>
          <t>Nearest $1</t>
        </is>
      </c>
    </row>
    <row r="156" ht="30" customHeight="1" s="44">
      <c r="A156" t="inlineStr">
        <is>
          <t>H224</t>
        </is>
      </c>
      <c r="B156" s="2" t="inlineStr">
        <is>
          <t>K. Average need-based scholarship and grant award of those in line e</t>
        </is>
      </c>
      <c r="C156" s="56" t="n">
        <v>24442</v>
      </c>
      <c r="D156" t="inlineStr">
        <is>
          <t>Financial Aid</t>
        </is>
      </c>
      <c r="E156" t="inlineStr">
        <is>
          <t>Students Awarded Aid</t>
        </is>
      </c>
      <c r="F156" t="inlineStr">
        <is>
          <t>Degree-seeking</t>
        </is>
      </c>
      <c r="G156" t="inlineStr">
        <is>
          <t>Undergraduate</t>
        </is>
      </c>
      <c r="H156" t="inlineStr">
        <is>
          <t>Undergraduates</t>
        </is>
      </c>
      <c r="I156" t="inlineStr">
        <is>
          <t>All</t>
        </is>
      </c>
      <c r="J156" t="inlineStr">
        <is>
          <t>FT</t>
        </is>
      </c>
      <c r="K156" t="inlineStr">
        <is>
          <t>All</t>
        </is>
      </c>
      <c r="L156" t="inlineStr">
        <is>
          <t>Nearest $1</t>
        </is>
      </c>
    </row>
    <row r="157" ht="60" customHeight="1" s="44">
      <c r="A157" t="inlineStr">
        <is>
          <t>H225</t>
        </is>
      </c>
      <c r="B157" s="2" t="inlineStr">
        <is>
          <t>L. Average need-based self-help award (excluding PLUS loans, unsubsidized loans, and private alternative loans) of those in line f</t>
        </is>
      </c>
      <c r="C157" s="56" t="n">
        <v>5651</v>
      </c>
      <c r="D157" t="inlineStr">
        <is>
          <t>Financial Aid</t>
        </is>
      </c>
      <c r="E157" t="inlineStr">
        <is>
          <t>Students Awarded Aid</t>
        </is>
      </c>
      <c r="F157" t="inlineStr">
        <is>
          <t>Degree-seeking</t>
        </is>
      </c>
      <c r="G157" t="inlineStr">
        <is>
          <t>Undergraduate</t>
        </is>
      </c>
      <c r="H157" t="inlineStr">
        <is>
          <t>Undergraduates</t>
        </is>
      </c>
      <c r="I157" t="inlineStr">
        <is>
          <t>All</t>
        </is>
      </c>
      <c r="J157" t="inlineStr">
        <is>
          <t>FT</t>
        </is>
      </c>
      <c r="K157" t="inlineStr">
        <is>
          <t>All</t>
        </is>
      </c>
      <c r="L157" t="inlineStr">
        <is>
          <t>Nearest $1</t>
        </is>
      </c>
    </row>
    <row r="158" ht="60" customHeight="1" s="44">
      <c r="A158" t="inlineStr">
        <is>
          <t>H226</t>
        </is>
      </c>
      <c r="B158" s="2" t="inlineStr">
        <is>
          <t>M. Average need-based loan (excluding PLUS loans, unsubsidized loans, and private alternative loans) of those in line f who were awarded a need-based loan</t>
        </is>
      </c>
      <c r="C158" s="56" t="n">
        <v>3157</v>
      </c>
      <c r="D158" t="inlineStr">
        <is>
          <t>Financial Aid</t>
        </is>
      </c>
      <c r="E158" t="inlineStr">
        <is>
          <t>Students Awarded Aid</t>
        </is>
      </c>
      <c r="F158" t="inlineStr">
        <is>
          <t>Degree-seeking</t>
        </is>
      </c>
      <c r="G158" t="inlineStr">
        <is>
          <t>Undergraduate</t>
        </is>
      </c>
      <c r="H158" t="inlineStr">
        <is>
          <t>Undergraduates</t>
        </is>
      </c>
      <c r="I158" t="inlineStr">
        <is>
          <t>All</t>
        </is>
      </c>
      <c r="J158" t="inlineStr">
        <is>
          <t>FT</t>
        </is>
      </c>
      <c r="K158" t="inlineStr">
        <is>
          <t>All</t>
        </is>
      </c>
      <c r="L158" t="inlineStr">
        <is>
          <t>Nearest $1</t>
        </is>
      </c>
    </row>
    <row r="159">
      <c r="B159" s="2" t="n"/>
    </row>
    <row r="160">
      <c r="B160" s="2" t="n"/>
    </row>
    <row r="161"/>
    <row r="162" ht="45" customHeight="1" s="44">
      <c r="A162" t="inlineStr">
        <is>
          <t>H227</t>
        </is>
      </c>
      <c r="B162" s="2" t="inlineStr">
        <is>
          <t>A. Number of degree-seeking undergraduate students (CDS Item B1 if reporting on Fall 2024 cohort)</t>
        </is>
      </c>
      <c r="C162" t="n">
        <v>1706</v>
      </c>
      <c r="D162" t="inlineStr">
        <is>
          <t>Financial Aid</t>
        </is>
      </c>
      <c r="E162" t="inlineStr">
        <is>
          <t>Students Awarded Aid</t>
        </is>
      </c>
      <c r="F162" t="inlineStr">
        <is>
          <t>Degree-seeking</t>
        </is>
      </c>
      <c r="G162" t="inlineStr">
        <is>
          <t>Undergraduate</t>
        </is>
      </c>
      <c r="H162" t="inlineStr">
        <is>
          <t>Undergraduates</t>
        </is>
      </c>
      <c r="I162" t="inlineStr">
        <is>
          <t>All</t>
        </is>
      </c>
      <c r="J162" t="inlineStr">
        <is>
          <t>PT</t>
        </is>
      </c>
      <c r="K162" t="inlineStr">
        <is>
          <t>All</t>
        </is>
      </c>
      <c r="L162" t="inlineStr">
        <is>
          <t>Number</t>
        </is>
      </c>
    </row>
    <row r="163" ht="30" customHeight="1" s="44">
      <c r="A163" t="inlineStr">
        <is>
          <t>H228</t>
        </is>
      </c>
      <c r="B163" s="2" t="inlineStr">
        <is>
          <t>B. Number of students in line a who applied for need-based financial aid</t>
        </is>
      </c>
      <c r="C163" t="n">
        <v>608</v>
      </c>
      <c r="D163" t="inlineStr">
        <is>
          <t>Financial Aid</t>
        </is>
      </c>
      <c r="E163" t="inlineStr">
        <is>
          <t>Students Awarded Aid</t>
        </is>
      </c>
      <c r="F163" t="inlineStr">
        <is>
          <t>Degree-seeking</t>
        </is>
      </c>
      <c r="G163" t="inlineStr">
        <is>
          <t>Undergraduate</t>
        </is>
      </c>
      <c r="H163" t="inlineStr">
        <is>
          <t>Undergraduates</t>
        </is>
      </c>
      <c r="I163" t="inlineStr">
        <is>
          <t>All</t>
        </is>
      </c>
      <c r="J163" t="inlineStr">
        <is>
          <t>PT</t>
        </is>
      </c>
      <c r="K163" t="inlineStr">
        <is>
          <t>All</t>
        </is>
      </c>
      <c r="L163" t="inlineStr">
        <is>
          <t>Number</t>
        </is>
      </c>
    </row>
    <row r="164" ht="30" customHeight="1" s="44">
      <c r="A164" t="inlineStr">
        <is>
          <t>H229</t>
        </is>
      </c>
      <c r="B164" s="2" t="inlineStr">
        <is>
          <t>C. Number of students in line b who were determined to have financial need</t>
        </is>
      </c>
      <c r="C164" t="n">
        <v>386</v>
      </c>
      <c r="D164" t="inlineStr">
        <is>
          <t>Financial Aid</t>
        </is>
      </c>
      <c r="E164" t="inlineStr">
        <is>
          <t>Students Awarded Aid</t>
        </is>
      </c>
      <c r="F164" t="inlineStr">
        <is>
          <t>Degree-seeking</t>
        </is>
      </c>
      <c r="G164" t="inlineStr">
        <is>
          <t>Undergraduate</t>
        </is>
      </c>
      <c r="H164" t="inlineStr">
        <is>
          <t>Undergraduates</t>
        </is>
      </c>
      <c r="I164" t="inlineStr">
        <is>
          <t>All</t>
        </is>
      </c>
      <c r="J164" t="inlineStr">
        <is>
          <t>PT</t>
        </is>
      </c>
      <c r="K164" t="inlineStr">
        <is>
          <t>All</t>
        </is>
      </c>
      <c r="L164" t="inlineStr">
        <is>
          <t>Number</t>
        </is>
      </c>
    </row>
    <row r="165" ht="30" customHeight="1" s="44">
      <c r="A165" t="inlineStr">
        <is>
          <t>H230</t>
        </is>
      </c>
      <c r="B165" s="2" t="inlineStr">
        <is>
          <t>D. Number of students in line c who were awarded any financial aid</t>
        </is>
      </c>
      <c r="C165" t="n">
        <v>356</v>
      </c>
      <c r="D165" t="inlineStr">
        <is>
          <t>Financial Aid</t>
        </is>
      </c>
      <c r="E165" t="inlineStr">
        <is>
          <t>Students Awarded Aid</t>
        </is>
      </c>
      <c r="F165" t="inlineStr">
        <is>
          <t>Degree-seeking</t>
        </is>
      </c>
      <c r="G165" t="inlineStr">
        <is>
          <t>Undergraduate</t>
        </is>
      </c>
      <c r="H165" t="inlineStr">
        <is>
          <t>Undergraduates</t>
        </is>
      </c>
      <c r="I165" t="inlineStr">
        <is>
          <t>All</t>
        </is>
      </c>
      <c r="J165" t="inlineStr">
        <is>
          <t>PT</t>
        </is>
      </c>
      <c r="K165" t="inlineStr">
        <is>
          <t>All</t>
        </is>
      </c>
      <c r="L165" t="inlineStr">
        <is>
          <t>Number</t>
        </is>
      </c>
    </row>
    <row r="166" ht="45" customHeight="1" s="44">
      <c r="A166" t="inlineStr">
        <is>
          <t>H231</t>
        </is>
      </c>
      <c r="B166" s="2" t="inlineStr">
        <is>
          <t>E. Number of students in line d who were awarded any need-based scholarship or grant aid</t>
        </is>
      </c>
      <c r="C166" t="n">
        <v>310</v>
      </c>
      <c r="D166" t="inlineStr">
        <is>
          <t>Financial Aid</t>
        </is>
      </c>
      <c r="E166" t="inlineStr">
        <is>
          <t>Students Awarded Aid</t>
        </is>
      </c>
      <c r="F166" t="inlineStr">
        <is>
          <t>Degree-seeking</t>
        </is>
      </c>
      <c r="G166" t="inlineStr">
        <is>
          <t>Undergraduate</t>
        </is>
      </c>
      <c r="H166" t="inlineStr">
        <is>
          <t>Undergraduates</t>
        </is>
      </c>
      <c r="I166" t="inlineStr">
        <is>
          <t>All</t>
        </is>
      </c>
      <c r="J166" t="inlineStr">
        <is>
          <t>PT</t>
        </is>
      </c>
      <c r="K166" t="inlineStr">
        <is>
          <t>All</t>
        </is>
      </c>
      <c r="L166" t="inlineStr">
        <is>
          <t>Number</t>
        </is>
      </c>
    </row>
    <row r="167" ht="30" customHeight="1" s="44">
      <c r="A167" t="inlineStr">
        <is>
          <t>H232</t>
        </is>
      </c>
      <c r="B167" s="2" t="inlineStr">
        <is>
          <t>F. Number of students in line d who were awarded any need-based self-help aid</t>
        </is>
      </c>
      <c r="C167" t="n">
        <v>233</v>
      </c>
      <c r="D167" t="inlineStr">
        <is>
          <t>Financial Aid</t>
        </is>
      </c>
      <c r="E167" t="inlineStr">
        <is>
          <t>Students Awarded Aid</t>
        </is>
      </c>
      <c r="F167" t="inlineStr">
        <is>
          <t>Degree-seeking</t>
        </is>
      </c>
      <c r="G167" t="inlineStr">
        <is>
          <t>Undergraduate</t>
        </is>
      </c>
      <c r="H167" t="inlineStr">
        <is>
          <t>Undergraduates</t>
        </is>
      </c>
      <c r="I167" t="inlineStr">
        <is>
          <t>All</t>
        </is>
      </c>
      <c r="J167" t="inlineStr">
        <is>
          <t>PT</t>
        </is>
      </c>
      <c r="K167" t="inlineStr">
        <is>
          <t>All</t>
        </is>
      </c>
      <c r="L167" t="inlineStr">
        <is>
          <t>Number</t>
        </is>
      </c>
    </row>
    <row r="168" ht="45" customHeight="1" s="44">
      <c r="A168" t="inlineStr">
        <is>
          <t>H233</t>
        </is>
      </c>
      <c r="B168" s="2" t="inlineStr">
        <is>
          <t>G. Number of students in line d who were awarded any non-need-based scholarship or grant aid</t>
        </is>
      </c>
      <c r="C168" t="n">
        <v>11</v>
      </c>
      <c r="D168" t="inlineStr">
        <is>
          <t>Financial Aid</t>
        </is>
      </c>
      <c r="E168" t="inlineStr">
        <is>
          <t>Students Awarded Aid</t>
        </is>
      </c>
      <c r="F168" t="inlineStr">
        <is>
          <t>Degree-seeking</t>
        </is>
      </c>
      <c r="G168" t="inlineStr">
        <is>
          <t>Undergraduate</t>
        </is>
      </c>
      <c r="H168" t="inlineStr">
        <is>
          <t>Undergraduates</t>
        </is>
      </c>
      <c r="I168" t="inlineStr">
        <is>
          <t>All</t>
        </is>
      </c>
      <c r="J168" t="inlineStr">
        <is>
          <t>PT</t>
        </is>
      </c>
      <c r="K168" t="inlineStr">
        <is>
          <t>All</t>
        </is>
      </c>
      <c r="L168" t="inlineStr">
        <is>
          <t>Number</t>
        </is>
      </c>
    </row>
    <row r="169" ht="60" customHeight="1" s="44">
      <c r="A169" t="inlineStr">
        <is>
          <t>H234</t>
        </is>
      </c>
      <c r="B169" s="2" t="inlineStr">
        <is>
          <t>H. Number of students in line d whose need was fully met (exclude PLUS loans, unsubsidized loans, and private alternative loans)</t>
        </is>
      </c>
      <c r="C169" t="n">
        <v>118</v>
      </c>
      <c r="D169" t="inlineStr">
        <is>
          <t>Financial Aid</t>
        </is>
      </c>
      <c r="E169" t="inlineStr">
        <is>
          <t>Students Awarded Aid</t>
        </is>
      </c>
      <c r="F169" t="inlineStr">
        <is>
          <t>Degree-seeking</t>
        </is>
      </c>
      <c r="G169" t="inlineStr">
        <is>
          <t>Undergraduate</t>
        </is>
      </c>
      <c r="H169" t="inlineStr">
        <is>
          <t>Undergraduates</t>
        </is>
      </c>
      <c r="I169" t="inlineStr">
        <is>
          <t>All</t>
        </is>
      </c>
      <c r="J169" t="inlineStr">
        <is>
          <t>PT</t>
        </is>
      </c>
      <c r="K169" t="inlineStr">
        <is>
          <t>All</t>
        </is>
      </c>
      <c r="L169" t="inlineStr">
        <is>
          <t>Number</t>
        </is>
      </c>
    </row>
    <row r="170" ht="15.6" customHeight="1" s="44">
      <c r="B170" s="2" t="n"/>
    </row>
    <row r="171" ht="105" customHeight="1" s="44">
      <c r="A171" t="inlineStr">
        <is>
          <t>H235</t>
        </is>
      </c>
      <c r="B171"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71" s="29" t="n">
        <v>0.71</v>
      </c>
      <c r="D171" t="inlineStr">
        <is>
          <t>Financial Aid</t>
        </is>
      </c>
      <c r="E171" t="inlineStr">
        <is>
          <t>Students Awarded Aid</t>
        </is>
      </c>
      <c r="F171" t="inlineStr">
        <is>
          <t>Degree-seeking</t>
        </is>
      </c>
      <c r="G171" t="inlineStr">
        <is>
          <t>Undergraduate</t>
        </is>
      </c>
      <c r="H171" t="inlineStr">
        <is>
          <t>Undergraduates</t>
        </is>
      </c>
      <c r="I171" t="inlineStr">
        <is>
          <t>All</t>
        </is>
      </c>
      <c r="J171" t="inlineStr">
        <is>
          <t>PT</t>
        </is>
      </c>
      <c r="K171" t="inlineStr">
        <is>
          <t>All</t>
        </is>
      </c>
      <c r="L171" t="inlineStr">
        <is>
          <t>Nearest 1%</t>
        </is>
      </c>
    </row>
    <row r="172">
      <c r="B172" s="2" t="n"/>
    </row>
    <row r="173" ht="75" customHeight="1" s="44">
      <c r="A173" t="inlineStr">
        <is>
          <t>H236</t>
        </is>
      </c>
      <c r="B173" s="2" t="inlineStr">
        <is>
          <t>J. The average financial aid package of those in line d. Exclude any resources that were awarded to replace EFC (PLUS loans, unsubsidized loans, and private alternative loans)</t>
        </is>
      </c>
      <c r="C173" s="56" t="n">
        <v>15892</v>
      </c>
      <c r="D173" t="inlineStr">
        <is>
          <t>Financial Aid</t>
        </is>
      </c>
      <c r="E173" t="inlineStr">
        <is>
          <t>Students Awarded Aid</t>
        </is>
      </c>
      <c r="F173" t="inlineStr">
        <is>
          <t>Degree-seeking</t>
        </is>
      </c>
      <c r="G173" t="inlineStr">
        <is>
          <t>Undergraduate</t>
        </is>
      </c>
      <c r="H173" t="inlineStr">
        <is>
          <t>Undergraduates</t>
        </is>
      </c>
      <c r="I173" t="inlineStr">
        <is>
          <t>All</t>
        </is>
      </c>
      <c r="J173" t="inlineStr">
        <is>
          <t>PT</t>
        </is>
      </c>
      <c r="K173" t="inlineStr">
        <is>
          <t>All</t>
        </is>
      </c>
      <c r="L173" t="inlineStr">
        <is>
          <t>Nearest $1</t>
        </is>
      </c>
    </row>
    <row r="174" ht="30" customHeight="1" s="44">
      <c r="A174" t="inlineStr">
        <is>
          <t>H237</t>
        </is>
      </c>
      <c r="B174" s="2" t="inlineStr">
        <is>
          <t>K. Average need-based scholarship and grant award of those in line e</t>
        </is>
      </c>
      <c r="C174" s="56" t="n">
        <v>13280</v>
      </c>
      <c r="D174" t="inlineStr">
        <is>
          <t>Financial Aid</t>
        </is>
      </c>
      <c r="E174" t="inlineStr">
        <is>
          <t>Students Awarded Aid</t>
        </is>
      </c>
      <c r="F174" t="inlineStr">
        <is>
          <t>Degree-seeking</t>
        </is>
      </c>
      <c r="G174" t="inlineStr">
        <is>
          <t>Undergraduate</t>
        </is>
      </c>
      <c r="H174" t="inlineStr">
        <is>
          <t>Undergraduates</t>
        </is>
      </c>
      <c r="I174" t="inlineStr">
        <is>
          <t>All</t>
        </is>
      </c>
      <c r="J174" t="inlineStr">
        <is>
          <t>PT</t>
        </is>
      </c>
      <c r="K174" t="inlineStr">
        <is>
          <t>All</t>
        </is>
      </c>
      <c r="L174" t="inlineStr">
        <is>
          <t>Nearest $1</t>
        </is>
      </c>
    </row>
    <row r="175" ht="60" customHeight="1" s="44">
      <c r="A175" t="inlineStr">
        <is>
          <t>H238</t>
        </is>
      </c>
      <c r="B175" s="2" t="inlineStr">
        <is>
          <t>L. Average need-based self-help award (excluding PLUS loans, unsubsidized loans, and private alternative loans) of those in line f</t>
        </is>
      </c>
      <c r="C175" s="56" t="n">
        <v>6311</v>
      </c>
      <c r="D175" t="inlineStr">
        <is>
          <t>Financial Aid</t>
        </is>
      </c>
      <c r="E175" t="inlineStr">
        <is>
          <t>Students Awarded Aid</t>
        </is>
      </c>
      <c r="F175" t="inlineStr">
        <is>
          <t>Degree-seeking</t>
        </is>
      </c>
      <c r="G175" t="inlineStr">
        <is>
          <t>Undergraduate</t>
        </is>
      </c>
      <c r="H175" t="inlineStr">
        <is>
          <t>Undergraduates</t>
        </is>
      </c>
      <c r="I175" t="inlineStr">
        <is>
          <t>All</t>
        </is>
      </c>
      <c r="J175" t="inlineStr">
        <is>
          <t>PT</t>
        </is>
      </c>
      <c r="K175" t="inlineStr">
        <is>
          <t>All</t>
        </is>
      </c>
      <c r="L175" t="inlineStr">
        <is>
          <t>Nearest $1</t>
        </is>
      </c>
    </row>
    <row r="176" ht="60" customHeight="1" s="44">
      <c r="A176" t="inlineStr">
        <is>
          <t>H239</t>
        </is>
      </c>
      <c r="B176" s="2" t="inlineStr">
        <is>
          <t>M. Average need-based loan (excluding PLUS loans, unsubsidized loans, and private alternative loans) of those in line f who were awarded a need-based loan</t>
        </is>
      </c>
      <c r="C176" s="56" t="n">
        <v>4096</v>
      </c>
      <c r="D176" t="inlineStr">
        <is>
          <t>Financial Aid</t>
        </is>
      </c>
      <c r="E176" t="inlineStr">
        <is>
          <t>Students Awarded Aid</t>
        </is>
      </c>
      <c r="F176" t="inlineStr">
        <is>
          <t>Degree-seeking</t>
        </is>
      </c>
      <c r="G176" t="inlineStr">
        <is>
          <t>Undergraduate</t>
        </is>
      </c>
      <c r="H176" t="inlineStr">
        <is>
          <t>Undergraduates</t>
        </is>
      </c>
      <c r="I176" t="inlineStr">
        <is>
          <t>All</t>
        </is>
      </c>
      <c r="J176" t="inlineStr">
        <is>
          <t>PT</t>
        </is>
      </c>
      <c r="K176" t="inlineStr">
        <is>
          <t>All</t>
        </is>
      </c>
      <c r="L176" t="inlineStr">
        <is>
          <t>Nearest $1</t>
        </is>
      </c>
    </row>
    <row r="177"/>
    <row r="178"/>
    <row r="179"/>
    <row r="180"/>
    <row r="181"/>
    <row r="182">
      <c r="B182" s="2" t="n"/>
    </row>
    <row r="183">
      <c r="B183" s="2" t="n"/>
    </row>
    <row r="184"/>
    <row r="185"/>
    <row r="186"/>
    <row r="187"/>
    <row r="188"/>
    <row r="189"/>
    <row r="190"/>
    <row r="191">
      <c r="B191" s="2" t="n"/>
    </row>
    <row r="192"/>
    <row r="193" ht="90" customHeight="1" s="44">
      <c r="A193" t="inlineStr">
        <is>
          <t>H2A01</t>
        </is>
      </c>
      <c r="B193" s="2" t="inlineStr">
        <is>
          <t>N. Number of students in line a who had no financial need and who were awarded institutional non-need-based scholarship or grant aid (exclude those who were awarded athletic awards and tuition benefits)</t>
        </is>
      </c>
      <c r="C193" t="n">
        <v>391</v>
      </c>
      <c r="D193" t="inlineStr">
        <is>
          <t>Financial Aid</t>
        </is>
      </c>
      <c r="E193" t="inlineStr">
        <is>
          <t>Students Awarded Non-need-based Aid</t>
        </is>
      </c>
      <c r="F193" t="inlineStr">
        <is>
          <t>Degree-seeking</t>
        </is>
      </c>
      <c r="G193" t="inlineStr">
        <is>
          <t>Undergraduate</t>
        </is>
      </c>
      <c r="H193" t="inlineStr">
        <is>
          <t>First-time, first-year</t>
        </is>
      </c>
      <c r="I193" t="inlineStr">
        <is>
          <t>All</t>
        </is>
      </c>
      <c r="J193" t="inlineStr">
        <is>
          <t>FT</t>
        </is>
      </c>
      <c r="K193" t="inlineStr">
        <is>
          <t>All</t>
        </is>
      </c>
      <c r="L193" t="inlineStr">
        <is>
          <t>Number</t>
        </is>
      </c>
    </row>
    <row r="194">
      <c r="B194" s="2" t="n"/>
    </row>
    <row r="195" ht="45" customHeight="1" s="44">
      <c r="A195" t="inlineStr">
        <is>
          <t>H2A02</t>
        </is>
      </c>
      <c r="B195" s="2" t="inlineStr">
        <is>
          <t>O. Average dollar amount of institutional non-need-based scholarship and grant aid awarded to students in line n</t>
        </is>
      </c>
      <c r="C195" t="n">
        <v>9313</v>
      </c>
      <c r="D195" t="inlineStr">
        <is>
          <t>Financial Aid</t>
        </is>
      </c>
      <c r="E195" t="inlineStr">
        <is>
          <t>Students Awarded Non-need-based Aid</t>
        </is>
      </c>
      <c r="F195" t="inlineStr">
        <is>
          <t>Degree-seeking</t>
        </is>
      </c>
      <c r="G195" t="inlineStr">
        <is>
          <t>Undergraduate</t>
        </is>
      </c>
      <c r="H195" t="inlineStr">
        <is>
          <t>First-time, first-year</t>
        </is>
      </c>
      <c r="I195" t="inlineStr">
        <is>
          <t>All</t>
        </is>
      </c>
      <c r="J195" t="inlineStr">
        <is>
          <t>FT</t>
        </is>
      </c>
      <c r="K195" t="inlineStr">
        <is>
          <t>All</t>
        </is>
      </c>
      <c r="L195" t="inlineStr">
        <is>
          <t>Nearest $1</t>
        </is>
      </c>
    </row>
    <row r="196">
      <c r="B196" s="2" t="n"/>
    </row>
    <row r="197" ht="45" customHeight="1" s="44">
      <c r="A197" t="inlineStr">
        <is>
          <t>H2A03</t>
        </is>
      </c>
      <c r="B197" s="2" t="inlineStr">
        <is>
          <t>P. Number of students in line a who were awarded an institutional non-need-based athletic scholarship or grant</t>
        </is>
      </c>
      <c r="C197" t="n">
        <v>75</v>
      </c>
      <c r="D197" t="inlineStr">
        <is>
          <t>Financial Aid</t>
        </is>
      </c>
      <c r="E197" t="inlineStr">
        <is>
          <t>Students Awarded Non-need-based Aid</t>
        </is>
      </c>
      <c r="F197" t="inlineStr">
        <is>
          <t>Degree-seeking</t>
        </is>
      </c>
      <c r="G197" t="inlineStr">
        <is>
          <t>Undergraduate</t>
        </is>
      </c>
      <c r="H197" t="inlineStr">
        <is>
          <t>First-time, first-year</t>
        </is>
      </c>
      <c r="I197" t="inlineStr">
        <is>
          <t>All</t>
        </is>
      </c>
      <c r="J197" t="inlineStr">
        <is>
          <t>FT</t>
        </is>
      </c>
      <c r="K197" t="inlineStr">
        <is>
          <t>All</t>
        </is>
      </c>
      <c r="L197" t="inlineStr">
        <is>
          <t>Number</t>
        </is>
      </c>
    </row>
    <row r="198">
      <c r="B198" s="2" t="n"/>
    </row>
    <row r="199" ht="45" customHeight="1" s="44">
      <c r="A199" t="inlineStr">
        <is>
          <t>H2A04</t>
        </is>
      </c>
      <c r="B199" s="2" t="inlineStr">
        <is>
          <t>Q. Average dollar amount of institutional non-need-based athletic scholarships and grants awarded to students in line p</t>
        </is>
      </c>
      <c r="C199" t="n">
        <v>34900</v>
      </c>
      <c r="D199" t="inlineStr">
        <is>
          <t>Financial Aid</t>
        </is>
      </c>
      <c r="E199" t="inlineStr">
        <is>
          <t>Students Awarded Non-need-based Aid</t>
        </is>
      </c>
      <c r="F199" t="inlineStr">
        <is>
          <t>Degree-seeking</t>
        </is>
      </c>
      <c r="G199" t="inlineStr">
        <is>
          <t>Undergraduate</t>
        </is>
      </c>
      <c r="H199" t="inlineStr">
        <is>
          <t>First-time, first-year</t>
        </is>
      </c>
      <c r="I199" t="inlineStr">
        <is>
          <t>All</t>
        </is>
      </c>
      <c r="J199" t="inlineStr">
        <is>
          <t>FT</t>
        </is>
      </c>
      <c r="K199" t="inlineStr">
        <is>
          <t>All</t>
        </is>
      </c>
      <c r="L199" t="inlineStr">
        <is>
          <t>Nearest $1</t>
        </is>
      </c>
    </row>
    <row r="200">
      <c r="B200" s="2" t="n"/>
    </row>
    <row r="201" ht="18" customHeight="1" s="44"/>
    <row r="202" ht="90" customHeight="1" s="44">
      <c r="A202" t="inlineStr">
        <is>
          <t>H2A05</t>
        </is>
      </c>
      <c r="B202" s="2" t="inlineStr">
        <is>
          <t>N. Number of students in line a who had no financial need and who were awarded institutional non-need-based scholarship or grant aid (exclude those who were awarded athletic awards and tuition benefits)</t>
        </is>
      </c>
      <c r="C202" t="n">
        <v>2767</v>
      </c>
      <c r="D202" t="inlineStr">
        <is>
          <t>Financial Aid</t>
        </is>
      </c>
      <c r="E202" t="inlineStr">
        <is>
          <t>Students Awarded Non-need-based Aid</t>
        </is>
      </c>
      <c r="F202" t="inlineStr">
        <is>
          <t>Degree-seeking</t>
        </is>
      </c>
      <c r="G202" t="inlineStr">
        <is>
          <t>Undergraduate</t>
        </is>
      </c>
      <c r="H202" t="inlineStr">
        <is>
          <t>Undergraduates</t>
        </is>
      </c>
      <c r="I202" t="inlineStr">
        <is>
          <t>All</t>
        </is>
      </c>
      <c r="J202" t="inlineStr">
        <is>
          <t>FT</t>
        </is>
      </c>
      <c r="K202" t="inlineStr">
        <is>
          <t>All</t>
        </is>
      </c>
      <c r="L202" t="inlineStr">
        <is>
          <t>Number</t>
        </is>
      </c>
    </row>
    <row r="203">
      <c r="B203" s="2" t="n"/>
    </row>
    <row r="204" ht="45" customHeight="1" s="44">
      <c r="A204" t="inlineStr">
        <is>
          <t>H2A06</t>
        </is>
      </c>
      <c r="B204" s="2" t="inlineStr">
        <is>
          <t>O. Average dollar amount of institutional non-need-based scholarship and grant aid awarded to students in line n</t>
        </is>
      </c>
      <c r="C204" t="n">
        <v>7247</v>
      </c>
      <c r="D204" t="inlineStr">
        <is>
          <t>Financial Aid</t>
        </is>
      </c>
      <c r="E204" t="inlineStr">
        <is>
          <t>Students Awarded Non-need-based Aid</t>
        </is>
      </c>
      <c r="F204" t="inlineStr">
        <is>
          <t>Degree-seeking</t>
        </is>
      </c>
      <c r="G204" t="inlineStr">
        <is>
          <t>Undergraduate</t>
        </is>
      </c>
      <c r="H204" t="inlineStr">
        <is>
          <t>Undergraduates</t>
        </is>
      </c>
      <c r="I204" t="inlineStr">
        <is>
          <t>All</t>
        </is>
      </c>
      <c r="J204" t="inlineStr">
        <is>
          <t>FT</t>
        </is>
      </c>
      <c r="K204" t="inlineStr">
        <is>
          <t>All</t>
        </is>
      </c>
      <c r="L204" t="inlineStr">
        <is>
          <t>Nearest $1</t>
        </is>
      </c>
    </row>
    <row r="205">
      <c r="B205" s="2" t="n"/>
    </row>
    <row r="206" ht="45" customHeight="1" s="44">
      <c r="A206" t="inlineStr">
        <is>
          <t>H2A07</t>
        </is>
      </c>
      <c r="B206" s="2" t="inlineStr">
        <is>
          <t>P. Number of students in line a who were awarded an institutional non-need-based athletic scholarship or grant</t>
        </is>
      </c>
      <c r="C206" t="n">
        <v>460</v>
      </c>
      <c r="D206" t="inlineStr">
        <is>
          <t>Financial Aid</t>
        </is>
      </c>
      <c r="E206" t="inlineStr">
        <is>
          <t>Students Awarded Non-need-based Aid</t>
        </is>
      </c>
      <c r="F206" t="inlineStr">
        <is>
          <t>Degree-seeking</t>
        </is>
      </c>
      <c r="G206" t="inlineStr">
        <is>
          <t>Undergraduate</t>
        </is>
      </c>
      <c r="H206" t="inlineStr">
        <is>
          <t>Undergraduates</t>
        </is>
      </c>
      <c r="I206" t="inlineStr">
        <is>
          <t>All</t>
        </is>
      </c>
      <c r="J206" t="inlineStr">
        <is>
          <t>FT</t>
        </is>
      </c>
      <c r="K206" t="inlineStr">
        <is>
          <t>All</t>
        </is>
      </c>
      <c r="L206" t="inlineStr">
        <is>
          <t>Number</t>
        </is>
      </c>
    </row>
    <row r="207">
      <c r="B207" s="2" t="n"/>
    </row>
    <row r="208" ht="45" customHeight="1" s="44">
      <c r="A208" t="inlineStr">
        <is>
          <t>H2A08</t>
        </is>
      </c>
      <c r="B208" s="2" t="inlineStr">
        <is>
          <t>Q. Average dollar amount of institutional non-need-based athletic scholarships and grants awarded to students in line p</t>
        </is>
      </c>
      <c r="C208" t="n">
        <v>27274</v>
      </c>
      <c r="D208" t="inlineStr">
        <is>
          <t>Financial Aid</t>
        </is>
      </c>
      <c r="E208" t="inlineStr">
        <is>
          <t>Students Awarded Non-need-based Aid</t>
        </is>
      </c>
      <c r="F208" t="inlineStr">
        <is>
          <t>Degree-seeking</t>
        </is>
      </c>
      <c r="G208" t="inlineStr">
        <is>
          <t>Undergraduate</t>
        </is>
      </c>
      <c r="H208" t="inlineStr">
        <is>
          <t>Undergraduates</t>
        </is>
      </c>
      <c r="I208" t="inlineStr">
        <is>
          <t>All</t>
        </is>
      </c>
      <c r="J208" t="inlineStr">
        <is>
          <t>FT</t>
        </is>
      </c>
      <c r="K208" t="inlineStr">
        <is>
          <t>All</t>
        </is>
      </c>
      <c r="L208" t="inlineStr">
        <is>
          <t>Nearest $1</t>
        </is>
      </c>
    </row>
    <row r="209">
      <c r="B209" s="2" t="n"/>
    </row>
    <row r="210" ht="18" customHeight="1" s="44"/>
    <row r="211" ht="90" customHeight="1" s="44">
      <c r="A211" t="inlineStr">
        <is>
          <t>H2A09</t>
        </is>
      </c>
      <c r="B211" s="2" t="inlineStr">
        <is>
          <t>N. Number of students in line a who had no financial need and who were awarded institutional non-need-based scholarship or grant aid (exclude those who were awarded athletic awards and tuition benefits)</t>
        </is>
      </c>
      <c r="C211" t="n">
        <v>93</v>
      </c>
      <c r="D211" t="inlineStr">
        <is>
          <t>Financial Aid</t>
        </is>
      </c>
      <c r="E211" t="inlineStr">
        <is>
          <t>Students Awarded Non-need-based Aid</t>
        </is>
      </c>
      <c r="F211" t="inlineStr">
        <is>
          <t>Degree-seeking</t>
        </is>
      </c>
      <c r="G211" t="inlineStr">
        <is>
          <t>Undergraduate</t>
        </is>
      </c>
      <c r="H211" t="inlineStr">
        <is>
          <t>Undergraduates</t>
        </is>
      </c>
      <c r="I211" t="inlineStr">
        <is>
          <t>All</t>
        </is>
      </c>
      <c r="J211" t="inlineStr">
        <is>
          <t>FT</t>
        </is>
      </c>
      <c r="K211" t="inlineStr">
        <is>
          <t>All</t>
        </is>
      </c>
      <c r="L211" t="inlineStr">
        <is>
          <t>Number</t>
        </is>
      </c>
    </row>
    <row r="212">
      <c r="B212" s="2" t="n"/>
    </row>
    <row r="213" ht="45" customHeight="1" s="44">
      <c r="A213" t="inlineStr">
        <is>
          <t>H2A10</t>
        </is>
      </c>
      <c r="B213" s="2" t="inlineStr">
        <is>
          <t>O. Average dollar amount of institutional non-need-based scholarship and grant aid awarded to students in line n</t>
        </is>
      </c>
      <c r="C213" t="n">
        <v>4490</v>
      </c>
      <c r="D213" t="inlineStr">
        <is>
          <t>Financial Aid</t>
        </is>
      </c>
      <c r="E213" t="inlineStr">
        <is>
          <t>Students Awarded Non-need-based Aid</t>
        </is>
      </c>
      <c r="F213" t="inlineStr">
        <is>
          <t>Degree-seeking</t>
        </is>
      </c>
      <c r="G213" t="inlineStr">
        <is>
          <t>Undergraduate</t>
        </is>
      </c>
      <c r="H213" t="inlineStr">
        <is>
          <t>Undergraduates</t>
        </is>
      </c>
      <c r="I213" t="inlineStr">
        <is>
          <t>All</t>
        </is>
      </c>
      <c r="J213" t="inlineStr">
        <is>
          <t>FT</t>
        </is>
      </c>
      <c r="K213" t="inlineStr">
        <is>
          <t>All</t>
        </is>
      </c>
      <c r="L213" t="inlineStr">
        <is>
          <t>Nearest $1</t>
        </is>
      </c>
    </row>
    <row r="214">
      <c r="B214" s="2" t="n"/>
    </row>
    <row r="215" ht="45" customHeight="1" s="44">
      <c r="A215" t="inlineStr">
        <is>
          <t>H2A11</t>
        </is>
      </c>
      <c r="B215" s="2" t="inlineStr">
        <is>
          <t>P. Number of students in line a who were awarded an institutional non-need-based athletic scholarship or grant</t>
        </is>
      </c>
      <c r="C215" t="n">
        <v>12</v>
      </c>
      <c r="D215" t="inlineStr">
        <is>
          <t>Financial Aid</t>
        </is>
      </c>
      <c r="E215" t="inlineStr">
        <is>
          <t>Students Awarded Non-need-based Aid</t>
        </is>
      </c>
      <c r="F215" t="inlineStr">
        <is>
          <t>Degree-seeking</t>
        </is>
      </c>
      <c r="G215" t="inlineStr">
        <is>
          <t>Undergraduate</t>
        </is>
      </c>
      <c r="H215" t="inlineStr">
        <is>
          <t>Undergraduates</t>
        </is>
      </c>
      <c r="I215" t="inlineStr">
        <is>
          <t>All</t>
        </is>
      </c>
      <c r="J215" t="inlineStr">
        <is>
          <t>FT</t>
        </is>
      </c>
      <c r="K215" t="inlineStr">
        <is>
          <t>All</t>
        </is>
      </c>
      <c r="L215" t="inlineStr">
        <is>
          <t>Number</t>
        </is>
      </c>
    </row>
    <row r="216">
      <c r="B216" s="2" t="n"/>
    </row>
    <row r="217" ht="45" customHeight="1" s="44">
      <c r="A217" t="inlineStr">
        <is>
          <t>H2A12</t>
        </is>
      </c>
      <c r="B217" s="2" t="inlineStr">
        <is>
          <t>Q. Average dollar amount of institutional non-need-based athletic scholarships and grants awarded to students in line p</t>
        </is>
      </c>
      <c r="C217" t="n">
        <v>14357</v>
      </c>
      <c r="D217" t="inlineStr">
        <is>
          <t>Financial Aid</t>
        </is>
      </c>
      <c r="E217" t="inlineStr">
        <is>
          <t>Students Awarded Non-need-based Aid</t>
        </is>
      </c>
      <c r="F217" t="inlineStr">
        <is>
          <t>Degree-seeking</t>
        </is>
      </c>
      <c r="G217" t="inlineStr">
        <is>
          <t>Undergraduate</t>
        </is>
      </c>
      <c r="H217" t="inlineStr">
        <is>
          <t>Undergraduates</t>
        </is>
      </c>
      <c r="I217" t="inlineStr">
        <is>
          <t>All</t>
        </is>
      </c>
      <c r="J217" t="inlineStr">
        <is>
          <t>FT</t>
        </is>
      </c>
      <c r="K217" t="inlineStr">
        <is>
          <t>All</t>
        </is>
      </c>
      <c r="L217" t="inlineStr">
        <is>
          <t>Nearest $1</t>
        </is>
      </c>
    </row>
    <row r="218">
      <c r="B218" s="2" t="n"/>
    </row>
    <row r="219"/>
    <row r="220"/>
    <row r="221"/>
    <row r="222"/>
    <row r="223"/>
    <row r="224"/>
    <row r="225"/>
    <row r="226"/>
    <row r="227"/>
    <row r="228"/>
    <row r="229"/>
    <row r="230"/>
    <row r="231"/>
    <row r="232"/>
    <row r="233"/>
    <row r="234"/>
    <row r="235"/>
    <row r="236" ht="87" customHeight="1" s="44">
      <c r="A236" t="inlineStr">
        <is>
          <t>H401</t>
        </is>
      </c>
      <c r="B236" s="2" t="inlineStr">
        <is>
          <t>Provide the number of students in the 2024 undergraduate class who started at your institution as first-time students and received a bachelor's degree between July 1, 2023 and June 30, 2024. Exclude students who transferred into your institution.</t>
        </is>
      </c>
      <c r="C236" s="2" t="n">
        <v>6801</v>
      </c>
      <c r="D236" t="inlineStr">
        <is>
          <t>Financial Aid</t>
        </is>
      </c>
      <c r="E236" t="inlineStr">
        <is>
          <t>Graduating Cohort</t>
        </is>
      </c>
      <c r="F236" t="inlineStr">
        <is>
          <t>All</t>
        </is>
      </c>
      <c r="G236" t="inlineStr">
        <is>
          <t>Undergraduate</t>
        </is>
      </c>
      <c r="H236" t="inlineStr">
        <is>
          <t>First-time, first-year</t>
        </is>
      </c>
      <c r="I236" t="inlineStr">
        <is>
          <t>All</t>
        </is>
      </c>
      <c r="J236" t="inlineStr">
        <is>
          <t>All</t>
        </is>
      </c>
      <c r="K236" t="inlineStr">
        <is>
          <t>All</t>
        </is>
      </c>
      <c r="L236" t="inlineStr">
        <is>
          <t>Number</t>
        </is>
      </c>
    </row>
    <row r="237"/>
    <row r="238"/>
    <row r="239"/>
    <row r="240"/>
    <row r="241"/>
    <row r="242"/>
    <row r="243"/>
    <row r="244"/>
    <row r="245"/>
    <row r="246"/>
    <row r="247"/>
    <row r="248"/>
    <row r="249"/>
    <row r="250">
      <c r="B250" s="2" t="n"/>
    </row>
    <row r="251" ht="51.6" customHeight="1" s="44"/>
    <row r="252" ht="90" customHeight="1" s="44">
      <c r="A252" t="inlineStr">
        <is>
          <t>H501</t>
        </is>
      </c>
      <c r="B252" s="2" t="inlineStr">
        <is>
          <t>A. Any loan program: Federal Perkins, Federal Stafford Subsidized and Unsubsidized, institutional, state, private loans that your institution is aware of, etc. Include both Federal Direct Student Loans and Federal Family Education Loans.</t>
        </is>
      </c>
      <c r="C252" t="n">
        <v>2265</v>
      </c>
      <c r="D252" t="inlineStr">
        <is>
          <t>Financial Aid</t>
        </is>
      </c>
      <c r="E252" t="inlineStr">
        <is>
          <t>Source Type Loan</t>
        </is>
      </c>
      <c r="F252" t="inlineStr">
        <is>
          <t>Number in Class</t>
        </is>
      </c>
      <c r="G252" t="inlineStr">
        <is>
          <t>Undergraduate</t>
        </is>
      </c>
      <c r="H252" t="inlineStr">
        <is>
          <t>First-time, first-year</t>
        </is>
      </c>
      <c r="I252" t="inlineStr">
        <is>
          <t>All</t>
        </is>
      </c>
      <c r="J252" t="inlineStr">
        <is>
          <t>All</t>
        </is>
      </c>
      <c r="K252" t="inlineStr">
        <is>
          <t>All</t>
        </is>
      </c>
      <c r="L252" t="inlineStr">
        <is>
          <t>Number</t>
        </is>
      </c>
    </row>
    <row r="253" ht="75" customHeight="1" s="44">
      <c r="A253" t="inlineStr">
        <is>
          <t>H502</t>
        </is>
      </c>
      <c r="B253" s="2" t="inlineStr">
        <is>
          <t>B. Federal loan programs: Federal Perkins, Federal Stafford Subsidized and Unsubsidized. Include both Federal Direct Student Loans and Federal Family Education Loans.</t>
        </is>
      </c>
      <c r="C253" t="n">
        <v>2129</v>
      </c>
      <c r="D253" t="inlineStr">
        <is>
          <t>Financial Aid</t>
        </is>
      </c>
      <c r="E253" t="inlineStr">
        <is>
          <t>Source Type Loan</t>
        </is>
      </c>
      <c r="F253" t="inlineStr">
        <is>
          <t>Number in Class</t>
        </is>
      </c>
      <c r="G253" t="inlineStr">
        <is>
          <t>Undergraduate</t>
        </is>
      </c>
      <c r="H253" t="inlineStr">
        <is>
          <t>First-time, first-year</t>
        </is>
      </c>
      <c r="I253" t="inlineStr">
        <is>
          <t>All</t>
        </is>
      </c>
      <c r="J253" t="inlineStr">
        <is>
          <t>All</t>
        </is>
      </c>
      <c r="K253" t="inlineStr">
        <is>
          <t>All</t>
        </is>
      </c>
      <c r="L253" t="inlineStr">
        <is>
          <t>Number</t>
        </is>
      </c>
    </row>
    <row r="254" ht="18" customHeight="1" s="44">
      <c r="A254" t="inlineStr">
        <is>
          <t>H503</t>
        </is>
      </c>
      <c r="B254" s="2" t="inlineStr">
        <is>
          <t>C. Institutional loan programs.</t>
        </is>
      </c>
      <c r="C254" t="n">
        <v>187</v>
      </c>
      <c r="D254" t="inlineStr">
        <is>
          <t>Financial Aid</t>
        </is>
      </c>
      <c r="E254" t="inlineStr">
        <is>
          <t>Source Type Loan</t>
        </is>
      </c>
      <c r="F254" t="inlineStr">
        <is>
          <t>Number in Class</t>
        </is>
      </c>
      <c r="G254" t="inlineStr">
        <is>
          <t>Undergraduate</t>
        </is>
      </c>
      <c r="H254" t="inlineStr">
        <is>
          <t>First-time, first-year</t>
        </is>
      </c>
      <c r="I254" t="inlineStr">
        <is>
          <t>All</t>
        </is>
      </c>
      <c r="J254" t="inlineStr">
        <is>
          <t>All</t>
        </is>
      </c>
      <c r="K254" t="inlineStr">
        <is>
          <t>All</t>
        </is>
      </c>
      <c r="L254" t="inlineStr">
        <is>
          <t>Number</t>
        </is>
      </c>
    </row>
    <row r="255" ht="18" customHeight="1" s="44">
      <c r="A255" t="inlineStr">
        <is>
          <t>H504</t>
        </is>
      </c>
      <c r="B255" s="2" t="inlineStr">
        <is>
          <t>D. State loan programs.</t>
        </is>
      </c>
      <c r="C255" t="n">
        <v>1</v>
      </c>
      <c r="D255" t="inlineStr">
        <is>
          <t>Financial Aid</t>
        </is>
      </c>
      <c r="E255" t="inlineStr">
        <is>
          <t>Source Type Loan</t>
        </is>
      </c>
      <c r="F255" t="inlineStr">
        <is>
          <t>Number in Class</t>
        </is>
      </c>
      <c r="G255" t="inlineStr">
        <is>
          <t>Undergraduate</t>
        </is>
      </c>
      <c r="H255" t="inlineStr">
        <is>
          <t>First-time, first-year</t>
        </is>
      </c>
      <c r="I255" t="inlineStr">
        <is>
          <t>All</t>
        </is>
      </c>
      <c r="J255" t="inlineStr">
        <is>
          <t>All</t>
        </is>
      </c>
      <c r="K255" t="inlineStr">
        <is>
          <t>All</t>
        </is>
      </c>
      <c r="L255" t="inlineStr">
        <is>
          <t>Number</t>
        </is>
      </c>
    </row>
    <row r="256" ht="18" customHeight="1" s="44">
      <c r="A256" t="inlineStr">
        <is>
          <t>H505</t>
        </is>
      </c>
      <c r="B256" s="2" t="inlineStr">
        <is>
          <t>E. Private student loans made by a bank or lender.</t>
        </is>
      </c>
      <c r="C256" t="n">
        <v>553</v>
      </c>
      <c r="D256" t="inlineStr">
        <is>
          <t>Financial Aid</t>
        </is>
      </c>
      <c r="E256" t="inlineStr">
        <is>
          <t>Source Type Loan</t>
        </is>
      </c>
      <c r="F256" t="inlineStr">
        <is>
          <t>Number in Class</t>
        </is>
      </c>
      <c r="G256" t="inlineStr">
        <is>
          <t>Undergraduate</t>
        </is>
      </c>
      <c r="H256" t="inlineStr">
        <is>
          <t>First-time, first-year</t>
        </is>
      </c>
      <c r="I256" t="inlineStr">
        <is>
          <t>All</t>
        </is>
      </c>
      <c r="J256" t="inlineStr">
        <is>
          <t>All</t>
        </is>
      </c>
      <c r="K256" t="inlineStr">
        <is>
          <t>All</t>
        </is>
      </c>
      <c r="L256" t="inlineStr">
        <is>
          <t>Number</t>
        </is>
      </c>
    </row>
    <row r="257"/>
    <row r="258"/>
    <row r="259" ht="45.95" customHeight="1" s="44"/>
    <row r="260" ht="90" customHeight="1" s="44">
      <c r="A260" t="inlineStr">
        <is>
          <t>H506</t>
        </is>
      </c>
      <c r="B260" s="2" t="inlineStr">
        <is>
          <t>A. Any loan program: Federal Perkins, Federal Stafford Subsidized and Unsubsidized, institutional, state, private loans that your institution is aware of, etc. Include both Federal Direct Student Loans and Federal Family Education Loans.</t>
        </is>
      </c>
      <c r="C260" t="n">
        <v>33</v>
      </c>
      <c r="D260" t="inlineStr">
        <is>
          <t>Financial Aid</t>
        </is>
      </c>
      <c r="E260" t="inlineStr">
        <is>
          <t>Source Type Loan</t>
        </is>
      </c>
      <c r="F260" t="inlineStr">
        <is>
          <t>Percent of Class</t>
        </is>
      </c>
      <c r="G260" t="inlineStr">
        <is>
          <t>Undergraduate</t>
        </is>
      </c>
      <c r="H260" t="inlineStr">
        <is>
          <t>First-time, first-year</t>
        </is>
      </c>
      <c r="I260" t="inlineStr">
        <is>
          <t>All</t>
        </is>
      </c>
      <c r="J260" t="inlineStr">
        <is>
          <t>All</t>
        </is>
      </c>
      <c r="K260" t="inlineStr">
        <is>
          <t>All</t>
        </is>
      </c>
      <c r="L260" t="inlineStr">
        <is>
          <t>Nearest 1%</t>
        </is>
      </c>
    </row>
    <row r="261" ht="75" customHeight="1" s="44">
      <c r="A261" t="inlineStr">
        <is>
          <t>H507</t>
        </is>
      </c>
      <c r="B261" s="2" t="inlineStr">
        <is>
          <t>B. Federal loan programs: Federal Perkins, Federal Stafford Subsidized and Unsubsidized. Include both Federal Direct Student Loans and Federal Family Education Loans.</t>
        </is>
      </c>
      <c r="C261" t="n">
        <v>31</v>
      </c>
      <c r="D261" t="inlineStr">
        <is>
          <t>Financial Aid</t>
        </is>
      </c>
      <c r="E261" t="inlineStr">
        <is>
          <t>Source Type Loan</t>
        </is>
      </c>
      <c r="F261" t="inlineStr">
        <is>
          <t>Percent of Class</t>
        </is>
      </c>
      <c r="G261" t="inlineStr">
        <is>
          <t>Undergraduate</t>
        </is>
      </c>
      <c r="H261" t="inlineStr">
        <is>
          <t>First-time, first-year</t>
        </is>
      </c>
      <c r="I261" t="inlineStr">
        <is>
          <t>All</t>
        </is>
      </c>
      <c r="J261" t="inlineStr">
        <is>
          <t>All</t>
        </is>
      </c>
      <c r="K261" t="inlineStr">
        <is>
          <t>All</t>
        </is>
      </c>
      <c r="L261" t="inlineStr">
        <is>
          <t>Nearest 1%</t>
        </is>
      </c>
    </row>
    <row r="262" ht="18" customHeight="1" s="44">
      <c r="A262" t="inlineStr">
        <is>
          <t>H508</t>
        </is>
      </c>
      <c r="B262" s="2" t="inlineStr">
        <is>
          <t>C. Institutional loan programs.</t>
        </is>
      </c>
      <c r="C262" t="n">
        <v>3</v>
      </c>
      <c r="D262" t="inlineStr">
        <is>
          <t>Financial Aid</t>
        </is>
      </c>
      <c r="E262" t="inlineStr">
        <is>
          <t>Source Type Loan</t>
        </is>
      </c>
      <c r="F262" t="inlineStr">
        <is>
          <t>Percent of Class</t>
        </is>
      </c>
      <c r="G262" t="inlineStr">
        <is>
          <t>Undergraduate</t>
        </is>
      </c>
      <c r="H262" t="inlineStr">
        <is>
          <t>First-time, first-year</t>
        </is>
      </c>
      <c r="I262" t="inlineStr">
        <is>
          <t>All</t>
        </is>
      </c>
      <c r="J262" t="inlineStr">
        <is>
          <t>All</t>
        </is>
      </c>
      <c r="K262" t="inlineStr">
        <is>
          <t>All</t>
        </is>
      </c>
      <c r="L262" t="inlineStr">
        <is>
          <t>Nearest 1%</t>
        </is>
      </c>
    </row>
    <row r="263" ht="18" customHeight="1" s="44">
      <c r="A263" t="inlineStr">
        <is>
          <t>H509</t>
        </is>
      </c>
      <c r="B263" s="2" t="inlineStr">
        <is>
          <t>D. State loan programs.</t>
        </is>
      </c>
      <c r="C263" t="n">
        <v>0</v>
      </c>
      <c r="D263" t="inlineStr">
        <is>
          <t>Financial Aid</t>
        </is>
      </c>
      <c r="E263" t="inlineStr">
        <is>
          <t>Source Type Loan</t>
        </is>
      </c>
      <c r="F263" t="inlineStr">
        <is>
          <t>Percent of Class</t>
        </is>
      </c>
      <c r="G263" t="inlineStr">
        <is>
          <t>Undergraduate</t>
        </is>
      </c>
      <c r="H263" t="inlineStr">
        <is>
          <t>First-time, first-year</t>
        </is>
      </c>
      <c r="I263" t="inlineStr">
        <is>
          <t>All</t>
        </is>
      </c>
      <c r="J263" t="inlineStr">
        <is>
          <t>All</t>
        </is>
      </c>
      <c r="K263" t="inlineStr">
        <is>
          <t>All</t>
        </is>
      </c>
      <c r="L263" t="inlineStr">
        <is>
          <t>Nearest 1%</t>
        </is>
      </c>
    </row>
    <row r="264" ht="18" customHeight="1" s="44">
      <c r="A264" t="inlineStr">
        <is>
          <t>H510</t>
        </is>
      </c>
      <c r="B264" s="2" t="inlineStr">
        <is>
          <t>E. Private student loans made by a bank or lender.</t>
        </is>
      </c>
      <c r="C264" t="n">
        <v>8</v>
      </c>
      <c r="D264" t="inlineStr">
        <is>
          <t>Financial Aid</t>
        </is>
      </c>
      <c r="E264" t="inlineStr">
        <is>
          <t>Source Type Loan</t>
        </is>
      </c>
      <c r="F264" t="inlineStr">
        <is>
          <t>Percent of Class</t>
        </is>
      </c>
      <c r="G264" t="inlineStr">
        <is>
          <t>Undergraduate</t>
        </is>
      </c>
      <c r="H264" t="inlineStr">
        <is>
          <t>First-time, first-year</t>
        </is>
      </c>
      <c r="I264" t="inlineStr">
        <is>
          <t>All</t>
        </is>
      </c>
      <c r="J264" t="inlineStr">
        <is>
          <t>All</t>
        </is>
      </c>
      <c r="K264" t="inlineStr">
        <is>
          <t>All</t>
        </is>
      </c>
      <c r="L264" t="inlineStr">
        <is>
          <t>Nearest 1%</t>
        </is>
      </c>
    </row>
    <row r="265"/>
    <row r="266"/>
    <row r="267" ht="72" customHeight="1" s="44"/>
    <row r="268" ht="90" customHeight="1" s="44">
      <c r="A268" t="inlineStr">
        <is>
          <t>H511</t>
        </is>
      </c>
      <c r="B268" s="2" t="inlineStr">
        <is>
          <t>A. Any loan program: Federal Perkins, Federal Stafford Subsidized and Unsubsidized, institutional, state, private loans that your institution is aware of, etc. Include both Federal Direct Student Loans and Federal Family Education Loans.</t>
        </is>
      </c>
      <c r="C268" s="52" t="n">
        <v>27733</v>
      </c>
      <c r="D268" t="inlineStr">
        <is>
          <t>Financial Aid</t>
        </is>
      </c>
      <c r="E268" t="inlineStr">
        <is>
          <t>Source Type Loan</t>
        </is>
      </c>
      <c r="F268" t="inlineStr">
        <is>
          <t>Average per Borrower</t>
        </is>
      </c>
      <c r="G268" t="inlineStr">
        <is>
          <t>Undergraduate</t>
        </is>
      </c>
      <c r="H268" t="inlineStr">
        <is>
          <t>First-time, first-year</t>
        </is>
      </c>
      <c r="I268" t="inlineStr">
        <is>
          <t>All</t>
        </is>
      </c>
      <c r="J268" t="inlineStr">
        <is>
          <t>All</t>
        </is>
      </c>
      <c r="K268" t="inlineStr">
        <is>
          <t>All</t>
        </is>
      </c>
      <c r="L268" t="inlineStr">
        <is>
          <t>Nearest $1</t>
        </is>
      </c>
    </row>
    <row r="269" ht="75" customHeight="1" s="44">
      <c r="A269" t="inlineStr">
        <is>
          <t>H512</t>
        </is>
      </c>
      <c r="B269" s="2" t="inlineStr">
        <is>
          <t>B. Federal loan programs: Federal Perkins, Federal Stafford Subsidized and Unsubsidized. Include both Federal Direct Student Loans and Federal Family Education Loans.</t>
        </is>
      </c>
      <c r="C269" s="52" t="n">
        <v>18150</v>
      </c>
      <c r="D269" t="inlineStr">
        <is>
          <t>Financial Aid</t>
        </is>
      </c>
      <c r="E269" t="inlineStr">
        <is>
          <t>Source Type Loan</t>
        </is>
      </c>
      <c r="F269" t="inlineStr">
        <is>
          <t>Average per Borrower</t>
        </is>
      </c>
      <c r="G269" t="inlineStr">
        <is>
          <t>Undergraduate</t>
        </is>
      </c>
      <c r="H269" t="inlineStr">
        <is>
          <t>First-time, first-year</t>
        </is>
      </c>
      <c r="I269" t="inlineStr">
        <is>
          <t>All</t>
        </is>
      </c>
      <c r="J269" t="inlineStr">
        <is>
          <t>All</t>
        </is>
      </c>
      <c r="K269" t="inlineStr">
        <is>
          <t>All</t>
        </is>
      </c>
      <c r="L269" t="inlineStr">
        <is>
          <t>Nearest $1</t>
        </is>
      </c>
    </row>
    <row r="270" ht="18" customHeight="1" s="44">
      <c r="A270" t="inlineStr">
        <is>
          <t>H513</t>
        </is>
      </c>
      <c r="B270" s="2" t="inlineStr">
        <is>
          <t>C. Institutional loan programs.</t>
        </is>
      </c>
      <c r="C270" s="52" t="n">
        <v>9510</v>
      </c>
      <c r="D270" t="inlineStr">
        <is>
          <t>Financial Aid</t>
        </is>
      </c>
      <c r="E270" t="inlineStr">
        <is>
          <t>Source Type Loan</t>
        </is>
      </c>
      <c r="F270" t="inlineStr">
        <is>
          <t>Average per Borrower</t>
        </is>
      </c>
      <c r="G270" t="inlineStr">
        <is>
          <t>Undergraduate</t>
        </is>
      </c>
      <c r="H270" t="inlineStr">
        <is>
          <t>First-time, first-year</t>
        </is>
      </c>
      <c r="I270" t="inlineStr">
        <is>
          <t>All</t>
        </is>
      </c>
      <c r="J270" t="inlineStr">
        <is>
          <t>All</t>
        </is>
      </c>
      <c r="K270" t="inlineStr">
        <is>
          <t>All</t>
        </is>
      </c>
      <c r="L270" t="inlineStr">
        <is>
          <t>Nearest $1</t>
        </is>
      </c>
    </row>
    <row r="271" ht="18" customHeight="1" s="44">
      <c r="A271" t="inlineStr">
        <is>
          <t>H514</t>
        </is>
      </c>
      <c r="B271" s="2" t="inlineStr">
        <is>
          <t>D. State loan programs.</t>
        </is>
      </c>
      <c r="C271" s="52" t="n">
        <v>3000</v>
      </c>
      <c r="D271" t="inlineStr">
        <is>
          <t>Financial Aid</t>
        </is>
      </c>
      <c r="E271" t="inlineStr">
        <is>
          <t>Source Type Loan</t>
        </is>
      </c>
      <c r="F271" t="inlineStr">
        <is>
          <t>Average per Borrower</t>
        </is>
      </c>
      <c r="G271" t="inlineStr">
        <is>
          <t>Undergraduate</t>
        </is>
      </c>
      <c r="H271" t="inlineStr">
        <is>
          <t>First-time, first-year</t>
        </is>
      </c>
      <c r="I271" t="inlineStr">
        <is>
          <t>All</t>
        </is>
      </c>
      <c r="J271" t="inlineStr">
        <is>
          <t>All</t>
        </is>
      </c>
      <c r="K271" t="inlineStr">
        <is>
          <t>All</t>
        </is>
      </c>
      <c r="L271" t="inlineStr">
        <is>
          <t>Nearest $1</t>
        </is>
      </c>
    </row>
    <row r="272" ht="18" customHeight="1" s="44">
      <c r="A272" t="inlineStr">
        <is>
          <t>H515</t>
        </is>
      </c>
      <c r="B272" s="2" t="inlineStr">
        <is>
          <t>E. Private student loans made by a bank or lender.</t>
        </is>
      </c>
      <c r="C272" s="52" t="n">
        <v>40492</v>
      </c>
      <c r="D272" t="inlineStr">
        <is>
          <t>Financial Aid</t>
        </is>
      </c>
      <c r="E272" t="inlineStr">
        <is>
          <t>Source Type Loan</t>
        </is>
      </c>
      <c r="F272" t="inlineStr">
        <is>
          <t>Average per Borrower</t>
        </is>
      </c>
      <c r="G272" t="inlineStr">
        <is>
          <t>Undergraduate</t>
        </is>
      </c>
      <c r="H272" t="inlineStr">
        <is>
          <t>First-time, first-year</t>
        </is>
      </c>
      <c r="I272" t="inlineStr">
        <is>
          <t>All</t>
        </is>
      </c>
      <c r="J272" t="inlineStr">
        <is>
          <t>All</t>
        </is>
      </c>
      <c r="K272" t="inlineStr">
        <is>
          <t>All</t>
        </is>
      </c>
      <c r="L272" t="inlineStr">
        <is>
          <t>Nearest $1</t>
        </is>
      </c>
    </row>
    <row r="273"/>
    <row r="274"/>
    <row r="275"/>
    <row r="276"/>
    <row r="277"/>
    <row r="278"/>
    <row r="279" ht="45.95" customHeight="1" s="44"/>
    <row r="280" ht="30" customHeight="1" s="44">
      <c r="A280" t="inlineStr">
        <is>
          <t>H601</t>
        </is>
      </c>
      <c r="B280" s="2" t="inlineStr">
        <is>
          <t>Institutional need-based scholarship or grant aid is available</t>
        </is>
      </c>
      <c r="C280" s="2" t="n"/>
      <c r="D280" t="inlineStr">
        <is>
          <t>Financial Aid</t>
        </is>
      </c>
      <c r="E280" t="inlineStr">
        <is>
          <t>Aid to Nonresidents</t>
        </is>
      </c>
      <c r="F280" t="inlineStr">
        <is>
          <t>Aid Policy</t>
        </is>
      </c>
      <c r="G280" t="inlineStr">
        <is>
          <t>Undergraduate</t>
        </is>
      </c>
      <c r="H280" t="inlineStr">
        <is>
          <t>All</t>
        </is>
      </c>
      <c r="I280" t="inlineStr">
        <is>
          <t>All</t>
        </is>
      </c>
      <c r="J280" t="inlineStr">
        <is>
          <t>All</t>
        </is>
      </c>
      <c r="K280" t="inlineStr">
        <is>
          <t>All</t>
        </is>
      </c>
      <c r="L280" t="inlineStr">
        <is>
          <t>x</t>
        </is>
      </c>
    </row>
    <row r="281" ht="30" customHeight="1" s="44">
      <c r="A281" t="inlineStr">
        <is>
          <t>H602</t>
        </is>
      </c>
      <c r="B281" s="2" t="inlineStr">
        <is>
          <t>Institutional non-need-based scholarship or grant aid is available</t>
        </is>
      </c>
      <c r="C281" s="2" t="n"/>
      <c r="D281" t="inlineStr">
        <is>
          <t>Financial Aid</t>
        </is>
      </c>
      <c r="E281" t="inlineStr">
        <is>
          <t>Aid to Nonresidents</t>
        </is>
      </c>
      <c r="F281" t="inlineStr">
        <is>
          <t>Aid Policy</t>
        </is>
      </c>
      <c r="G281" t="inlineStr">
        <is>
          <t>Undergraduate</t>
        </is>
      </c>
      <c r="H281" t="inlineStr">
        <is>
          <t>All</t>
        </is>
      </c>
      <c r="I281" t="inlineStr">
        <is>
          <t>All</t>
        </is>
      </c>
      <c r="J281" t="inlineStr">
        <is>
          <t>All</t>
        </is>
      </c>
      <c r="K281" t="inlineStr">
        <is>
          <t>All</t>
        </is>
      </c>
      <c r="L281" t="inlineStr">
        <is>
          <t>x</t>
        </is>
      </c>
    </row>
    <row r="282" ht="29.25" customHeight="1" s="44">
      <c r="A282" t="inlineStr">
        <is>
          <t>H603</t>
        </is>
      </c>
      <c r="B282" s="2" t="inlineStr">
        <is>
          <t>Institutional scholarship or grant aid is not available</t>
        </is>
      </c>
      <c r="C282" s="2" t="inlineStr">
        <is>
          <t>x</t>
        </is>
      </c>
      <c r="D282" t="inlineStr">
        <is>
          <t>Financial Aid</t>
        </is>
      </c>
      <c r="E282" t="inlineStr">
        <is>
          <t>Aid to Nonresidents</t>
        </is>
      </c>
      <c r="F282" t="inlineStr">
        <is>
          <t>Aid Policy</t>
        </is>
      </c>
      <c r="G282" t="inlineStr">
        <is>
          <t>Undergraduate</t>
        </is>
      </c>
      <c r="H282" t="inlineStr">
        <is>
          <t>All</t>
        </is>
      </c>
      <c r="I282" t="inlineStr">
        <is>
          <t>All</t>
        </is>
      </c>
      <c r="J282" t="inlineStr">
        <is>
          <t>All</t>
        </is>
      </c>
      <c r="K282" t="inlineStr">
        <is>
          <t>All</t>
        </is>
      </c>
      <c r="L282" t="inlineStr">
        <is>
          <t>x</t>
        </is>
      </c>
    </row>
    <row r="283"/>
    <row r="284"/>
    <row r="285" ht="90" customHeight="1" s="44">
      <c r="A285" t="inlineStr">
        <is>
          <t>H604</t>
        </is>
      </c>
      <c r="B285" s="2" t="inlineStr">
        <is>
          <t>If institutional financial aid is available for undergraduate degree-seeking nonresidents, provide the number of undergraduate degree-seeking nonresidents who were awarded need-based or non-need-based aid:</t>
        </is>
      </c>
      <c r="C285" s="2" t="n"/>
      <c r="D285" t="inlineStr">
        <is>
          <t>Financial Aid</t>
        </is>
      </c>
      <c r="E285" t="inlineStr">
        <is>
          <t>Aid to Nonresidents</t>
        </is>
      </c>
      <c r="F285" t="inlineStr">
        <is>
          <t>Awardees</t>
        </is>
      </c>
      <c r="G285" t="inlineStr">
        <is>
          <t>Undergraduate</t>
        </is>
      </c>
      <c r="H285" t="inlineStr">
        <is>
          <t>All</t>
        </is>
      </c>
      <c r="I285" t="inlineStr">
        <is>
          <t>All</t>
        </is>
      </c>
      <c r="J285" t="inlineStr">
        <is>
          <t>All</t>
        </is>
      </c>
      <c r="K285" t="inlineStr">
        <is>
          <t>All</t>
        </is>
      </c>
      <c r="L285" t="inlineStr">
        <is>
          <t>Number</t>
        </is>
      </c>
    </row>
    <row r="286">
      <c r="B286" s="2" t="n"/>
      <c r="C286" s="2" t="n"/>
      <c r="E286" s="2" t="n"/>
      <c r="F286" s="2" t="n"/>
    </row>
    <row r="287">
      <c r="B287" s="2" t="n"/>
      <c r="C287" s="2" t="n"/>
      <c r="E287" s="2" t="n"/>
      <c r="F287" s="2" t="n"/>
    </row>
    <row r="288" ht="45" customHeight="1" s="44">
      <c r="A288" t="inlineStr">
        <is>
          <t>H605</t>
        </is>
      </c>
      <c r="B288" s="2" t="inlineStr">
        <is>
          <t>Average dollar amount of institutional financial aid awarded to undergraduate degree-seeking nonresidents:</t>
        </is>
      </c>
      <c r="C288" s="52" t="n"/>
      <c r="D288" t="inlineStr">
        <is>
          <t>Financial Aid</t>
        </is>
      </c>
      <c r="E288" t="inlineStr">
        <is>
          <t>Aid to Nonresidents</t>
        </is>
      </c>
      <c r="F288" t="inlineStr">
        <is>
          <t>Average Award</t>
        </is>
      </c>
      <c r="G288" t="inlineStr">
        <is>
          <t>Undergraduate</t>
        </is>
      </c>
      <c r="H288" t="inlineStr">
        <is>
          <t>All</t>
        </is>
      </c>
      <c r="I288" t="inlineStr">
        <is>
          <t>All</t>
        </is>
      </c>
      <c r="J288" t="inlineStr">
        <is>
          <t>All</t>
        </is>
      </c>
      <c r="K288" t="inlineStr">
        <is>
          <t>All</t>
        </is>
      </c>
      <c r="L288" t="inlineStr">
        <is>
          <t>Nearest $1</t>
        </is>
      </c>
    </row>
    <row r="289">
      <c r="B289" s="2" t="n"/>
      <c r="C289" s="2" t="n"/>
      <c r="E289" s="2" t="n"/>
      <c r="F289" s="2" t="n"/>
    </row>
    <row r="290">
      <c r="B290" s="2" t="n"/>
      <c r="C290" s="2" t="n"/>
      <c r="E290" s="2" t="n"/>
      <c r="F290" s="2" t="n"/>
    </row>
    <row r="291" ht="45" customHeight="1" s="44">
      <c r="A291" t="inlineStr">
        <is>
          <t>H606</t>
        </is>
      </c>
      <c r="B291" s="2" t="inlineStr">
        <is>
          <t>Total dollar amount of institutional financial aid awarded to undergraduate degree-seeking nonresidents:</t>
        </is>
      </c>
      <c r="C291" s="52" t="n"/>
      <c r="D291" t="inlineStr">
        <is>
          <t>Financial Aid</t>
        </is>
      </c>
      <c r="E291" t="inlineStr">
        <is>
          <t>Aid to Nonresidents</t>
        </is>
      </c>
      <c r="F291" t="inlineStr">
        <is>
          <t>Total Amount</t>
        </is>
      </c>
      <c r="G291" t="inlineStr">
        <is>
          <t>Undergraduate</t>
        </is>
      </c>
      <c r="H291" t="inlineStr">
        <is>
          <t>All</t>
        </is>
      </c>
      <c r="I291" t="inlineStr">
        <is>
          <t>All</t>
        </is>
      </c>
      <c r="J291" t="inlineStr">
        <is>
          <t>All</t>
        </is>
      </c>
      <c r="K291" t="inlineStr">
        <is>
          <t>All</t>
        </is>
      </c>
      <c r="L291" t="inlineStr">
        <is>
          <t>Nearest $1</t>
        </is>
      </c>
    </row>
    <row r="292"/>
    <row r="293"/>
    <row r="294"/>
    <row r="295"/>
    <row r="296"/>
    <row r="297" ht="18.6" customHeight="1" s="44"/>
    <row r="298" ht="18.6" customHeight="1" s="44">
      <c r="A298" t="inlineStr">
        <is>
          <t>H7101</t>
        </is>
      </c>
      <c r="B298" t="inlineStr">
        <is>
          <t>Institution’s own financial aid form</t>
        </is>
      </c>
      <c r="D298" t="inlineStr">
        <is>
          <t>Financial Aid</t>
        </is>
      </c>
      <c r="E298" t="inlineStr">
        <is>
          <t>Financial Aid Forms</t>
        </is>
      </c>
      <c r="F298" t="inlineStr">
        <is>
          <t>Applicants</t>
        </is>
      </c>
      <c r="G298" t="inlineStr">
        <is>
          <t>Undergraduate</t>
        </is>
      </c>
      <c r="H298" t="inlineStr">
        <is>
          <t>First-year</t>
        </is>
      </c>
      <c r="I298" t="inlineStr">
        <is>
          <t>Nonresidents</t>
        </is>
      </c>
      <c r="J298" t="inlineStr">
        <is>
          <t>All</t>
        </is>
      </c>
      <c r="K298" t="inlineStr">
        <is>
          <t>All</t>
        </is>
      </c>
      <c r="L298" t="inlineStr">
        <is>
          <t>x</t>
        </is>
      </c>
    </row>
    <row r="299" ht="18.6" customHeight="1" s="44">
      <c r="A299" t="inlineStr">
        <is>
          <t>H7102</t>
        </is>
      </c>
      <c r="B299" t="inlineStr">
        <is>
          <t>CSS/Financial Aid PROFILE</t>
        </is>
      </c>
      <c r="D299" t="inlineStr">
        <is>
          <t>Financial Aid</t>
        </is>
      </c>
      <c r="E299" t="inlineStr">
        <is>
          <t>Financial Aid Forms</t>
        </is>
      </c>
      <c r="F299" t="inlineStr">
        <is>
          <t>Applicants</t>
        </is>
      </c>
      <c r="G299" t="inlineStr">
        <is>
          <t>Undergraduate</t>
        </is>
      </c>
      <c r="H299" t="inlineStr">
        <is>
          <t>First-year</t>
        </is>
      </c>
      <c r="I299" t="inlineStr">
        <is>
          <t>Nonresidents</t>
        </is>
      </c>
      <c r="J299" t="inlineStr">
        <is>
          <t>All</t>
        </is>
      </c>
      <c r="K299" t="inlineStr">
        <is>
          <t>All</t>
        </is>
      </c>
      <c r="L299" t="inlineStr">
        <is>
          <t>x</t>
        </is>
      </c>
    </row>
    <row r="300" ht="18.6" customHeight="1" s="44"/>
    <row r="301" ht="18.6" customHeight="1" s="44">
      <c r="A301" t="inlineStr">
        <is>
          <t>H7103</t>
        </is>
      </c>
      <c r="B301" t="inlineStr">
        <is>
          <t>Other (specify):</t>
        </is>
      </c>
      <c r="D301" t="inlineStr">
        <is>
          <t>Financial Aid</t>
        </is>
      </c>
      <c r="E301" t="inlineStr">
        <is>
          <t>Financial Aid Forms</t>
        </is>
      </c>
      <c r="F301" t="inlineStr">
        <is>
          <t>Applicants</t>
        </is>
      </c>
      <c r="G301" t="inlineStr">
        <is>
          <t>Undergraduate</t>
        </is>
      </c>
      <c r="H301" t="inlineStr">
        <is>
          <t>First-year</t>
        </is>
      </c>
      <c r="I301" t="inlineStr">
        <is>
          <t>Nonresidents</t>
        </is>
      </c>
      <c r="J301" t="inlineStr">
        <is>
          <t>All</t>
        </is>
      </c>
      <c r="K301" t="inlineStr">
        <is>
          <t>All</t>
        </is>
      </c>
      <c r="L301" t="inlineStr">
        <is>
          <t>Text</t>
        </is>
      </c>
    </row>
    <row r="302" ht="18.6" customHeight="1" s="44"/>
    <row r="303"/>
    <row r="304"/>
    <row r="305"/>
    <row r="306"/>
    <row r="307"/>
    <row r="308"/>
    <row r="309" ht="18" customHeight="1" s="44"/>
    <row r="310" ht="18" customHeight="1" s="44">
      <c r="A310" t="inlineStr">
        <is>
          <t>H801</t>
        </is>
      </c>
      <c r="B310" t="inlineStr">
        <is>
          <t>FAFSA</t>
        </is>
      </c>
      <c r="C310" t="inlineStr">
        <is>
          <t>x</t>
        </is>
      </c>
      <c r="D310" t="inlineStr">
        <is>
          <t>Financial Aid</t>
        </is>
      </c>
      <c r="E310" t="inlineStr">
        <is>
          <t>Financial Aid Forms</t>
        </is>
      </c>
      <c r="F310" t="inlineStr">
        <is>
          <t>Applicants</t>
        </is>
      </c>
      <c r="G310" t="inlineStr">
        <is>
          <t>Undergraduate</t>
        </is>
      </c>
      <c r="H310" t="inlineStr">
        <is>
          <t>First-year</t>
        </is>
      </c>
      <c r="I310" t="inlineStr">
        <is>
          <t>Domestic</t>
        </is>
      </c>
      <c r="J310" t="inlineStr">
        <is>
          <t>All</t>
        </is>
      </c>
      <c r="K310" t="inlineStr">
        <is>
          <t>All</t>
        </is>
      </c>
      <c r="L310" t="inlineStr">
        <is>
          <t>x</t>
        </is>
      </c>
    </row>
    <row r="311" ht="18" customHeight="1" s="44">
      <c r="A311" t="inlineStr">
        <is>
          <t>H802</t>
        </is>
      </c>
      <c r="B311" t="inlineStr">
        <is>
          <t>Institution's own financial aid form</t>
        </is>
      </c>
      <c r="D311" t="inlineStr">
        <is>
          <t>Financial Aid</t>
        </is>
      </c>
      <c r="E311" t="inlineStr">
        <is>
          <t>Financial Aid Forms</t>
        </is>
      </c>
      <c r="F311" t="inlineStr">
        <is>
          <t>Applicants</t>
        </is>
      </c>
      <c r="G311" t="inlineStr">
        <is>
          <t>Undergraduate</t>
        </is>
      </c>
      <c r="H311" t="inlineStr">
        <is>
          <t>First-year</t>
        </is>
      </c>
      <c r="I311" t="inlineStr">
        <is>
          <t>Domestic</t>
        </is>
      </c>
      <c r="J311" t="inlineStr">
        <is>
          <t>All</t>
        </is>
      </c>
      <c r="K311" t="inlineStr">
        <is>
          <t>All</t>
        </is>
      </c>
      <c r="L311" t="inlineStr">
        <is>
          <t>x</t>
        </is>
      </c>
    </row>
    <row r="312" ht="18" customHeight="1" s="44">
      <c r="A312" t="inlineStr">
        <is>
          <t>H803</t>
        </is>
      </c>
      <c r="B312" t="inlineStr">
        <is>
          <t>CSS PROFILE</t>
        </is>
      </c>
      <c r="D312" t="inlineStr">
        <is>
          <t>Financial Aid</t>
        </is>
      </c>
      <c r="E312" t="inlineStr">
        <is>
          <t>Financial Aid Forms</t>
        </is>
      </c>
      <c r="F312" t="inlineStr">
        <is>
          <t>Applicants</t>
        </is>
      </c>
      <c r="G312" t="inlineStr">
        <is>
          <t>Undergraduate</t>
        </is>
      </c>
      <c r="H312" t="inlineStr">
        <is>
          <t>First-year</t>
        </is>
      </c>
      <c r="I312" t="inlineStr">
        <is>
          <t>Domestic</t>
        </is>
      </c>
      <c r="J312" t="inlineStr">
        <is>
          <t>All</t>
        </is>
      </c>
      <c r="K312" t="inlineStr">
        <is>
          <t>All</t>
        </is>
      </c>
      <c r="L312" t="inlineStr">
        <is>
          <t>x</t>
        </is>
      </c>
    </row>
    <row r="313" ht="18" customHeight="1" s="44">
      <c r="A313" t="inlineStr">
        <is>
          <t>H804</t>
        </is>
      </c>
      <c r="B313" t="inlineStr">
        <is>
          <t>State aid form</t>
        </is>
      </c>
      <c r="D313" t="inlineStr">
        <is>
          <t>Financial Aid</t>
        </is>
      </c>
      <c r="E313" t="inlineStr">
        <is>
          <t>Financial Aid Forms</t>
        </is>
      </c>
      <c r="F313" t="inlineStr">
        <is>
          <t>Applicants</t>
        </is>
      </c>
      <c r="G313" t="inlineStr">
        <is>
          <t>Undergraduate</t>
        </is>
      </c>
      <c r="H313" t="inlineStr">
        <is>
          <t>First-year</t>
        </is>
      </c>
      <c r="I313" t="inlineStr">
        <is>
          <t>Domestic</t>
        </is>
      </c>
      <c r="J313" t="inlineStr">
        <is>
          <t>All</t>
        </is>
      </c>
      <c r="K313" t="inlineStr">
        <is>
          <t>All</t>
        </is>
      </c>
      <c r="L313" t="inlineStr">
        <is>
          <t>x</t>
        </is>
      </c>
    </row>
    <row r="314" ht="18" customHeight="1" s="44">
      <c r="A314" t="inlineStr">
        <is>
          <t>H805</t>
        </is>
      </c>
      <c r="B314" t="inlineStr">
        <is>
          <t>Noncustodial PROFILE</t>
        </is>
      </c>
      <c r="D314" t="inlineStr">
        <is>
          <t>Financial Aid</t>
        </is>
      </c>
      <c r="E314" t="inlineStr">
        <is>
          <t>Financial Aid Forms</t>
        </is>
      </c>
      <c r="F314" t="inlineStr">
        <is>
          <t>Applicants</t>
        </is>
      </c>
      <c r="G314" t="inlineStr">
        <is>
          <t>Undergraduate</t>
        </is>
      </c>
      <c r="H314" t="inlineStr">
        <is>
          <t>First-year</t>
        </is>
      </c>
      <c r="I314" t="inlineStr">
        <is>
          <t>Domestic</t>
        </is>
      </c>
      <c r="J314" t="inlineStr">
        <is>
          <t>All</t>
        </is>
      </c>
      <c r="K314" t="inlineStr">
        <is>
          <t>All</t>
        </is>
      </c>
      <c r="L314" t="inlineStr">
        <is>
          <t>x</t>
        </is>
      </c>
    </row>
    <row r="315" ht="18" customHeight="1" s="44">
      <c r="A315" t="inlineStr">
        <is>
          <t>H806</t>
        </is>
      </c>
      <c r="B315" t="inlineStr">
        <is>
          <t>Business/Farm Supplement</t>
        </is>
      </c>
      <c r="D315" t="inlineStr">
        <is>
          <t>Financial Aid</t>
        </is>
      </c>
      <c r="E315" t="inlineStr">
        <is>
          <t>Financial Aid Forms</t>
        </is>
      </c>
      <c r="F315" t="inlineStr">
        <is>
          <t>Applicants</t>
        </is>
      </c>
      <c r="G315" t="inlineStr">
        <is>
          <t>Undergraduate</t>
        </is>
      </c>
      <c r="H315" t="inlineStr">
        <is>
          <t>First-year</t>
        </is>
      </c>
      <c r="I315" t="inlineStr">
        <is>
          <t>Domestic</t>
        </is>
      </c>
      <c r="J315" t="inlineStr">
        <is>
          <t>All</t>
        </is>
      </c>
      <c r="K315" t="inlineStr">
        <is>
          <t>All</t>
        </is>
      </c>
      <c r="L315" t="inlineStr">
        <is>
          <t>x</t>
        </is>
      </c>
    </row>
    <row r="316" ht="18" customHeight="1" s="44"/>
    <row r="317" ht="18" customHeight="1" s="44">
      <c r="A317" t="inlineStr">
        <is>
          <t>H807</t>
        </is>
      </c>
      <c r="B317" t="inlineStr">
        <is>
          <t>Other (specify):</t>
        </is>
      </c>
      <c r="D317" t="inlineStr">
        <is>
          <t>Financial Aid</t>
        </is>
      </c>
      <c r="E317" t="inlineStr">
        <is>
          <t>Financial Aid Forms</t>
        </is>
      </c>
      <c r="F317" t="inlineStr">
        <is>
          <t>Applicants</t>
        </is>
      </c>
      <c r="G317" t="inlineStr">
        <is>
          <t>Undergraduate</t>
        </is>
      </c>
      <c r="H317" t="inlineStr">
        <is>
          <t>First-year</t>
        </is>
      </c>
      <c r="I317" t="inlineStr">
        <is>
          <t>Domestic</t>
        </is>
      </c>
      <c r="J317" t="inlineStr">
        <is>
          <t>All</t>
        </is>
      </c>
      <c r="K317" t="inlineStr">
        <is>
          <t>All</t>
        </is>
      </c>
      <c r="L317" t="inlineStr">
        <is>
          <t>Text</t>
        </is>
      </c>
    </row>
    <row r="318" ht="18" customHeight="1" s="44"/>
    <row r="319">
      <c r="B319" s="3" t="n"/>
    </row>
    <row r="320"/>
    <row r="321"/>
    <row r="322"/>
    <row r="323"/>
    <row r="324">
      <c r="A324" t="inlineStr">
        <is>
          <t>H901</t>
        </is>
      </c>
      <c r="B324" t="inlineStr">
        <is>
          <t>Priority date for filing required financial aid forms:</t>
        </is>
      </c>
      <c r="D324" t="inlineStr">
        <is>
          <t>Financial Aid</t>
        </is>
      </c>
      <c r="E324" t="inlineStr">
        <is>
          <t>Financial Aid Deadlines</t>
        </is>
      </c>
      <c r="F324" t="inlineStr">
        <is>
          <t>All</t>
        </is>
      </c>
      <c r="G324" t="inlineStr">
        <is>
          <t>Undergraduate</t>
        </is>
      </c>
      <c r="H324" t="inlineStr">
        <is>
          <t>First-year</t>
        </is>
      </c>
      <c r="I324" t="inlineStr">
        <is>
          <t>All</t>
        </is>
      </c>
      <c r="J324" t="inlineStr">
        <is>
          <t>All</t>
        </is>
      </c>
      <c r="K324" t="inlineStr">
        <is>
          <t>All</t>
        </is>
      </c>
      <c r="L324" t="inlineStr">
        <is>
          <t>MM-DD</t>
        </is>
      </c>
    </row>
    <row r="325">
      <c r="A325" t="inlineStr">
        <is>
          <t>H902</t>
        </is>
      </c>
      <c r="B325" t="inlineStr">
        <is>
          <t>Deadline for filing required financial aid forms:</t>
        </is>
      </c>
      <c r="C325" s="46" t="n">
        <v>46127</v>
      </c>
      <c r="D325" t="inlineStr">
        <is>
          <t>Financial Aid</t>
        </is>
      </c>
      <c r="E325" t="inlineStr">
        <is>
          <t>Financial Aid Deadlines</t>
        </is>
      </c>
      <c r="F325" t="inlineStr">
        <is>
          <t>All</t>
        </is>
      </c>
      <c r="G325" t="inlineStr">
        <is>
          <t>Undergraduate</t>
        </is>
      </c>
      <c r="H325" t="inlineStr">
        <is>
          <t>First-year</t>
        </is>
      </c>
      <c r="I325" t="inlineStr">
        <is>
          <t>All</t>
        </is>
      </c>
      <c r="J325" t="inlineStr">
        <is>
          <t>All</t>
        </is>
      </c>
      <c r="K325" t="inlineStr">
        <is>
          <t>All</t>
        </is>
      </c>
      <c r="L325" t="inlineStr">
        <is>
          <t>MM-DD</t>
        </is>
      </c>
    </row>
    <row r="326"/>
    <row r="327" ht="30" customHeight="1" s="44">
      <c r="A327" t="inlineStr">
        <is>
          <t>H903</t>
        </is>
      </c>
      <c r="B327" s="2" t="inlineStr">
        <is>
          <t>No deadline for filing required forms (applications processed on a rolling basis)</t>
        </is>
      </c>
      <c r="D327" t="inlineStr">
        <is>
          <t>Financial Aid</t>
        </is>
      </c>
      <c r="E327" t="inlineStr">
        <is>
          <t>Financial Aid Deadlines</t>
        </is>
      </c>
      <c r="F327" t="inlineStr">
        <is>
          <t>All</t>
        </is>
      </c>
      <c r="G327" t="inlineStr">
        <is>
          <t>Undergraduate</t>
        </is>
      </c>
      <c r="H327" t="inlineStr">
        <is>
          <t>First-year</t>
        </is>
      </c>
      <c r="I327" t="inlineStr">
        <is>
          <t>All</t>
        </is>
      </c>
      <c r="J327" t="inlineStr">
        <is>
          <t>All</t>
        </is>
      </c>
      <c r="K327" t="inlineStr">
        <is>
          <t>All</t>
        </is>
      </c>
      <c r="L327" t="inlineStr">
        <is>
          <t>x</t>
        </is>
      </c>
    </row>
    <row r="328"/>
    <row r="329"/>
    <row r="330"/>
    <row r="331"/>
    <row r="332" ht="18" customHeight="1" s="44"/>
    <row r="333" ht="18" customHeight="1" s="44">
      <c r="A333" t="inlineStr">
        <is>
          <t>H1001</t>
        </is>
      </c>
      <c r="B333" s="32" t="inlineStr">
        <is>
          <t xml:space="preserve">a) Students notified on or about (date): </t>
        </is>
      </c>
      <c r="D333" t="inlineStr">
        <is>
          <t>Financial Aid</t>
        </is>
      </c>
      <c r="E333" t="inlineStr">
        <is>
          <t>Financial Aid Notification</t>
        </is>
      </c>
      <c r="F333" t="inlineStr">
        <is>
          <t>All</t>
        </is>
      </c>
      <c r="G333" t="inlineStr">
        <is>
          <t>Undergraduate</t>
        </is>
      </c>
      <c r="H333" t="inlineStr">
        <is>
          <t>First-year</t>
        </is>
      </c>
      <c r="I333" t="inlineStr">
        <is>
          <t>All</t>
        </is>
      </c>
      <c r="J333" t="inlineStr">
        <is>
          <t>All</t>
        </is>
      </c>
      <c r="K333" t="inlineStr">
        <is>
          <t>All</t>
        </is>
      </c>
      <c r="L333" t="inlineStr">
        <is>
          <t>MM-DD</t>
        </is>
      </c>
    </row>
    <row r="334" ht="18" customHeight="1" s="44">
      <c r="B334" s="32" t="n"/>
    </row>
    <row r="335" ht="18" customHeight="1" s="44">
      <c r="B335" s="32" t="n"/>
    </row>
    <row r="336" ht="18" customHeight="1" s="44"/>
    <row r="337" ht="18" customHeight="1" s="44">
      <c r="A337" t="inlineStr">
        <is>
          <t>H1002</t>
        </is>
      </c>
      <c r="B337" s="33" t="inlineStr">
        <is>
          <t>b) Students notified on a rolling basis:</t>
        </is>
      </c>
      <c r="C337" t="inlineStr">
        <is>
          <t>Y</t>
        </is>
      </c>
      <c r="D337" t="inlineStr">
        <is>
          <t>Financial Aid</t>
        </is>
      </c>
      <c r="E337" t="inlineStr">
        <is>
          <t>Financial Aid Notification</t>
        </is>
      </c>
      <c r="F337" t="inlineStr">
        <is>
          <t>All</t>
        </is>
      </c>
      <c r="G337" t="inlineStr">
        <is>
          <t>Undergraduate</t>
        </is>
      </c>
      <c r="H337" t="inlineStr">
        <is>
          <t>First-year</t>
        </is>
      </c>
      <c r="I337" t="inlineStr">
        <is>
          <t>All</t>
        </is>
      </c>
      <c r="J337" t="inlineStr">
        <is>
          <t>All</t>
        </is>
      </c>
      <c r="K337" t="inlineStr">
        <is>
          <t>All</t>
        </is>
      </c>
      <c r="L337" t="inlineStr">
        <is>
          <t>YN</t>
        </is>
      </c>
    </row>
    <row r="338" ht="18" customHeight="1" s="44">
      <c r="B338" s="3" t="n"/>
    </row>
    <row r="339" ht="18" customHeight="1" s="44"/>
    <row r="340" ht="18" customHeight="1" s="44">
      <c r="A340" t="inlineStr">
        <is>
          <t>H1003</t>
        </is>
      </c>
      <c r="B340" s="35" t="inlineStr">
        <is>
          <t>If yes, starting date:</t>
        </is>
      </c>
      <c r="D340" t="inlineStr">
        <is>
          <t>Financial Aid</t>
        </is>
      </c>
      <c r="E340" t="inlineStr">
        <is>
          <t>Financial Aid Notification</t>
        </is>
      </c>
      <c r="F340" t="inlineStr">
        <is>
          <t>All</t>
        </is>
      </c>
      <c r="G340" t="inlineStr">
        <is>
          <t>Undergraduate</t>
        </is>
      </c>
      <c r="H340" t="inlineStr">
        <is>
          <t>First-year</t>
        </is>
      </c>
      <c r="I340" t="inlineStr">
        <is>
          <t>All</t>
        </is>
      </c>
      <c r="J340" t="inlineStr">
        <is>
          <t>All</t>
        </is>
      </c>
      <c r="K340" t="inlineStr">
        <is>
          <t>All</t>
        </is>
      </c>
      <c r="L340" t="inlineStr">
        <is>
          <t>MM-DD</t>
        </is>
      </c>
    </row>
    <row r="341"/>
    <row r="342"/>
    <row r="343"/>
    <row r="344"/>
    <row r="345"/>
    <row r="346" ht="18" customHeight="1" s="44"/>
    <row r="347" ht="18" customHeight="1" s="44">
      <c r="A347" t="inlineStr">
        <is>
          <t>H1101</t>
        </is>
      </c>
      <c r="B347" s="32" t="inlineStr">
        <is>
          <t xml:space="preserve">Students must reply by (date): </t>
        </is>
      </c>
      <c r="D347" t="inlineStr">
        <is>
          <t>Financial Aid</t>
        </is>
      </c>
      <c r="E347" t="inlineStr">
        <is>
          <t>Financial Aid Reply</t>
        </is>
      </c>
      <c r="F347" t="inlineStr">
        <is>
          <t>All</t>
        </is>
      </c>
      <c r="G347" t="inlineStr">
        <is>
          <t>Undergraduate</t>
        </is>
      </c>
      <c r="H347" t="inlineStr">
        <is>
          <t>First-year</t>
        </is>
      </c>
      <c r="I347" t="inlineStr">
        <is>
          <t>All</t>
        </is>
      </c>
      <c r="J347" t="inlineStr">
        <is>
          <t>All</t>
        </is>
      </c>
      <c r="K347" t="inlineStr">
        <is>
          <t>All</t>
        </is>
      </c>
      <c r="L347" t="inlineStr">
        <is>
          <t>MM-DD</t>
        </is>
      </c>
    </row>
    <row r="348">
      <c r="B348" s="32" t="n"/>
    </row>
    <row r="349" ht="18" customHeight="1" s="44">
      <c r="B349" s="32" t="n"/>
    </row>
    <row r="350" ht="18" customHeight="1" s="44">
      <c r="A350" t="inlineStr">
        <is>
          <t>H1102</t>
        </is>
      </c>
      <c r="B350" s="33" t="inlineStr">
        <is>
          <t>or within____weeks of notification.</t>
        </is>
      </c>
      <c r="C350" t="n">
        <v>3</v>
      </c>
      <c r="D350" t="inlineStr">
        <is>
          <t>Financial Aid</t>
        </is>
      </c>
      <c r="E350" t="inlineStr">
        <is>
          <t>Financial Aid Reply</t>
        </is>
      </c>
      <c r="F350" t="inlineStr">
        <is>
          <t>All</t>
        </is>
      </c>
      <c r="G350" t="inlineStr">
        <is>
          <t>Undergraduate</t>
        </is>
      </c>
      <c r="H350" t="inlineStr">
        <is>
          <t>First-year</t>
        </is>
      </c>
      <c r="I350" t="inlineStr">
        <is>
          <t>All</t>
        </is>
      </c>
      <c r="J350" t="inlineStr">
        <is>
          <t>All</t>
        </is>
      </c>
      <c r="K350" t="inlineStr">
        <is>
          <t>All</t>
        </is>
      </c>
      <c r="L350" t="inlineStr">
        <is>
          <t>Number</t>
        </is>
      </c>
    </row>
    <row r="351">
      <c r="B351" s="34" t="n"/>
    </row>
    <row r="352"/>
    <row r="353"/>
    <row r="354"/>
    <row r="355"/>
    <row r="356"/>
    <row r="357"/>
    <row r="358" ht="18" customHeight="1" s="44"/>
    <row r="359" ht="18" customHeight="1" s="44">
      <c r="A359" t="inlineStr">
        <is>
          <t>H1201</t>
        </is>
      </c>
      <c r="B359" t="inlineStr">
        <is>
          <t>Federal Direct Subsidized Stafford Loans</t>
        </is>
      </c>
      <c r="C359" t="inlineStr">
        <is>
          <t>x</t>
        </is>
      </c>
      <c r="D359" t="inlineStr">
        <is>
          <t>Financial Aid</t>
        </is>
      </c>
      <c r="E359" t="inlineStr">
        <is>
          <t>Aid Available</t>
        </is>
      </c>
      <c r="F359" t="inlineStr">
        <is>
          <t>Loans</t>
        </is>
      </c>
      <c r="G359" t="inlineStr">
        <is>
          <t>Undergraduate</t>
        </is>
      </c>
      <c r="H359" t="inlineStr">
        <is>
          <t>Undergraduates</t>
        </is>
      </c>
      <c r="I359" t="inlineStr">
        <is>
          <t>All</t>
        </is>
      </c>
      <c r="J359" t="inlineStr">
        <is>
          <t>All</t>
        </is>
      </c>
      <c r="K359" t="inlineStr">
        <is>
          <t>All</t>
        </is>
      </c>
      <c r="L359" t="inlineStr">
        <is>
          <t>x</t>
        </is>
      </c>
    </row>
    <row r="360" ht="18" customHeight="1" s="44">
      <c r="A360" t="inlineStr">
        <is>
          <t>H1202</t>
        </is>
      </c>
      <c r="B360" t="inlineStr">
        <is>
          <t>Federal Direct Unsubsidized Stafford Loans</t>
        </is>
      </c>
      <c r="C360" t="inlineStr">
        <is>
          <t>x</t>
        </is>
      </c>
      <c r="D360" t="inlineStr">
        <is>
          <t>Financial Aid</t>
        </is>
      </c>
      <c r="E360" t="inlineStr">
        <is>
          <t>Aid Available</t>
        </is>
      </c>
      <c r="F360" t="inlineStr">
        <is>
          <t>Loans</t>
        </is>
      </c>
      <c r="G360" t="inlineStr">
        <is>
          <t>Undergraduate</t>
        </is>
      </c>
      <c r="H360" t="inlineStr">
        <is>
          <t>Undergraduates</t>
        </is>
      </c>
      <c r="I360" t="inlineStr">
        <is>
          <t>All</t>
        </is>
      </c>
      <c r="J360" t="inlineStr">
        <is>
          <t>All</t>
        </is>
      </c>
      <c r="K360" t="inlineStr">
        <is>
          <t>All</t>
        </is>
      </c>
      <c r="L360" t="inlineStr">
        <is>
          <t>x</t>
        </is>
      </c>
    </row>
    <row r="361" ht="18" customHeight="1" s="44">
      <c r="A361" t="inlineStr">
        <is>
          <t>H1203</t>
        </is>
      </c>
      <c r="B361" t="inlineStr">
        <is>
          <t>Federal Direct PLUS Loans</t>
        </is>
      </c>
      <c r="C361" t="inlineStr">
        <is>
          <t>x</t>
        </is>
      </c>
      <c r="D361" t="inlineStr">
        <is>
          <t>Financial Aid</t>
        </is>
      </c>
      <c r="E361" t="inlineStr">
        <is>
          <t>Aid Available</t>
        </is>
      </c>
      <c r="F361" t="inlineStr">
        <is>
          <t>Loans</t>
        </is>
      </c>
      <c r="G361" t="inlineStr">
        <is>
          <t>Undergraduate</t>
        </is>
      </c>
      <c r="H361" t="inlineStr">
        <is>
          <t>Undergraduates</t>
        </is>
      </c>
      <c r="I361" t="inlineStr">
        <is>
          <t>All</t>
        </is>
      </c>
      <c r="J361" t="inlineStr">
        <is>
          <t>All</t>
        </is>
      </c>
      <c r="K361" t="inlineStr">
        <is>
          <t>All</t>
        </is>
      </c>
      <c r="L361" t="inlineStr">
        <is>
          <t>x</t>
        </is>
      </c>
    </row>
    <row r="362" ht="18" customHeight="1" s="44">
      <c r="A362" t="inlineStr">
        <is>
          <t>H1204</t>
        </is>
      </c>
      <c r="B362" t="inlineStr">
        <is>
          <t>Federal Nursing Loans</t>
        </is>
      </c>
      <c r="C362" t="inlineStr">
        <is>
          <t>x</t>
        </is>
      </c>
      <c r="D362" t="inlineStr">
        <is>
          <t>Financial Aid</t>
        </is>
      </c>
      <c r="E362" t="inlineStr">
        <is>
          <t>Aid Available</t>
        </is>
      </c>
      <c r="F362" t="inlineStr">
        <is>
          <t>Loans</t>
        </is>
      </c>
      <c r="G362" t="inlineStr">
        <is>
          <t>Undergraduate</t>
        </is>
      </c>
      <c r="H362" t="inlineStr">
        <is>
          <t>Undergraduates</t>
        </is>
      </c>
      <c r="I362" t="inlineStr">
        <is>
          <t>All</t>
        </is>
      </c>
      <c r="J362" t="inlineStr">
        <is>
          <t>All</t>
        </is>
      </c>
      <c r="K362" t="inlineStr">
        <is>
          <t>All</t>
        </is>
      </c>
      <c r="L362" t="inlineStr">
        <is>
          <t>x</t>
        </is>
      </c>
    </row>
    <row r="363" ht="18" customHeight="1" s="44">
      <c r="A363" t="inlineStr">
        <is>
          <t>H1205</t>
        </is>
      </c>
      <c r="B363" t="inlineStr">
        <is>
          <t>State Loans</t>
        </is>
      </c>
      <c r="D363" t="inlineStr">
        <is>
          <t>Financial Aid</t>
        </is>
      </c>
      <c r="E363" t="inlineStr">
        <is>
          <t>Aid Available</t>
        </is>
      </c>
      <c r="F363" t="inlineStr">
        <is>
          <t>Loans</t>
        </is>
      </c>
      <c r="G363" t="inlineStr">
        <is>
          <t>Undergraduate</t>
        </is>
      </c>
      <c r="H363" t="inlineStr">
        <is>
          <t>Undergraduates</t>
        </is>
      </c>
      <c r="I363" t="inlineStr">
        <is>
          <t>All</t>
        </is>
      </c>
      <c r="J363" t="inlineStr">
        <is>
          <t>All</t>
        </is>
      </c>
      <c r="K363" t="inlineStr">
        <is>
          <t>All</t>
        </is>
      </c>
      <c r="L363" t="inlineStr">
        <is>
          <t>x</t>
        </is>
      </c>
    </row>
    <row r="364" ht="18" customHeight="1" s="44">
      <c r="A364" t="inlineStr">
        <is>
          <t>H1206</t>
        </is>
      </c>
      <c r="B364" t="inlineStr">
        <is>
          <t>College/university loans from institutional funds</t>
        </is>
      </c>
      <c r="D364" t="inlineStr">
        <is>
          <t>Financial Aid</t>
        </is>
      </c>
      <c r="E364" t="inlineStr">
        <is>
          <t>Aid Available</t>
        </is>
      </c>
      <c r="F364" t="inlineStr">
        <is>
          <t>Loans</t>
        </is>
      </c>
      <c r="G364" t="inlineStr">
        <is>
          <t>Undergraduate</t>
        </is>
      </c>
      <c r="H364" t="inlineStr">
        <is>
          <t>Undergraduates</t>
        </is>
      </c>
      <c r="I364" t="inlineStr">
        <is>
          <t>All</t>
        </is>
      </c>
      <c r="J364" t="inlineStr">
        <is>
          <t>All</t>
        </is>
      </c>
      <c r="K364" t="inlineStr">
        <is>
          <t>All</t>
        </is>
      </c>
      <c r="L364" t="inlineStr">
        <is>
          <t>x</t>
        </is>
      </c>
    </row>
    <row r="365" ht="18" customHeight="1" s="44"/>
    <row r="366" ht="18" customHeight="1" s="44">
      <c r="A366" t="inlineStr">
        <is>
          <t>H1207</t>
        </is>
      </c>
      <c r="B366" t="inlineStr">
        <is>
          <t>Other (specify):</t>
        </is>
      </c>
      <c r="D366" t="inlineStr">
        <is>
          <t>Financial Aid</t>
        </is>
      </c>
      <c r="E366" t="inlineStr">
        <is>
          <t>Aid Available</t>
        </is>
      </c>
      <c r="F366" t="inlineStr">
        <is>
          <t>Loans</t>
        </is>
      </c>
      <c r="G366" t="inlineStr">
        <is>
          <t>Undergraduate</t>
        </is>
      </c>
      <c r="H366" t="inlineStr">
        <is>
          <t>Undergraduates</t>
        </is>
      </c>
      <c r="I366" t="inlineStr">
        <is>
          <t>All</t>
        </is>
      </c>
      <c r="J366" t="inlineStr">
        <is>
          <t>All</t>
        </is>
      </c>
      <c r="K366" t="inlineStr">
        <is>
          <t>All</t>
        </is>
      </c>
      <c r="L366" t="inlineStr">
        <is>
          <t>Text</t>
        </is>
      </c>
    </row>
    <row r="367" ht="18" customHeight="1" s="44"/>
    <row r="368"/>
    <row r="369"/>
    <row r="370"/>
    <row r="371" ht="18" customHeight="1" s="44"/>
    <row r="372" ht="18" customHeight="1" s="44">
      <c r="A372" t="inlineStr">
        <is>
          <t>H1301</t>
        </is>
      </c>
      <c r="B372" t="inlineStr">
        <is>
          <t>Federal Pell Grants</t>
        </is>
      </c>
      <c r="C372" t="inlineStr">
        <is>
          <t>x</t>
        </is>
      </c>
      <c r="D372" t="inlineStr">
        <is>
          <t>Financial Aid</t>
        </is>
      </c>
      <c r="E372" t="inlineStr">
        <is>
          <t>Aid Available</t>
        </is>
      </c>
      <c r="F372" t="inlineStr">
        <is>
          <t>Need Based Schl Grt</t>
        </is>
      </c>
      <c r="G372" t="inlineStr">
        <is>
          <t>Undergraduate</t>
        </is>
      </c>
      <c r="H372" t="inlineStr">
        <is>
          <t>Undergraduates</t>
        </is>
      </c>
      <c r="I372" t="inlineStr">
        <is>
          <t>All</t>
        </is>
      </c>
      <c r="J372" t="inlineStr">
        <is>
          <t>All</t>
        </is>
      </c>
      <c r="K372" t="inlineStr">
        <is>
          <t>All</t>
        </is>
      </c>
      <c r="L372" t="inlineStr">
        <is>
          <t>x</t>
        </is>
      </c>
    </row>
    <row r="373" ht="18" customHeight="1" s="44">
      <c r="A373" t="inlineStr">
        <is>
          <t>H1302</t>
        </is>
      </c>
      <c r="B373" t="inlineStr">
        <is>
          <t>Federal SEOG</t>
        </is>
      </c>
      <c r="C373" t="inlineStr">
        <is>
          <t>x</t>
        </is>
      </c>
      <c r="D373" t="inlineStr">
        <is>
          <t>Financial Aid</t>
        </is>
      </c>
      <c r="E373" t="inlineStr">
        <is>
          <t>Aid Available</t>
        </is>
      </c>
      <c r="F373" t="inlineStr">
        <is>
          <t>Need Based Schl Grt</t>
        </is>
      </c>
      <c r="G373" t="inlineStr">
        <is>
          <t>Undergraduate</t>
        </is>
      </c>
      <c r="H373" t="inlineStr">
        <is>
          <t>Undergraduates</t>
        </is>
      </c>
      <c r="I373" t="inlineStr">
        <is>
          <t>All</t>
        </is>
      </c>
      <c r="J373" t="inlineStr">
        <is>
          <t>All</t>
        </is>
      </c>
      <c r="K373" t="inlineStr">
        <is>
          <t>All</t>
        </is>
      </c>
      <c r="L373" t="inlineStr">
        <is>
          <t>x</t>
        </is>
      </c>
    </row>
    <row r="374" ht="18" customHeight="1" s="44">
      <c r="A374" t="inlineStr">
        <is>
          <t>H1303</t>
        </is>
      </c>
      <c r="B374" t="inlineStr">
        <is>
          <t>State scholarships/grants</t>
        </is>
      </c>
      <c r="C374" t="inlineStr">
        <is>
          <t>x</t>
        </is>
      </c>
      <c r="D374" t="inlineStr">
        <is>
          <t>Financial Aid</t>
        </is>
      </c>
      <c r="E374" t="inlineStr">
        <is>
          <t>Aid Available</t>
        </is>
      </c>
      <c r="F374" t="inlineStr">
        <is>
          <t>Need Based Schl Grt</t>
        </is>
      </c>
      <c r="G374" t="inlineStr">
        <is>
          <t>Undergraduate</t>
        </is>
      </c>
      <c r="H374" t="inlineStr">
        <is>
          <t>Undergraduates</t>
        </is>
      </c>
      <c r="I374" t="inlineStr">
        <is>
          <t>All</t>
        </is>
      </c>
      <c r="J374" t="inlineStr">
        <is>
          <t>All</t>
        </is>
      </c>
      <c r="K374" t="inlineStr">
        <is>
          <t>All</t>
        </is>
      </c>
      <c r="L374" t="inlineStr">
        <is>
          <t>x</t>
        </is>
      </c>
    </row>
    <row r="375" ht="18" customHeight="1" s="44">
      <c r="A375" t="inlineStr">
        <is>
          <t>H1304</t>
        </is>
      </c>
      <c r="B375" t="inlineStr">
        <is>
          <t>Private scholarships</t>
        </is>
      </c>
      <c r="C375" t="inlineStr">
        <is>
          <t>x</t>
        </is>
      </c>
      <c r="D375" t="inlineStr">
        <is>
          <t>Financial Aid</t>
        </is>
      </c>
      <c r="E375" t="inlineStr">
        <is>
          <t>Aid Available</t>
        </is>
      </c>
      <c r="F375" t="inlineStr">
        <is>
          <t>Need Based Schl Grt</t>
        </is>
      </c>
      <c r="G375" t="inlineStr">
        <is>
          <t>Undergraduate</t>
        </is>
      </c>
      <c r="H375" t="inlineStr">
        <is>
          <t>Undergraduates</t>
        </is>
      </c>
      <c r="I375" t="inlineStr">
        <is>
          <t>All</t>
        </is>
      </c>
      <c r="J375" t="inlineStr">
        <is>
          <t>All</t>
        </is>
      </c>
      <c r="K375" t="inlineStr">
        <is>
          <t>All</t>
        </is>
      </c>
      <c r="L375" t="inlineStr">
        <is>
          <t>x</t>
        </is>
      </c>
    </row>
    <row r="376" ht="30" customHeight="1" s="44">
      <c r="A376" t="inlineStr">
        <is>
          <t>H1305</t>
        </is>
      </c>
      <c r="B376" s="2" t="inlineStr">
        <is>
          <t>College/university scholarship or grant aid from institutional funds</t>
        </is>
      </c>
      <c r="C376" t="inlineStr">
        <is>
          <t>x</t>
        </is>
      </c>
      <c r="D376" t="inlineStr">
        <is>
          <t>Financial Aid</t>
        </is>
      </c>
      <c r="E376" t="inlineStr">
        <is>
          <t>Aid Available</t>
        </is>
      </c>
      <c r="F376" t="inlineStr">
        <is>
          <t>Need Based Schl Grt</t>
        </is>
      </c>
      <c r="G376" t="inlineStr">
        <is>
          <t>Undergraduate</t>
        </is>
      </c>
      <c r="H376" t="inlineStr">
        <is>
          <t>Undergraduates</t>
        </is>
      </c>
      <c r="I376" t="inlineStr">
        <is>
          <t>All</t>
        </is>
      </c>
      <c r="J376" t="inlineStr">
        <is>
          <t>All</t>
        </is>
      </c>
      <c r="K376" t="inlineStr">
        <is>
          <t>All</t>
        </is>
      </c>
      <c r="L376" t="inlineStr">
        <is>
          <t>x</t>
        </is>
      </c>
    </row>
    <row r="377" ht="18" customHeight="1" s="44">
      <c r="A377" t="inlineStr">
        <is>
          <t>H1306</t>
        </is>
      </c>
      <c r="B377" t="inlineStr">
        <is>
          <t>United Negro College Fund</t>
        </is>
      </c>
      <c r="D377" t="inlineStr">
        <is>
          <t>Financial Aid</t>
        </is>
      </c>
      <c r="E377" t="inlineStr">
        <is>
          <t>Aid Available</t>
        </is>
      </c>
      <c r="F377" t="inlineStr">
        <is>
          <t>Need Based Schl Grt</t>
        </is>
      </c>
      <c r="G377" t="inlineStr">
        <is>
          <t>Undergraduate</t>
        </is>
      </c>
      <c r="H377" t="inlineStr">
        <is>
          <t>Undergraduates</t>
        </is>
      </c>
      <c r="I377" t="inlineStr">
        <is>
          <t>All</t>
        </is>
      </c>
      <c r="J377" t="inlineStr">
        <is>
          <t>All</t>
        </is>
      </c>
      <c r="K377" t="inlineStr">
        <is>
          <t>All</t>
        </is>
      </c>
      <c r="L377" t="inlineStr">
        <is>
          <t>x</t>
        </is>
      </c>
    </row>
    <row r="378" ht="18" customHeight="1" s="44">
      <c r="A378" t="inlineStr">
        <is>
          <t>H1307</t>
        </is>
      </c>
      <c r="B378" t="inlineStr">
        <is>
          <t>Federal Nursing Scholarship</t>
        </is>
      </c>
      <c r="D378" t="inlineStr">
        <is>
          <t>Financial Aid</t>
        </is>
      </c>
      <c r="E378" t="inlineStr">
        <is>
          <t>Aid Available</t>
        </is>
      </c>
      <c r="F378" t="inlineStr">
        <is>
          <t>Need Based Schl Grt</t>
        </is>
      </c>
      <c r="G378" t="inlineStr">
        <is>
          <t>Undergraduate</t>
        </is>
      </c>
      <c r="H378" t="inlineStr">
        <is>
          <t>Undergraduates</t>
        </is>
      </c>
      <c r="I378" t="inlineStr">
        <is>
          <t>All</t>
        </is>
      </c>
      <c r="J378" t="inlineStr">
        <is>
          <t>All</t>
        </is>
      </c>
      <c r="K378" t="inlineStr">
        <is>
          <t>All</t>
        </is>
      </c>
      <c r="L378" t="inlineStr">
        <is>
          <t>x</t>
        </is>
      </c>
    </row>
    <row r="379" ht="18" customHeight="1" s="44"/>
    <row r="380" ht="18" customHeight="1" s="44">
      <c r="A380" t="inlineStr">
        <is>
          <t>H1308</t>
        </is>
      </c>
      <c r="B380" t="inlineStr">
        <is>
          <t>Other (specify):</t>
        </is>
      </c>
      <c r="D380" t="inlineStr">
        <is>
          <t>Financial Aid</t>
        </is>
      </c>
      <c r="E380" t="inlineStr">
        <is>
          <t>Aid Available</t>
        </is>
      </c>
      <c r="F380" t="inlineStr">
        <is>
          <t>Need Based Schl Grt</t>
        </is>
      </c>
      <c r="G380" t="inlineStr">
        <is>
          <t>Undergraduate</t>
        </is>
      </c>
      <c r="H380" t="inlineStr">
        <is>
          <t>Undergraduates</t>
        </is>
      </c>
      <c r="I380" t="inlineStr">
        <is>
          <t>All</t>
        </is>
      </c>
      <c r="J380" t="inlineStr">
        <is>
          <t>All</t>
        </is>
      </c>
      <c r="K380" t="inlineStr">
        <is>
          <t>All</t>
        </is>
      </c>
      <c r="L380" t="inlineStr">
        <is>
          <t>Text</t>
        </is>
      </c>
    </row>
    <row r="381"/>
    <row r="382" ht="18" customHeight="1" s="44"/>
    <row r="383" ht="18" customHeight="1" s="44">
      <c r="B383" s="3" t="n"/>
    </row>
    <row r="384"/>
    <row r="385"/>
    <row r="386"/>
    <row r="387"/>
    <row r="388" ht="18" customHeight="1" s="44"/>
    <row r="389" ht="18" customHeight="1" s="44">
      <c r="A389" t="inlineStr">
        <is>
          <t>H1401</t>
        </is>
      </c>
      <c r="B389" t="inlineStr">
        <is>
          <t>Academics</t>
        </is>
      </c>
      <c r="C389" t="inlineStr">
        <is>
          <t>x</t>
        </is>
      </c>
      <c r="D389" t="inlineStr">
        <is>
          <t>Financial Aid</t>
        </is>
      </c>
      <c r="E389" t="inlineStr">
        <is>
          <t>Institutional Aid</t>
        </is>
      </c>
      <c r="F389" t="inlineStr">
        <is>
          <t>Non-Need Based Criteria</t>
        </is>
      </c>
      <c r="G389" t="inlineStr">
        <is>
          <t>Undergraduate</t>
        </is>
      </c>
      <c r="H389" t="inlineStr">
        <is>
          <t>Undergraduates</t>
        </is>
      </c>
      <c r="I389" t="inlineStr">
        <is>
          <t>All</t>
        </is>
      </c>
      <c r="J389" t="inlineStr">
        <is>
          <t>All</t>
        </is>
      </c>
      <c r="K389" t="inlineStr">
        <is>
          <t>All</t>
        </is>
      </c>
      <c r="L389" t="inlineStr">
        <is>
          <t>x</t>
        </is>
      </c>
    </row>
    <row r="390" ht="18" customHeight="1" s="44">
      <c r="A390" t="inlineStr">
        <is>
          <t>H1402</t>
        </is>
      </c>
      <c r="B390" t="inlineStr">
        <is>
          <t>Alumni affiliation</t>
        </is>
      </c>
      <c r="C390" t="inlineStr">
        <is>
          <t>x</t>
        </is>
      </c>
      <c r="D390" t="inlineStr">
        <is>
          <t>Financial Aid</t>
        </is>
      </c>
      <c r="E390" t="inlineStr">
        <is>
          <t>Institutional Aid</t>
        </is>
      </c>
      <c r="F390" t="inlineStr">
        <is>
          <t>Non-Need Based Criteria</t>
        </is>
      </c>
      <c r="G390" t="inlineStr">
        <is>
          <t>Undergraduate</t>
        </is>
      </c>
      <c r="H390" t="inlineStr">
        <is>
          <t>Undergraduates</t>
        </is>
      </c>
      <c r="I390" t="inlineStr">
        <is>
          <t>All</t>
        </is>
      </c>
      <c r="J390" t="inlineStr">
        <is>
          <t>All</t>
        </is>
      </c>
      <c r="K390" t="inlineStr">
        <is>
          <t>All</t>
        </is>
      </c>
      <c r="L390" t="inlineStr">
        <is>
          <t>x</t>
        </is>
      </c>
    </row>
    <row r="391" ht="18" customHeight="1" s="44">
      <c r="A391" t="inlineStr">
        <is>
          <t>H1403</t>
        </is>
      </c>
      <c r="B391" t="inlineStr">
        <is>
          <t>Art</t>
        </is>
      </c>
      <c r="C391" t="inlineStr">
        <is>
          <t>x</t>
        </is>
      </c>
      <c r="D391" t="inlineStr">
        <is>
          <t>Financial Aid</t>
        </is>
      </c>
      <c r="E391" t="inlineStr">
        <is>
          <t>Institutional Aid</t>
        </is>
      </c>
      <c r="F391" t="inlineStr">
        <is>
          <t>Non-Need Based Criteria</t>
        </is>
      </c>
      <c r="G391" t="inlineStr">
        <is>
          <t>Undergraduate</t>
        </is>
      </c>
      <c r="H391" t="inlineStr">
        <is>
          <t>Undergraduates</t>
        </is>
      </c>
      <c r="I391" t="inlineStr">
        <is>
          <t>All</t>
        </is>
      </c>
      <c r="J391" t="inlineStr">
        <is>
          <t>All</t>
        </is>
      </c>
      <c r="K391" t="inlineStr">
        <is>
          <t>All</t>
        </is>
      </c>
      <c r="L391" t="inlineStr">
        <is>
          <t>x</t>
        </is>
      </c>
    </row>
    <row r="392" ht="18" customHeight="1" s="44">
      <c r="A392" t="inlineStr">
        <is>
          <t>H1404</t>
        </is>
      </c>
      <c r="B392" t="inlineStr">
        <is>
          <t>Athletics</t>
        </is>
      </c>
      <c r="C392" t="inlineStr">
        <is>
          <t>x</t>
        </is>
      </c>
      <c r="D392" t="inlineStr">
        <is>
          <t>Financial Aid</t>
        </is>
      </c>
      <c r="E392" t="inlineStr">
        <is>
          <t>Institutional Aid</t>
        </is>
      </c>
      <c r="F392" t="inlineStr">
        <is>
          <t>Non-Need Based Criteria</t>
        </is>
      </c>
      <c r="G392" t="inlineStr">
        <is>
          <t>Undergraduate</t>
        </is>
      </c>
      <c r="H392" t="inlineStr">
        <is>
          <t>Undergraduates</t>
        </is>
      </c>
      <c r="I392" t="inlineStr">
        <is>
          <t>All</t>
        </is>
      </c>
      <c r="J392" t="inlineStr">
        <is>
          <t>All</t>
        </is>
      </c>
      <c r="K392" t="inlineStr">
        <is>
          <t>All</t>
        </is>
      </c>
      <c r="L392" t="inlineStr">
        <is>
          <t>x</t>
        </is>
      </c>
    </row>
    <row r="393" ht="18" customHeight="1" s="44">
      <c r="A393" t="inlineStr">
        <is>
          <t>H1405</t>
        </is>
      </c>
      <c r="B393" t="inlineStr">
        <is>
          <t>Job skills</t>
        </is>
      </c>
      <c r="D393" t="inlineStr">
        <is>
          <t>Financial Aid</t>
        </is>
      </c>
      <c r="E393" t="inlineStr">
        <is>
          <t>Institutional Aid</t>
        </is>
      </c>
      <c r="F393" t="inlineStr">
        <is>
          <t>Non-Need Based Criteria</t>
        </is>
      </c>
      <c r="G393" t="inlineStr">
        <is>
          <t>Undergraduate</t>
        </is>
      </c>
      <c r="H393" t="inlineStr">
        <is>
          <t>Undergraduates</t>
        </is>
      </c>
      <c r="I393" t="inlineStr">
        <is>
          <t>All</t>
        </is>
      </c>
      <c r="J393" t="inlineStr">
        <is>
          <t>All</t>
        </is>
      </c>
      <c r="K393" t="inlineStr">
        <is>
          <t>All</t>
        </is>
      </c>
      <c r="L393" t="inlineStr">
        <is>
          <t>x</t>
        </is>
      </c>
    </row>
    <row r="394" ht="18" customHeight="1" s="44">
      <c r="A394" t="inlineStr">
        <is>
          <t>H1406</t>
        </is>
      </c>
      <c r="B394" t="inlineStr">
        <is>
          <t>ROTC</t>
        </is>
      </c>
      <c r="C394" t="inlineStr">
        <is>
          <t>x</t>
        </is>
      </c>
      <c r="D394" t="inlineStr">
        <is>
          <t>Financial Aid</t>
        </is>
      </c>
      <c r="E394" t="inlineStr">
        <is>
          <t>Institutional Aid</t>
        </is>
      </c>
      <c r="F394" t="inlineStr">
        <is>
          <t>Non-Need Based Criteria</t>
        </is>
      </c>
      <c r="G394" t="inlineStr">
        <is>
          <t>Undergraduate</t>
        </is>
      </c>
      <c r="H394" t="inlineStr">
        <is>
          <t>Undergraduates</t>
        </is>
      </c>
      <c r="I394" t="inlineStr">
        <is>
          <t>All</t>
        </is>
      </c>
      <c r="J394" t="inlineStr">
        <is>
          <t>All</t>
        </is>
      </c>
      <c r="K394" t="inlineStr">
        <is>
          <t>All</t>
        </is>
      </c>
      <c r="L394" t="inlineStr">
        <is>
          <t>x</t>
        </is>
      </c>
    </row>
    <row r="395" ht="18" customHeight="1" s="44">
      <c r="A395" t="inlineStr">
        <is>
          <t>H1407</t>
        </is>
      </c>
      <c r="B395" t="inlineStr">
        <is>
          <t>Leadership</t>
        </is>
      </c>
      <c r="C395" t="inlineStr">
        <is>
          <t>x</t>
        </is>
      </c>
      <c r="D395" t="inlineStr">
        <is>
          <t>Financial Aid</t>
        </is>
      </c>
      <c r="E395" t="inlineStr">
        <is>
          <t>Institutional Aid</t>
        </is>
      </c>
      <c r="F395" t="inlineStr">
        <is>
          <t>Non-Need Based Criteria</t>
        </is>
      </c>
      <c r="G395" t="inlineStr">
        <is>
          <t>Undergraduate</t>
        </is>
      </c>
      <c r="H395" t="inlineStr">
        <is>
          <t>Undergraduates</t>
        </is>
      </c>
      <c r="I395" t="inlineStr">
        <is>
          <t>All</t>
        </is>
      </c>
      <c r="J395" t="inlineStr">
        <is>
          <t>All</t>
        </is>
      </c>
      <c r="K395" t="inlineStr">
        <is>
          <t>All</t>
        </is>
      </c>
      <c r="L395" t="inlineStr">
        <is>
          <t>x</t>
        </is>
      </c>
    </row>
    <row r="396" ht="18" customHeight="1" s="44">
      <c r="A396" t="inlineStr">
        <is>
          <t>H1408</t>
        </is>
      </c>
      <c r="B396" t="inlineStr">
        <is>
          <t>Music/drama</t>
        </is>
      </c>
      <c r="C396" t="inlineStr">
        <is>
          <t>x</t>
        </is>
      </c>
      <c r="D396" t="inlineStr">
        <is>
          <t>Financial Aid</t>
        </is>
      </c>
      <c r="E396" t="inlineStr">
        <is>
          <t>Institutional Aid</t>
        </is>
      </c>
      <c r="F396" t="inlineStr">
        <is>
          <t>Non-Need Based Criteria</t>
        </is>
      </c>
      <c r="G396" t="inlineStr">
        <is>
          <t>Undergraduate</t>
        </is>
      </c>
      <c r="H396" t="inlineStr">
        <is>
          <t>Undergraduates</t>
        </is>
      </c>
      <c r="I396" t="inlineStr">
        <is>
          <t>All</t>
        </is>
      </c>
      <c r="J396" t="inlineStr">
        <is>
          <t>All</t>
        </is>
      </c>
      <c r="K396" t="inlineStr">
        <is>
          <t>All</t>
        </is>
      </c>
      <c r="L396" t="inlineStr">
        <is>
          <t>x</t>
        </is>
      </c>
    </row>
    <row r="397" ht="18" customHeight="1" s="44">
      <c r="A397" t="inlineStr">
        <is>
          <t>H1409</t>
        </is>
      </c>
      <c r="B397" t="inlineStr">
        <is>
          <t>Religious affiliation</t>
        </is>
      </c>
      <c r="D397" t="inlineStr">
        <is>
          <t>Financial Aid</t>
        </is>
      </c>
      <c r="E397" t="inlineStr">
        <is>
          <t>Institutional Aid</t>
        </is>
      </c>
      <c r="F397" t="inlineStr">
        <is>
          <t>Non-Need Based Criteria</t>
        </is>
      </c>
      <c r="G397" t="inlineStr">
        <is>
          <t>Undergraduate</t>
        </is>
      </c>
      <c r="H397" t="inlineStr">
        <is>
          <t>Undergraduates</t>
        </is>
      </c>
      <c r="I397" t="inlineStr">
        <is>
          <t>All</t>
        </is>
      </c>
      <c r="J397" t="inlineStr">
        <is>
          <t>All</t>
        </is>
      </c>
      <c r="K397" t="inlineStr">
        <is>
          <t>All</t>
        </is>
      </c>
      <c r="L397" t="inlineStr">
        <is>
          <t>x</t>
        </is>
      </c>
    </row>
    <row r="398" ht="18" customHeight="1" s="44">
      <c r="A398" t="inlineStr">
        <is>
          <t>H1410</t>
        </is>
      </c>
      <c r="B398" t="inlineStr">
        <is>
          <t>State/district residency</t>
        </is>
      </c>
      <c r="C398" t="inlineStr">
        <is>
          <t>x</t>
        </is>
      </c>
      <c r="D398" t="inlineStr">
        <is>
          <t>Financial Aid</t>
        </is>
      </c>
      <c r="E398" t="inlineStr">
        <is>
          <t>Institutional Aid</t>
        </is>
      </c>
      <c r="F398" t="inlineStr">
        <is>
          <t>Non-Need Based Criteria</t>
        </is>
      </c>
      <c r="G398" t="inlineStr">
        <is>
          <t>Undergraduate</t>
        </is>
      </c>
      <c r="H398" t="inlineStr">
        <is>
          <t>Undergraduates</t>
        </is>
      </c>
      <c r="I398" t="inlineStr">
        <is>
          <t>All</t>
        </is>
      </c>
      <c r="J398" t="inlineStr">
        <is>
          <t>All</t>
        </is>
      </c>
      <c r="K398" t="inlineStr">
        <is>
          <t>All</t>
        </is>
      </c>
      <c r="L398" t="inlineStr">
        <is>
          <t>x</t>
        </is>
      </c>
    </row>
    <row r="399"/>
    <row r="400" ht="18" customHeight="1" s="44"/>
    <row r="401" ht="18" customHeight="1" s="44">
      <c r="A401" t="inlineStr">
        <is>
          <t>H1411</t>
        </is>
      </c>
      <c r="B401" t="inlineStr">
        <is>
          <t>Academics</t>
        </is>
      </c>
      <c r="C401" t="inlineStr">
        <is>
          <t>x</t>
        </is>
      </c>
      <c r="D401" t="inlineStr">
        <is>
          <t>Financial Aid</t>
        </is>
      </c>
      <c r="E401" t="inlineStr">
        <is>
          <t>Institutional Aid</t>
        </is>
      </c>
      <c r="F401" t="inlineStr">
        <is>
          <t>Need Based Criteria</t>
        </is>
      </c>
      <c r="G401" t="inlineStr">
        <is>
          <t>Undergraduate</t>
        </is>
      </c>
      <c r="H401" t="inlineStr">
        <is>
          <t>Undergraduates</t>
        </is>
      </c>
      <c r="I401" t="inlineStr">
        <is>
          <t>All</t>
        </is>
      </c>
      <c r="J401" t="inlineStr">
        <is>
          <t>All</t>
        </is>
      </c>
      <c r="K401" t="inlineStr">
        <is>
          <t>All</t>
        </is>
      </c>
      <c r="L401" t="inlineStr">
        <is>
          <t>x</t>
        </is>
      </c>
    </row>
    <row r="402" ht="18" customHeight="1" s="44">
      <c r="A402" t="inlineStr">
        <is>
          <t>H1412</t>
        </is>
      </c>
      <c r="B402" t="inlineStr">
        <is>
          <t>Alumni affiliation</t>
        </is>
      </c>
      <c r="C402" t="inlineStr">
        <is>
          <t>x</t>
        </is>
      </c>
      <c r="D402" t="inlineStr">
        <is>
          <t>Financial Aid</t>
        </is>
      </c>
      <c r="E402" t="inlineStr">
        <is>
          <t>Institutional Aid</t>
        </is>
      </c>
      <c r="F402" t="inlineStr">
        <is>
          <t>Need Based Criteria</t>
        </is>
      </c>
      <c r="G402" t="inlineStr">
        <is>
          <t>Undergraduate</t>
        </is>
      </c>
      <c r="H402" t="inlineStr">
        <is>
          <t>Undergraduates</t>
        </is>
      </c>
      <c r="I402" t="inlineStr">
        <is>
          <t>All</t>
        </is>
      </c>
      <c r="J402" t="inlineStr">
        <is>
          <t>All</t>
        </is>
      </c>
      <c r="K402" t="inlineStr">
        <is>
          <t>All</t>
        </is>
      </c>
      <c r="L402" t="inlineStr">
        <is>
          <t>x</t>
        </is>
      </c>
    </row>
    <row r="403" ht="18" customHeight="1" s="44">
      <c r="A403" t="inlineStr">
        <is>
          <t>H1413</t>
        </is>
      </c>
      <c r="B403" t="inlineStr">
        <is>
          <t>Art</t>
        </is>
      </c>
      <c r="D403" t="inlineStr">
        <is>
          <t>Financial Aid</t>
        </is>
      </c>
      <c r="E403" t="inlineStr">
        <is>
          <t>Institutional Aid</t>
        </is>
      </c>
      <c r="F403" t="inlineStr">
        <is>
          <t>Need Based Criteria</t>
        </is>
      </c>
      <c r="G403" t="inlineStr">
        <is>
          <t>Undergraduate</t>
        </is>
      </c>
      <c r="H403" t="inlineStr">
        <is>
          <t>Undergraduates</t>
        </is>
      </c>
      <c r="I403" t="inlineStr">
        <is>
          <t>All</t>
        </is>
      </c>
      <c r="J403" t="inlineStr">
        <is>
          <t>All</t>
        </is>
      </c>
      <c r="K403" t="inlineStr">
        <is>
          <t>All</t>
        </is>
      </c>
      <c r="L403" t="inlineStr">
        <is>
          <t>x</t>
        </is>
      </c>
    </row>
    <row r="404" ht="18" customHeight="1" s="44">
      <c r="A404" t="inlineStr">
        <is>
          <t>H1414</t>
        </is>
      </c>
      <c r="B404" t="inlineStr">
        <is>
          <t>Athletics</t>
        </is>
      </c>
      <c r="D404" t="inlineStr">
        <is>
          <t>Financial Aid</t>
        </is>
      </c>
      <c r="E404" t="inlineStr">
        <is>
          <t>Institutional Aid</t>
        </is>
      </c>
      <c r="F404" t="inlineStr">
        <is>
          <t>Need Based Criteria</t>
        </is>
      </c>
      <c r="G404" t="inlineStr">
        <is>
          <t>Undergraduate</t>
        </is>
      </c>
      <c r="H404" t="inlineStr">
        <is>
          <t>Undergraduates</t>
        </is>
      </c>
      <c r="I404" t="inlineStr">
        <is>
          <t>All</t>
        </is>
      </c>
      <c r="J404" t="inlineStr">
        <is>
          <t>All</t>
        </is>
      </c>
      <c r="K404" t="inlineStr">
        <is>
          <t>All</t>
        </is>
      </c>
      <c r="L404" t="inlineStr">
        <is>
          <t>x</t>
        </is>
      </c>
    </row>
    <row r="405" ht="18" customHeight="1" s="44">
      <c r="A405" t="inlineStr">
        <is>
          <t>H1415</t>
        </is>
      </c>
      <c r="B405" t="inlineStr">
        <is>
          <t>Job skills</t>
        </is>
      </c>
      <c r="D405" t="inlineStr">
        <is>
          <t>Financial Aid</t>
        </is>
      </c>
      <c r="E405" t="inlineStr">
        <is>
          <t>Institutional Aid</t>
        </is>
      </c>
      <c r="F405" t="inlineStr">
        <is>
          <t>Need Based Criteria</t>
        </is>
      </c>
      <c r="G405" t="inlineStr">
        <is>
          <t>Undergraduate</t>
        </is>
      </c>
      <c r="H405" t="inlineStr">
        <is>
          <t>Undergraduates</t>
        </is>
      </c>
      <c r="I405" t="inlineStr">
        <is>
          <t>All</t>
        </is>
      </c>
      <c r="J405" t="inlineStr">
        <is>
          <t>All</t>
        </is>
      </c>
      <c r="K405" t="inlineStr">
        <is>
          <t>All</t>
        </is>
      </c>
      <c r="L405" t="inlineStr">
        <is>
          <t>x</t>
        </is>
      </c>
    </row>
    <row r="406" ht="18" customHeight="1" s="44">
      <c r="A406" t="inlineStr">
        <is>
          <t>H1416</t>
        </is>
      </c>
      <c r="B406" t="inlineStr">
        <is>
          <t>Leadership</t>
        </is>
      </c>
      <c r="D406" t="inlineStr">
        <is>
          <t>Financial Aid</t>
        </is>
      </c>
      <c r="E406" t="inlineStr">
        <is>
          <t>Institutional Aid</t>
        </is>
      </c>
      <c r="F406" t="inlineStr">
        <is>
          <t>Need Based Criteria</t>
        </is>
      </c>
      <c r="G406" t="inlineStr">
        <is>
          <t>Undergraduate</t>
        </is>
      </c>
      <c r="H406" t="inlineStr">
        <is>
          <t>Undergraduates</t>
        </is>
      </c>
      <c r="I406" t="inlineStr">
        <is>
          <t>All</t>
        </is>
      </c>
      <c r="J406" t="inlineStr">
        <is>
          <t>All</t>
        </is>
      </c>
      <c r="K406" t="inlineStr">
        <is>
          <t>All</t>
        </is>
      </c>
      <c r="L406" t="inlineStr">
        <is>
          <t>x</t>
        </is>
      </c>
    </row>
    <row r="407" ht="18" customHeight="1" s="44">
      <c r="A407" t="inlineStr">
        <is>
          <t>H1417</t>
        </is>
      </c>
      <c r="B407" t="inlineStr">
        <is>
          <t>Music/drama</t>
        </is>
      </c>
      <c r="D407" t="inlineStr">
        <is>
          <t>Financial Aid</t>
        </is>
      </c>
      <c r="E407" t="inlineStr">
        <is>
          <t>Institutional Aid</t>
        </is>
      </c>
      <c r="F407" t="inlineStr">
        <is>
          <t>Need Based Criteria</t>
        </is>
      </c>
      <c r="G407" t="inlineStr">
        <is>
          <t>Undergraduate</t>
        </is>
      </c>
      <c r="H407" t="inlineStr">
        <is>
          <t>Undergraduates</t>
        </is>
      </c>
      <c r="I407" t="inlineStr">
        <is>
          <t>All</t>
        </is>
      </c>
      <c r="J407" t="inlineStr">
        <is>
          <t>All</t>
        </is>
      </c>
      <c r="K407" t="inlineStr">
        <is>
          <t>All</t>
        </is>
      </c>
      <c r="L407" t="inlineStr">
        <is>
          <t>x</t>
        </is>
      </c>
    </row>
    <row r="408" ht="18" customHeight="1" s="44">
      <c r="A408" t="inlineStr">
        <is>
          <t>H1418</t>
        </is>
      </c>
      <c r="B408" t="inlineStr">
        <is>
          <t>Religious affiliation</t>
        </is>
      </c>
      <c r="D408" t="inlineStr">
        <is>
          <t>Financial Aid</t>
        </is>
      </c>
      <c r="E408" t="inlineStr">
        <is>
          <t>Institutional Aid</t>
        </is>
      </c>
      <c r="F408" t="inlineStr">
        <is>
          <t>Need Based Criteria</t>
        </is>
      </c>
      <c r="G408" t="inlineStr">
        <is>
          <t>Undergraduate</t>
        </is>
      </c>
      <c r="H408" t="inlineStr">
        <is>
          <t>Undergraduates</t>
        </is>
      </c>
      <c r="I408" t="inlineStr">
        <is>
          <t>All</t>
        </is>
      </c>
      <c r="J408" t="inlineStr">
        <is>
          <t>All</t>
        </is>
      </c>
      <c r="K408" t="inlineStr">
        <is>
          <t>All</t>
        </is>
      </c>
      <c r="L408" t="inlineStr">
        <is>
          <t>x</t>
        </is>
      </c>
    </row>
    <row r="409" ht="18" customHeight="1" s="44">
      <c r="A409" t="inlineStr">
        <is>
          <t>H1419</t>
        </is>
      </c>
      <c r="B409" t="inlineStr">
        <is>
          <t>State/district residency</t>
        </is>
      </c>
      <c r="C409" t="inlineStr">
        <is>
          <t>x</t>
        </is>
      </c>
      <c r="D409" t="inlineStr">
        <is>
          <t>Financial Aid</t>
        </is>
      </c>
      <c r="E409" t="inlineStr">
        <is>
          <t>Institutional Aid</t>
        </is>
      </c>
      <c r="F409" t="inlineStr">
        <is>
          <t>Need Based Criteria</t>
        </is>
      </c>
      <c r="G409" t="inlineStr">
        <is>
          <t>Undergraduate</t>
        </is>
      </c>
      <c r="H409" t="inlineStr">
        <is>
          <t>Undergraduates</t>
        </is>
      </c>
      <c r="I409" t="inlineStr">
        <is>
          <t>All</t>
        </is>
      </c>
      <c r="J409" t="inlineStr">
        <is>
          <t>All</t>
        </is>
      </c>
      <c r="K409" t="inlineStr">
        <is>
          <t>All</t>
        </is>
      </c>
      <c r="L409" t="inlineStr">
        <is>
          <t>x</t>
        </is>
      </c>
    </row>
    <row r="410"/>
    <row r="411"/>
    <row r="412"/>
    <row r="413"/>
    <row r="414" ht="117.75" customHeight="1" s="44">
      <c r="A414" t="inlineStr">
        <is>
          <t>H1501</t>
        </is>
      </c>
      <c r="B414" s="26" t="inlineStr">
        <is>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t>
        </is>
      </c>
      <c r="C414" s="2" t="inlineStr">
        <is>
          <t>We have several programs designed to cover tuition,
segregated fees, or full financial need for Wisconsin
Resident students. Details are available here:
https://financialaid.wisc.edu/types‐of‐aid/</t>
        </is>
      </c>
      <c r="D414" t="inlineStr">
        <is>
          <t>Financial Aid</t>
        </is>
      </c>
      <c r="E414" t="inlineStr">
        <is>
          <t>Institutional Aid</t>
        </is>
      </c>
      <c r="F414" t="inlineStr">
        <is>
          <t>Policy</t>
        </is>
      </c>
      <c r="G414" t="inlineStr">
        <is>
          <t>Undergraduate</t>
        </is>
      </c>
      <c r="H414" t="inlineStr">
        <is>
          <t>Undergraduates</t>
        </is>
      </c>
      <c r="I414" t="inlineStr">
        <is>
          <t>All</t>
        </is>
      </c>
      <c r="J414" t="inlineStr">
        <is>
          <t>All</t>
        </is>
      </c>
      <c r="K414" t="inlineStr">
        <is>
          <t>All</t>
        </is>
      </c>
      <c r="L414" t="inlineStr">
        <is>
          <t>Text</t>
        </is>
      </c>
    </row>
  </sheetData>
  <autoFilter ref="A1:L415"/>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152"/>
  <sheetViews>
    <sheetView zoomScale="90" zoomScaleNormal="90" workbookViewId="0">
      <pane ySplit="1" topLeftCell="A148" activePane="bottomLeft" state="frozen"/>
      <selection pane="bottomLeft" activeCell="D104" sqref="D104"/>
    </sheetView>
  </sheetViews>
  <sheetFormatPr baseColWidth="8" defaultColWidth="8.7109375" defaultRowHeight="15"/>
  <cols>
    <col width="8.42578125" customWidth="1" style="44" min="1" max="1"/>
    <col width="65.28515625" customWidth="1" style="2" min="2" max="2"/>
    <col width="24.42578125" customWidth="1" style="44" min="3" max="3"/>
  </cols>
  <sheetData>
    <row r="1">
      <c r="A1" t="inlineStr">
        <is>
          <t>Question Number</t>
        </is>
      </c>
      <c r="B1" s="2"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c r="A5" s="37" t="n"/>
      <c r="B5" s="38" t="n"/>
    </row>
    <row r="6">
      <c r="A6" s="37" t="n"/>
      <c r="B6" s="38" t="n"/>
    </row>
    <row r="7">
      <c r="A7" s="37" t="n"/>
      <c r="B7" s="38" t="n"/>
    </row>
    <row r="8">
      <c r="A8" s="37" t="n"/>
      <c r="B8" s="38" t="n"/>
    </row>
    <row r="9">
      <c r="A9" s="37" t="n"/>
      <c r="B9" s="38" t="n"/>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ht="15.6" customHeight="1" s="44"/>
    <row r="54"/>
    <row r="55">
      <c r="A55" t="inlineStr">
        <is>
          <t>I101</t>
        </is>
      </c>
      <c r="B55" s="2" t="inlineStr">
        <is>
          <t>A. Total number of instructional faculty</t>
        </is>
      </c>
      <c r="C55" s="48" t="n">
        <v>2825</v>
      </c>
      <c r="D55" t="inlineStr">
        <is>
          <t>Instructional Faculty And Class Size</t>
        </is>
      </c>
      <c r="E55" t="inlineStr">
        <is>
          <t>Instructional Faculty</t>
        </is>
      </c>
      <c r="F55" t="inlineStr">
        <is>
          <t>Full-Time</t>
        </is>
      </c>
      <c r="G55" t="inlineStr">
        <is>
          <t>Undergraduates</t>
        </is>
      </c>
      <c r="H55" t="inlineStr">
        <is>
          <t>Faculty</t>
        </is>
      </c>
      <c r="I55" t="inlineStr">
        <is>
          <t>All</t>
        </is>
      </c>
      <c r="J55" t="inlineStr">
        <is>
          <t>All</t>
        </is>
      </c>
      <c r="K55" t="inlineStr">
        <is>
          <t>All</t>
        </is>
      </c>
      <c r="L55" t="inlineStr">
        <is>
          <t>Number</t>
        </is>
      </c>
    </row>
    <row r="56">
      <c r="A56" t="inlineStr">
        <is>
          <t>I102</t>
        </is>
      </c>
      <c r="B56" s="2" t="inlineStr">
        <is>
          <t>B. Total number who are members of minority groups</t>
        </is>
      </c>
      <c r="C56" s="48" t="n">
        <v>730</v>
      </c>
      <c r="D56" t="inlineStr">
        <is>
          <t>Instructional Faculty And Class Size</t>
        </is>
      </c>
      <c r="E56" t="inlineStr">
        <is>
          <t>Instructional Faculty</t>
        </is>
      </c>
      <c r="F56" t="inlineStr">
        <is>
          <t>Full-Time</t>
        </is>
      </c>
      <c r="G56" t="inlineStr">
        <is>
          <t>Undergraduates</t>
        </is>
      </c>
      <c r="H56" t="inlineStr">
        <is>
          <t>Faculty</t>
        </is>
      </c>
      <c r="I56" t="inlineStr">
        <is>
          <t>All</t>
        </is>
      </c>
      <c r="J56" t="inlineStr">
        <is>
          <t>All</t>
        </is>
      </c>
      <c r="K56" t="inlineStr">
        <is>
          <t>All</t>
        </is>
      </c>
      <c r="L56" t="inlineStr">
        <is>
          <t>Number</t>
        </is>
      </c>
    </row>
    <row r="57">
      <c r="A57" t="inlineStr">
        <is>
          <t>I103</t>
        </is>
      </c>
      <c r="B57" s="2" t="inlineStr">
        <is>
          <t>C. Total number who are women</t>
        </is>
      </c>
      <c r="C57" s="48" t="n">
        <v>1302</v>
      </c>
      <c r="D57" t="inlineStr">
        <is>
          <t>Instructional Faculty And Class Size</t>
        </is>
      </c>
      <c r="E57" t="inlineStr">
        <is>
          <t>Instructional Faculty</t>
        </is>
      </c>
      <c r="F57" t="inlineStr">
        <is>
          <t>Full-Time</t>
        </is>
      </c>
      <c r="G57" t="inlineStr">
        <is>
          <t>Undergraduates</t>
        </is>
      </c>
      <c r="H57" t="inlineStr">
        <is>
          <t>Faculty</t>
        </is>
      </c>
      <c r="I57" t="inlineStr">
        <is>
          <t>All</t>
        </is>
      </c>
      <c r="J57" t="inlineStr">
        <is>
          <t>All</t>
        </is>
      </c>
      <c r="K57" t="inlineStr">
        <is>
          <t>All</t>
        </is>
      </c>
      <c r="L57" t="inlineStr">
        <is>
          <t>Number</t>
        </is>
      </c>
    </row>
    <row r="58">
      <c r="A58" t="inlineStr">
        <is>
          <t>I104</t>
        </is>
      </c>
      <c r="B58" s="2" t="inlineStr">
        <is>
          <t>D. Total number who are men</t>
        </is>
      </c>
      <c r="C58" s="48" t="n">
        <v>1523</v>
      </c>
      <c r="D58" t="inlineStr">
        <is>
          <t>Instructional Faculty And Class Size</t>
        </is>
      </c>
      <c r="E58" t="inlineStr">
        <is>
          <t>Instructional Faculty</t>
        </is>
      </c>
      <c r="F58" t="inlineStr">
        <is>
          <t>Full-Time</t>
        </is>
      </c>
      <c r="G58" t="inlineStr">
        <is>
          <t>Undergraduates</t>
        </is>
      </c>
      <c r="H58" t="inlineStr">
        <is>
          <t>Faculty</t>
        </is>
      </c>
      <c r="I58" t="inlineStr">
        <is>
          <t>All</t>
        </is>
      </c>
      <c r="J58" t="inlineStr">
        <is>
          <t>All</t>
        </is>
      </c>
      <c r="K58" t="inlineStr">
        <is>
          <t>All</t>
        </is>
      </c>
      <c r="L58" t="inlineStr">
        <is>
          <t>Number</t>
        </is>
      </c>
    </row>
    <row r="59">
      <c r="A59" t="inlineStr">
        <is>
          <t>I105</t>
        </is>
      </c>
      <c r="B59" s="2" t="inlineStr">
        <is>
          <t>E. Total number who are nonresidents (international)</t>
        </is>
      </c>
      <c r="C59" s="48" t="n">
        <v>102</v>
      </c>
      <c r="D59" t="inlineStr">
        <is>
          <t>Instructional Faculty And Class Size</t>
        </is>
      </c>
      <c r="E59" t="inlineStr">
        <is>
          <t>Instructional Faculty</t>
        </is>
      </c>
      <c r="F59" t="inlineStr">
        <is>
          <t>Full-Time</t>
        </is>
      </c>
      <c r="G59" t="inlineStr">
        <is>
          <t>Undergraduates</t>
        </is>
      </c>
      <c r="H59" t="inlineStr">
        <is>
          <t>Faculty</t>
        </is>
      </c>
      <c r="I59" t="inlineStr">
        <is>
          <t>All</t>
        </is>
      </c>
      <c r="J59" t="inlineStr">
        <is>
          <t>All</t>
        </is>
      </c>
      <c r="K59" t="inlineStr">
        <is>
          <t>All</t>
        </is>
      </c>
      <c r="L59" t="inlineStr">
        <is>
          <t>Number</t>
        </is>
      </c>
    </row>
    <row r="60">
      <c r="A60" t="inlineStr">
        <is>
          <t>I106</t>
        </is>
      </c>
      <c r="B60" s="2" t="inlineStr">
        <is>
          <t>F. Total number with doctorate, or other terminal degree</t>
        </is>
      </c>
      <c r="C60" s="48" t="n">
        <v>2555</v>
      </c>
      <c r="D60" t="inlineStr">
        <is>
          <t>Instructional Faculty And Class Size</t>
        </is>
      </c>
      <c r="E60" t="inlineStr">
        <is>
          <t>Instructional Faculty</t>
        </is>
      </c>
      <c r="F60" t="inlineStr">
        <is>
          <t>Full-Time</t>
        </is>
      </c>
      <c r="G60" t="inlineStr">
        <is>
          <t>Undergraduates</t>
        </is>
      </c>
      <c r="H60" t="inlineStr">
        <is>
          <t>Faculty</t>
        </is>
      </c>
      <c r="I60" t="inlineStr">
        <is>
          <t>All</t>
        </is>
      </c>
      <c r="J60" t="inlineStr">
        <is>
          <t>All</t>
        </is>
      </c>
      <c r="K60" t="inlineStr">
        <is>
          <t>All</t>
        </is>
      </c>
      <c r="L60" t="inlineStr">
        <is>
          <t>Number</t>
        </is>
      </c>
    </row>
    <row r="61" ht="29.25" customHeight="1" s="44">
      <c r="A61" t="inlineStr">
        <is>
          <t>I107</t>
        </is>
      </c>
      <c r="B61" s="2" t="inlineStr">
        <is>
          <t>G. Total number whose highest degree is a master’s but not a terminal master’s</t>
        </is>
      </c>
      <c r="C61" s="48" t="n">
        <v>240</v>
      </c>
      <c r="D61" t="inlineStr">
        <is>
          <t>Instructional Faculty And Class Size</t>
        </is>
      </c>
      <c r="E61" t="inlineStr">
        <is>
          <t>Instructional Faculty</t>
        </is>
      </c>
      <c r="F61" t="inlineStr">
        <is>
          <t>Full-Time</t>
        </is>
      </c>
      <c r="G61" t="inlineStr">
        <is>
          <t>Undergraduates</t>
        </is>
      </c>
      <c r="H61" t="inlineStr">
        <is>
          <t>Faculty</t>
        </is>
      </c>
      <c r="I61" t="inlineStr">
        <is>
          <t>All</t>
        </is>
      </c>
      <c r="J61" t="inlineStr">
        <is>
          <t>All</t>
        </is>
      </c>
      <c r="K61" t="inlineStr">
        <is>
          <t>All</t>
        </is>
      </c>
      <c r="L61" t="inlineStr">
        <is>
          <t>Number</t>
        </is>
      </c>
    </row>
    <row r="62">
      <c r="A62" t="inlineStr">
        <is>
          <t>I108</t>
        </is>
      </c>
      <c r="B62" s="2" t="inlineStr">
        <is>
          <t>H. Total number whose highest degree is a bachelor’s</t>
        </is>
      </c>
      <c r="C62" s="48" t="n">
        <v>30</v>
      </c>
      <c r="D62" t="inlineStr">
        <is>
          <t>Instructional Faculty And Class Size</t>
        </is>
      </c>
      <c r="E62" t="inlineStr">
        <is>
          <t>Instructional Faculty</t>
        </is>
      </c>
      <c r="F62" t="inlineStr">
        <is>
          <t>Full-Time</t>
        </is>
      </c>
      <c r="G62" t="inlineStr">
        <is>
          <t>Undergraduates</t>
        </is>
      </c>
      <c r="H62" t="inlineStr">
        <is>
          <t>Faculty</t>
        </is>
      </c>
      <c r="I62" t="inlineStr">
        <is>
          <t>All</t>
        </is>
      </c>
      <c r="J62" t="inlineStr">
        <is>
          <t>All</t>
        </is>
      </c>
      <c r="K62" t="inlineStr">
        <is>
          <t>All</t>
        </is>
      </c>
      <c r="L62" t="inlineStr">
        <is>
          <t>Number</t>
        </is>
      </c>
    </row>
    <row r="63" ht="29.25" customHeight="1" s="44">
      <c r="A63" t="inlineStr">
        <is>
          <t>I109</t>
        </is>
      </c>
      <c r="B63" s="2" t="inlineStr">
        <is>
          <t>I. Total number whose highest degree is unknown or other (Note: Items f, g, h, and i must sum up to item a.)</t>
        </is>
      </c>
      <c r="C63" s="48" t="n">
        <v>0</v>
      </c>
      <c r="D63" t="inlineStr">
        <is>
          <t>Instructional Faculty And Class Size</t>
        </is>
      </c>
      <c r="E63" t="inlineStr">
        <is>
          <t>Instructional Faculty</t>
        </is>
      </c>
      <c r="F63" t="inlineStr">
        <is>
          <t>Full-Time</t>
        </is>
      </c>
      <c r="G63" t="inlineStr">
        <is>
          <t>Undergraduates</t>
        </is>
      </c>
      <c r="H63" t="inlineStr">
        <is>
          <t>Faculty</t>
        </is>
      </c>
      <c r="I63" t="inlineStr">
        <is>
          <t>All</t>
        </is>
      </c>
      <c r="J63" t="inlineStr">
        <is>
          <t>All</t>
        </is>
      </c>
      <c r="K63" t="inlineStr">
        <is>
          <t>All</t>
        </is>
      </c>
      <c r="L63" t="inlineStr">
        <is>
          <t>Number</t>
        </is>
      </c>
    </row>
    <row r="64" ht="29.25" customHeight="1" s="44">
      <c r="A64" t="inlineStr">
        <is>
          <t>I110</t>
        </is>
      </c>
      <c r="B64" s="2" t="inlineStr">
        <is>
          <t>J. Total number in stand-alone graduate/professional programs in which faculty teach virtually only graduate-level students</t>
        </is>
      </c>
      <c r="C64" s="48" t="n">
        <v>433</v>
      </c>
      <c r="D64" t="inlineStr">
        <is>
          <t>Instructional Faculty And Class Size</t>
        </is>
      </c>
      <c r="E64" t="inlineStr">
        <is>
          <t>Instructional Faculty</t>
        </is>
      </c>
      <c r="F64" t="inlineStr">
        <is>
          <t>Full-Time</t>
        </is>
      </c>
      <c r="G64" t="inlineStr">
        <is>
          <t>Undergraduates</t>
        </is>
      </c>
      <c r="H64" t="inlineStr">
        <is>
          <t>Faculty</t>
        </is>
      </c>
      <c r="I64" t="inlineStr">
        <is>
          <t>All</t>
        </is>
      </c>
      <c r="J64" t="inlineStr">
        <is>
          <t>All</t>
        </is>
      </c>
      <c r="K64" t="inlineStr">
        <is>
          <t>All</t>
        </is>
      </c>
      <c r="L64" t="inlineStr">
        <is>
          <t>Number</t>
        </is>
      </c>
    </row>
    <row r="65" ht="18" customHeight="1" s="44"/>
    <row r="66"/>
    <row r="67"/>
    <row r="68">
      <c r="A68" t="inlineStr">
        <is>
          <t>I111</t>
        </is>
      </c>
      <c r="B68" s="2" t="inlineStr">
        <is>
          <t>A. Total number of instructional faculty</t>
        </is>
      </c>
      <c r="C68" s="48" t="n">
        <v>446</v>
      </c>
      <c r="D68" t="inlineStr">
        <is>
          <t>Instructional Faculty And Class Size</t>
        </is>
      </c>
      <c r="E68" t="inlineStr">
        <is>
          <t>Instructional Faculty</t>
        </is>
      </c>
      <c r="F68" t="inlineStr">
        <is>
          <t>Part-Time</t>
        </is>
      </c>
      <c r="G68" t="inlineStr">
        <is>
          <t>Undergraduates</t>
        </is>
      </c>
      <c r="H68" t="inlineStr">
        <is>
          <t>Faculty</t>
        </is>
      </c>
      <c r="I68" t="inlineStr">
        <is>
          <t>All</t>
        </is>
      </c>
      <c r="J68" t="inlineStr">
        <is>
          <t>All</t>
        </is>
      </c>
      <c r="K68" t="inlineStr">
        <is>
          <t>All</t>
        </is>
      </c>
      <c r="L68" t="inlineStr">
        <is>
          <t>Number</t>
        </is>
      </c>
    </row>
    <row r="69">
      <c r="A69" t="inlineStr">
        <is>
          <t>I112</t>
        </is>
      </c>
      <c r="B69" s="2" t="inlineStr">
        <is>
          <t>B. Total number who are members of minority groups</t>
        </is>
      </c>
      <c r="C69" s="48" t="n">
        <v>53</v>
      </c>
      <c r="D69" t="inlineStr">
        <is>
          <t>Instructional Faculty And Class Size</t>
        </is>
      </c>
      <c r="E69" t="inlineStr">
        <is>
          <t>Instructional Faculty</t>
        </is>
      </c>
      <c r="F69" t="inlineStr">
        <is>
          <t>Part-Time</t>
        </is>
      </c>
      <c r="G69" t="inlineStr">
        <is>
          <t>Undergraduates</t>
        </is>
      </c>
      <c r="H69" t="inlineStr">
        <is>
          <t>Faculty</t>
        </is>
      </c>
      <c r="I69" t="inlineStr">
        <is>
          <t>All</t>
        </is>
      </c>
      <c r="J69" t="inlineStr">
        <is>
          <t>All</t>
        </is>
      </c>
      <c r="K69" t="inlineStr">
        <is>
          <t>All</t>
        </is>
      </c>
      <c r="L69" t="inlineStr">
        <is>
          <t>Number</t>
        </is>
      </c>
    </row>
    <row r="70">
      <c r="A70" t="inlineStr">
        <is>
          <t>I113</t>
        </is>
      </c>
      <c r="B70" s="2" t="inlineStr">
        <is>
          <t>C. Total number who are women</t>
        </is>
      </c>
      <c r="C70" s="48" t="n">
        <v>212</v>
      </c>
      <c r="D70" t="inlineStr">
        <is>
          <t>Instructional Faculty And Class Size</t>
        </is>
      </c>
      <c r="E70" t="inlineStr">
        <is>
          <t>Instructional Faculty</t>
        </is>
      </c>
      <c r="F70" t="inlineStr">
        <is>
          <t>Part-Time</t>
        </is>
      </c>
      <c r="G70" t="inlineStr">
        <is>
          <t>Undergraduates</t>
        </is>
      </c>
      <c r="H70" t="inlineStr">
        <is>
          <t>Faculty</t>
        </is>
      </c>
      <c r="I70" t="inlineStr">
        <is>
          <t>All</t>
        </is>
      </c>
      <c r="J70" t="inlineStr">
        <is>
          <t>All</t>
        </is>
      </c>
      <c r="K70" t="inlineStr">
        <is>
          <t>All</t>
        </is>
      </c>
      <c r="L70" t="inlineStr">
        <is>
          <t>Number</t>
        </is>
      </c>
    </row>
    <row r="71">
      <c r="A71" t="inlineStr">
        <is>
          <t>I114</t>
        </is>
      </c>
      <c r="B71" s="2" t="inlineStr">
        <is>
          <t>D. Total number who are men</t>
        </is>
      </c>
      <c r="C71" s="48" t="n">
        <v>234</v>
      </c>
      <c r="D71" t="inlineStr">
        <is>
          <t>Instructional Faculty And Class Size</t>
        </is>
      </c>
      <c r="E71" t="inlineStr">
        <is>
          <t>Instructional Faculty</t>
        </is>
      </c>
      <c r="F71" t="inlineStr">
        <is>
          <t>Part-Time</t>
        </is>
      </c>
      <c r="G71" t="inlineStr">
        <is>
          <t>Undergraduates</t>
        </is>
      </c>
      <c r="H71" t="inlineStr">
        <is>
          <t>Faculty</t>
        </is>
      </c>
      <c r="I71" t="inlineStr">
        <is>
          <t>All</t>
        </is>
      </c>
      <c r="J71" t="inlineStr">
        <is>
          <t>All</t>
        </is>
      </c>
      <c r="K71" t="inlineStr">
        <is>
          <t>All</t>
        </is>
      </c>
      <c r="L71" t="inlineStr">
        <is>
          <t>Number</t>
        </is>
      </c>
    </row>
    <row r="72" ht="18" customHeight="1" s="44">
      <c r="A72" t="inlineStr">
        <is>
          <t>I115</t>
        </is>
      </c>
      <c r="B72" s="2" t="inlineStr">
        <is>
          <t>E. Total number who are nonresidents (international)</t>
        </is>
      </c>
      <c r="C72" s="48" t="n">
        <v>2</v>
      </c>
      <c r="D72" t="inlineStr">
        <is>
          <t>Instructional Faculty And Class Size</t>
        </is>
      </c>
      <c r="E72" t="inlineStr">
        <is>
          <t>Instructional Faculty</t>
        </is>
      </c>
      <c r="F72" t="inlineStr">
        <is>
          <t>Part-Time</t>
        </is>
      </c>
      <c r="G72" t="inlineStr">
        <is>
          <t>Undergraduates</t>
        </is>
      </c>
      <c r="H72" t="inlineStr">
        <is>
          <t>Faculty</t>
        </is>
      </c>
      <c r="I72" t="inlineStr">
        <is>
          <t>All</t>
        </is>
      </c>
      <c r="J72" t="inlineStr">
        <is>
          <t>All</t>
        </is>
      </c>
      <c r="K72" t="inlineStr">
        <is>
          <t>All</t>
        </is>
      </c>
      <c r="L72" t="inlineStr">
        <is>
          <t>Number</t>
        </is>
      </c>
    </row>
    <row r="73" ht="18" customHeight="1" s="44">
      <c r="A73" t="inlineStr">
        <is>
          <t>I116</t>
        </is>
      </c>
      <c r="B73" s="2" t="inlineStr">
        <is>
          <t>F. Total number with doctorate, or other terminal degree</t>
        </is>
      </c>
      <c r="C73" s="48" t="n">
        <v>277</v>
      </c>
      <c r="D73" t="inlineStr">
        <is>
          <t>Instructional Faculty And Class Size</t>
        </is>
      </c>
      <c r="E73" t="inlineStr">
        <is>
          <t>Instructional Faculty</t>
        </is>
      </c>
      <c r="F73" t="inlineStr">
        <is>
          <t>Part-Time</t>
        </is>
      </c>
      <c r="G73" t="inlineStr">
        <is>
          <t>Undergraduates</t>
        </is>
      </c>
      <c r="H73" t="inlineStr">
        <is>
          <t>Faculty</t>
        </is>
      </c>
      <c r="I73" t="inlineStr">
        <is>
          <t>All</t>
        </is>
      </c>
      <c r="J73" t="inlineStr">
        <is>
          <t>All</t>
        </is>
      </c>
      <c r="K73" t="inlineStr">
        <is>
          <t>All</t>
        </is>
      </c>
      <c r="L73" t="inlineStr">
        <is>
          <t>Number</t>
        </is>
      </c>
    </row>
    <row r="74" ht="18" customHeight="1" s="44">
      <c r="A74" t="inlineStr">
        <is>
          <t>I117</t>
        </is>
      </c>
      <c r="B74" s="2" t="inlineStr">
        <is>
          <t>G. Total number whose highest degree is a master’s but not a terminal master’s</t>
        </is>
      </c>
      <c r="C74" s="48" t="n">
        <v>132</v>
      </c>
      <c r="D74" t="inlineStr">
        <is>
          <t>Instructional Faculty And Class Size</t>
        </is>
      </c>
      <c r="E74" t="inlineStr">
        <is>
          <t>Instructional Faculty</t>
        </is>
      </c>
      <c r="F74" t="inlineStr">
        <is>
          <t>Part-Time</t>
        </is>
      </c>
      <c r="G74" t="inlineStr">
        <is>
          <t>Undergraduates</t>
        </is>
      </c>
      <c r="H74" t="inlineStr">
        <is>
          <t>Faculty</t>
        </is>
      </c>
      <c r="I74" t="inlineStr">
        <is>
          <t>All</t>
        </is>
      </c>
      <c r="J74" t="inlineStr">
        <is>
          <t>All</t>
        </is>
      </c>
      <c r="K74" t="inlineStr">
        <is>
          <t>All</t>
        </is>
      </c>
      <c r="L74" t="inlineStr">
        <is>
          <t>Number</t>
        </is>
      </c>
    </row>
    <row r="75">
      <c r="A75" t="inlineStr">
        <is>
          <t>I118</t>
        </is>
      </c>
      <c r="B75" s="2" t="inlineStr">
        <is>
          <t>H. Total number whose highest degree is a bachelor’s</t>
        </is>
      </c>
      <c r="C75" s="48" t="n">
        <v>37</v>
      </c>
      <c r="D75" t="inlineStr">
        <is>
          <t>Instructional Faculty And Class Size</t>
        </is>
      </c>
      <c r="E75" t="inlineStr">
        <is>
          <t>Instructional Faculty</t>
        </is>
      </c>
      <c r="F75" t="inlineStr">
        <is>
          <t>Part-Time</t>
        </is>
      </c>
      <c r="G75" t="inlineStr">
        <is>
          <t>Undergraduates</t>
        </is>
      </c>
      <c r="H75" t="inlineStr">
        <is>
          <t>Faculty</t>
        </is>
      </c>
      <c r="I75" t="inlineStr">
        <is>
          <t>All</t>
        </is>
      </c>
      <c r="J75" t="inlineStr">
        <is>
          <t>All</t>
        </is>
      </c>
      <c r="K75" t="inlineStr">
        <is>
          <t>All</t>
        </is>
      </c>
      <c r="L75" t="inlineStr">
        <is>
          <t>Number</t>
        </is>
      </c>
    </row>
    <row r="76" ht="29.25" customHeight="1" s="44">
      <c r="A76" t="inlineStr">
        <is>
          <t>I119</t>
        </is>
      </c>
      <c r="B76" s="2" t="inlineStr">
        <is>
          <t>I. Total number whose highest degree is unknown or other (Note: Items f, g, h, and i must sum up to item a.)</t>
        </is>
      </c>
      <c r="C76" s="48" t="n">
        <v>0</v>
      </c>
      <c r="D76" t="inlineStr">
        <is>
          <t>Instructional Faculty And Class Size</t>
        </is>
      </c>
      <c r="E76" t="inlineStr">
        <is>
          <t>Instructional Faculty</t>
        </is>
      </c>
      <c r="F76" t="inlineStr">
        <is>
          <t>Part-Time</t>
        </is>
      </c>
      <c r="G76" t="inlineStr">
        <is>
          <t>Undergraduates</t>
        </is>
      </c>
      <c r="H76" t="inlineStr">
        <is>
          <t>Faculty</t>
        </is>
      </c>
      <c r="I76" t="inlineStr">
        <is>
          <t>All</t>
        </is>
      </c>
      <c r="J76" t="inlineStr">
        <is>
          <t>All</t>
        </is>
      </c>
      <c r="K76" t="inlineStr">
        <is>
          <t>All</t>
        </is>
      </c>
      <c r="L76" t="inlineStr">
        <is>
          <t>Number</t>
        </is>
      </c>
    </row>
    <row r="77" ht="29.25" customHeight="1" s="44">
      <c r="A77" t="inlineStr">
        <is>
          <t>I120</t>
        </is>
      </c>
      <c r="B77" s="2" t="inlineStr">
        <is>
          <t>J. Total number in stand-alone graduate/professional programs in which faculty teach virtually only graduate-level students</t>
        </is>
      </c>
      <c r="C77" s="48" t="n">
        <v>88</v>
      </c>
      <c r="D77" t="inlineStr">
        <is>
          <t>Instructional Faculty And Class Size</t>
        </is>
      </c>
      <c r="E77" t="inlineStr">
        <is>
          <t>Instructional Faculty</t>
        </is>
      </c>
      <c r="F77" t="inlineStr">
        <is>
          <t>Part-Time</t>
        </is>
      </c>
      <c r="G77" t="inlineStr">
        <is>
          <t>Undergraduates</t>
        </is>
      </c>
      <c r="H77" t="inlineStr">
        <is>
          <t>Faculty</t>
        </is>
      </c>
      <c r="I77" t="inlineStr">
        <is>
          <t>All</t>
        </is>
      </c>
      <c r="J77" t="inlineStr">
        <is>
          <t>All</t>
        </is>
      </c>
      <c r="K77" t="inlineStr">
        <is>
          <t>All</t>
        </is>
      </c>
      <c r="L77" t="inlineStr">
        <is>
          <t>Number</t>
        </is>
      </c>
    </row>
    <row r="78"/>
    <row r="79"/>
    <row r="80"/>
    <row r="81">
      <c r="A81" t="inlineStr">
        <is>
          <t>I121</t>
        </is>
      </c>
      <c r="B81" s="2" t="inlineStr">
        <is>
          <t>A. Total number of instructional faculty</t>
        </is>
      </c>
      <c r="C81" s="48" t="n">
        <v>3271</v>
      </c>
      <c r="D81" t="inlineStr">
        <is>
          <t>Instructional Faculty And Class Size</t>
        </is>
      </c>
      <c r="E81" t="inlineStr">
        <is>
          <t>Instructional Faculty</t>
        </is>
      </c>
      <c r="F81" t="inlineStr">
        <is>
          <t>Total</t>
        </is>
      </c>
      <c r="G81" t="inlineStr">
        <is>
          <t>Undergraduates</t>
        </is>
      </c>
      <c r="H81" t="inlineStr">
        <is>
          <t>Faculty</t>
        </is>
      </c>
      <c r="I81" t="inlineStr">
        <is>
          <t>All</t>
        </is>
      </c>
      <c r="J81" t="inlineStr">
        <is>
          <t>All</t>
        </is>
      </c>
      <c r="K81" t="inlineStr">
        <is>
          <t>All</t>
        </is>
      </c>
      <c r="L81" t="inlineStr">
        <is>
          <t>Number</t>
        </is>
      </c>
    </row>
    <row r="82">
      <c r="A82" t="inlineStr">
        <is>
          <t>I122</t>
        </is>
      </c>
      <c r="B82" s="2" t="inlineStr">
        <is>
          <t>B. Total number who are members of minority groups</t>
        </is>
      </c>
      <c r="C82" s="48" t="n">
        <v>783</v>
      </c>
      <c r="D82" t="inlineStr">
        <is>
          <t>Instructional Faculty And Class Size</t>
        </is>
      </c>
      <c r="E82" t="inlineStr">
        <is>
          <t>Instructional Faculty</t>
        </is>
      </c>
      <c r="F82" t="inlineStr">
        <is>
          <t>Total</t>
        </is>
      </c>
      <c r="G82" t="inlineStr">
        <is>
          <t>Undergraduates</t>
        </is>
      </c>
      <c r="H82" t="inlineStr">
        <is>
          <t>Faculty</t>
        </is>
      </c>
      <c r="I82" t="inlineStr">
        <is>
          <t>All</t>
        </is>
      </c>
      <c r="J82" t="inlineStr">
        <is>
          <t>All</t>
        </is>
      </c>
      <c r="K82" t="inlineStr">
        <is>
          <t>All</t>
        </is>
      </c>
      <c r="L82" t="inlineStr">
        <is>
          <t>Number</t>
        </is>
      </c>
    </row>
    <row r="83">
      <c r="A83" t="inlineStr">
        <is>
          <t>I123</t>
        </is>
      </c>
      <c r="B83" s="2" t="inlineStr">
        <is>
          <t>C. Total number who are women</t>
        </is>
      </c>
      <c r="C83" s="48" t="n">
        <v>1514</v>
      </c>
      <c r="D83" t="inlineStr">
        <is>
          <t>Instructional Faculty And Class Size</t>
        </is>
      </c>
      <c r="E83" t="inlineStr">
        <is>
          <t>Instructional Faculty</t>
        </is>
      </c>
      <c r="F83" t="inlineStr">
        <is>
          <t>Total</t>
        </is>
      </c>
      <c r="G83" t="inlineStr">
        <is>
          <t>Undergraduates</t>
        </is>
      </c>
      <c r="H83" t="inlineStr">
        <is>
          <t>Faculty</t>
        </is>
      </c>
      <c r="I83" t="inlineStr">
        <is>
          <t>All</t>
        </is>
      </c>
      <c r="J83" t="inlineStr">
        <is>
          <t>All</t>
        </is>
      </c>
      <c r="K83" t="inlineStr">
        <is>
          <t>All</t>
        </is>
      </c>
      <c r="L83" t="inlineStr">
        <is>
          <t>Number</t>
        </is>
      </c>
    </row>
    <row r="84" ht="33" customHeight="1" s="44">
      <c r="A84" t="inlineStr">
        <is>
          <t>I124</t>
        </is>
      </c>
      <c r="B84" s="2" t="inlineStr">
        <is>
          <t>D. Total number who are men</t>
        </is>
      </c>
      <c r="C84" s="48" t="n">
        <v>1757</v>
      </c>
      <c r="D84" t="inlineStr">
        <is>
          <t>Instructional Faculty And Class Size</t>
        </is>
      </c>
      <c r="E84" t="inlineStr">
        <is>
          <t>Instructional Faculty</t>
        </is>
      </c>
      <c r="F84" t="inlineStr">
        <is>
          <t>Total</t>
        </is>
      </c>
      <c r="G84" t="inlineStr">
        <is>
          <t>Undergraduates</t>
        </is>
      </c>
      <c r="H84" t="inlineStr">
        <is>
          <t>Faculty</t>
        </is>
      </c>
      <c r="I84" t="inlineStr">
        <is>
          <t>All</t>
        </is>
      </c>
      <c r="J84" t="inlineStr">
        <is>
          <t>All</t>
        </is>
      </c>
      <c r="K84" t="inlineStr">
        <is>
          <t>All</t>
        </is>
      </c>
      <c r="L84" t="inlineStr">
        <is>
          <t>Number</t>
        </is>
      </c>
    </row>
    <row r="85" ht="18" customHeight="1" s="44">
      <c r="A85" t="inlineStr">
        <is>
          <t>I125</t>
        </is>
      </c>
      <c r="B85" s="2" t="inlineStr">
        <is>
          <t>E. Total number who are nonresidents (international)</t>
        </is>
      </c>
      <c r="C85" s="48" t="n">
        <v>104</v>
      </c>
      <c r="D85" t="inlineStr">
        <is>
          <t>Instructional Faculty And Class Size</t>
        </is>
      </c>
      <c r="E85" t="inlineStr">
        <is>
          <t>Instructional Faculty</t>
        </is>
      </c>
      <c r="F85" t="inlineStr">
        <is>
          <t>Total</t>
        </is>
      </c>
      <c r="G85" t="inlineStr">
        <is>
          <t>Undergraduates</t>
        </is>
      </c>
      <c r="H85" t="inlineStr">
        <is>
          <t>Faculty</t>
        </is>
      </c>
      <c r="I85" t="inlineStr">
        <is>
          <t>All</t>
        </is>
      </c>
      <c r="J85" t="inlineStr">
        <is>
          <t>All</t>
        </is>
      </c>
      <c r="K85" t="inlineStr">
        <is>
          <t>All</t>
        </is>
      </c>
      <c r="L85" t="inlineStr">
        <is>
          <t>Number</t>
        </is>
      </c>
    </row>
    <row r="86" ht="18" customHeight="1" s="44">
      <c r="A86" t="inlineStr">
        <is>
          <t>I126</t>
        </is>
      </c>
      <c r="B86" s="2" t="inlineStr">
        <is>
          <t>F. Total number with doctorate, or other terminal degree</t>
        </is>
      </c>
      <c r="C86" s="48" t="n">
        <v>2832</v>
      </c>
      <c r="D86" t="inlineStr">
        <is>
          <t>Instructional Faculty And Class Size</t>
        </is>
      </c>
      <c r="E86" t="inlineStr">
        <is>
          <t>Instructional Faculty</t>
        </is>
      </c>
      <c r="F86" t="inlineStr">
        <is>
          <t>Total</t>
        </is>
      </c>
      <c r="G86" t="inlineStr">
        <is>
          <t>Undergraduates</t>
        </is>
      </c>
      <c r="H86" t="inlineStr">
        <is>
          <t>Faculty</t>
        </is>
      </c>
      <c r="I86" t="inlineStr">
        <is>
          <t>All</t>
        </is>
      </c>
      <c r="J86" t="inlineStr">
        <is>
          <t>All</t>
        </is>
      </c>
      <c r="K86" t="inlineStr">
        <is>
          <t>All</t>
        </is>
      </c>
      <c r="L86" t="inlineStr">
        <is>
          <t>Number</t>
        </is>
      </c>
    </row>
    <row r="87" ht="18" customHeight="1" s="44">
      <c r="A87" t="inlineStr">
        <is>
          <t>I127</t>
        </is>
      </c>
      <c r="B87" s="2" t="inlineStr">
        <is>
          <t>G. Total number whose highest degree is a master’s but not a terminal master’s</t>
        </is>
      </c>
      <c r="C87" s="48" t="n">
        <v>372</v>
      </c>
      <c r="D87" t="inlineStr">
        <is>
          <t>Instructional Faculty And Class Size</t>
        </is>
      </c>
      <c r="E87" t="inlineStr">
        <is>
          <t>Instructional Faculty</t>
        </is>
      </c>
      <c r="F87" t="inlineStr">
        <is>
          <t>Total</t>
        </is>
      </c>
      <c r="G87" t="inlineStr">
        <is>
          <t>Undergraduates</t>
        </is>
      </c>
      <c r="H87" t="inlineStr">
        <is>
          <t>Faculty</t>
        </is>
      </c>
      <c r="I87" t="inlineStr">
        <is>
          <t>All</t>
        </is>
      </c>
      <c r="J87" t="inlineStr">
        <is>
          <t>All</t>
        </is>
      </c>
      <c r="K87" t="inlineStr">
        <is>
          <t>All</t>
        </is>
      </c>
      <c r="L87" t="inlineStr">
        <is>
          <t>Number</t>
        </is>
      </c>
    </row>
    <row r="88">
      <c r="A88" t="inlineStr">
        <is>
          <t>I128</t>
        </is>
      </c>
      <c r="B88" s="2" t="inlineStr">
        <is>
          <t>H. Total number whose highest degree is a bachelor’s</t>
        </is>
      </c>
      <c r="C88" s="48" t="n">
        <v>67</v>
      </c>
      <c r="D88" t="inlineStr">
        <is>
          <t>Instructional Faculty And Class Size</t>
        </is>
      </c>
      <c r="E88" t="inlineStr">
        <is>
          <t>Instructional Faculty</t>
        </is>
      </c>
      <c r="F88" t="inlineStr">
        <is>
          <t>Total</t>
        </is>
      </c>
      <c r="G88" t="inlineStr">
        <is>
          <t>Undergraduates</t>
        </is>
      </c>
      <c r="H88" t="inlineStr">
        <is>
          <t>Faculty</t>
        </is>
      </c>
      <c r="I88" t="inlineStr">
        <is>
          <t>All</t>
        </is>
      </c>
      <c r="J88" t="inlineStr">
        <is>
          <t>All</t>
        </is>
      </c>
      <c r="K88" t="inlineStr">
        <is>
          <t>All</t>
        </is>
      </c>
      <c r="L88" t="inlineStr">
        <is>
          <t>Number</t>
        </is>
      </c>
    </row>
    <row r="89" ht="29.25" customHeight="1" s="44">
      <c r="A89" t="inlineStr">
        <is>
          <t>I129</t>
        </is>
      </c>
      <c r="B89" s="2" t="inlineStr">
        <is>
          <t>I. Total number whose highest degree is unknown or other (Note: Items f, g, h, and i must sum up to item a.)</t>
        </is>
      </c>
      <c r="C89" s="48" t="n">
        <v>0</v>
      </c>
      <c r="D89" t="inlineStr">
        <is>
          <t>Instructional Faculty And Class Size</t>
        </is>
      </c>
      <c r="E89" t="inlineStr">
        <is>
          <t>Instructional Faculty</t>
        </is>
      </c>
      <c r="F89" t="inlineStr">
        <is>
          <t>Total</t>
        </is>
      </c>
      <c r="G89" t="inlineStr">
        <is>
          <t>Undergraduates</t>
        </is>
      </c>
      <c r="H89" t="inlineStr">
        <is>
          <t>Faculty</t>
        </is>
      </c>
      <c r="I89" t="inlineStr">
        <is>
          <t>All</t>
        </is>
      </c>
      <c r="J89" t="inlineStr">
        <is>
          <t>All</t>
        </is>
      </c>
      <c r="K89" t="inlineStr">
        <is>
          <t>All</t>
        </is>
      </c>
      <c r="L89" t="inlineStr">
        <is>
          <t>Number</t>
        </is>
      </c>
    </row>
    <row r="90" ht="29.25" customHeight="1" s="44">
      <c r="A90" t="inlineStr">
        <is>
          <t>I130</t>
        </is>
      </c>
      <c r="B90" s="2" t="inlineStr">
        <is>
          <t>J. Total number in stand-alone graduate/professional programs in which faculty teach virtually only graduate-level students</t>
        </is>
      </c>
      <c r="C90" s="48" t="n">
        <v>521</v>
      </c>
      <c r="D90" t="inlineStr">
        <is>
          <t>Instructional Faculty And Class Size</t>
        </is>
      </c>
      <c r="E90" t="inlineStr">
        <is>
          <t>Instructional Faculty</t>
        </is>
      </c>
      <c r="F90" t="inlineStr">
        <is>
          <t>Total</t>
        </is>
      </c>
      <c r="G90" t="inlineStr">
        <is>
          <t>Undergraduates</t>
        </is>
      </c>
      <c r="H90" t="inlineStr">
        <is>
          <t>Faculty</t>
        </is>
      </c>
      <c r="I90" t="inlineStr">
        <is>
          <t>All</t>
        </is>
      </c>
      <c r="J90" t="inlineStr">
        <is>
          <t>All</t>
        </is>
      </c>
      <c r="K90" t="inlineStr">
        <is>
          <t>All</t>
        </is>
      </c>
      <c r="L90" t="inlineStr">
        <is>
          <t>Number</t>
        </is>
      </c>
    </row>
    <row r="91" ht="18" customHeight="1" s="44"/>
    <row r="92"/>
    <row r="93">
      <c r="A93" s="37" t="n"/>
      <c r="B93" s="38" t="n"/>
    </row>
    <row r="94">
      <c r="A94" s="37" t="n"/>
      <c r="B94" s="38" t="n"/>
    </row>
    <row r="95">
      <c r="A95" s="37" t="n"/>
      <c r="B95" s="38" t="n"/>
    </row>
    <row r="96">
      <c r="A96" s="37" t="n"/>
      <c r="B96" s="38" t="n"/>
    </row>
    <row r="97">
      <c r="A97" s="37" t="n"/>
      <c r="B97" s="38" t="n"/>
    </row>
    <row r="98"/>
    <row r="99"/>
    <row r="100"/>
    <row r="101"/>
    <row r="102" ht="18" customHeight="1" s="44"/>
    <row r="103" ht="18" customHeight="1" s="44">
      <c r="A103" t="inlineStr">
        <is>
          <t>I201</t>
        </is>
      </c>
      <c r="B103" s="2" t="inlineStr">
        <is>
          <t>Fall 2024 Student to Faculty ratio</t>
        </is>
      </c>
      <c r="C103" t="n">
        <v>17.9</v>
      </c>
      <c r="D103" t="inlineStr">
        <is>
          <t>Instructional Faculty And Class Size</t>
        </is>
      </c>
      <c r="E103" t="inlineStr">
        <is>
          <t>Student to Faculty Ratio</t>
        </is>
      </c>
      <c r="F103" t="inlineStr">
        <is>
          <t>Total</t>
        </is>
      </c>
      <c r="G103" t="inlineStr">
        <is>
          <t>Undergraduates</t>
        </is>
      </c>
      <c r="H103" t="inlineStr">
        <is>
          <t>Faculty</t>
        </is>
      </c>
      <c r="I103" t="inlineStr">
        <is>
          <t>All</t>
        </is>
      </c>
      <c r="J103" t="inlineStr">
        <is>
          <t>All</t>
        </is>
      </c>
      <c r="K103" t="inlineStr">
        <is>
          <t>All</t>
        </is>
      </c>
      <c r="L103" t="inlineStr">
        <is>
          <t>Number</t>
        </is>
      </c>
    </row>
    <row r="104" ht="18" customHeight="1" s="44">
      <c r="A104" t="inlineStr">
        <is>
          <t>I202</t>
        </is>
      </c>
      <c r="B104" s="7" t="inlineStr">
        <is>
          <t>based on ____  students</t>
        </is>
      </c>
      <c r="C104" t="n">
        <v>45048.67</v>
      </c>
      <c r="D104" t="inlineStr">
        <is>
          <t>Instructional Faculty And Class Size</t>
        </is>
      </c>
      <c r="E104" t="inlineStr">
        <is>
          <t>Student to Faculty Ratio</t>
        </is>
      </c>
      <c r="F104" t="inlineStr">
        <is>
          <t>Total</t>
        </is>
      </c>
      <c r="G104" t="inlineStr">
        <is>
          <t>Undergraduates</t>
        </is>
      </c>
      <c r="H104" t="inlineStr">
        <is>
          <t>Faculty</t>
        </is>
      </c>
      <c r="I104" t="inlineStr">
        <is>
          <t>All</t>
        </is>
      </c>
      <c r="J104" t="inlineStr">
        <is>
          <t>All</t>
        </is>
      </c>
      <c r="K104" t="inlineStr">
        <is>
          <t>All</t>
        </is>
      </c>
      <c r="L104" t="inlineStr">
        <is>
          <t>Number</t>
        </is>
      </c>
    </row>
    <row r="105" ht="18" customHeight="1" s="44">
      <c r="A105" t="inlineStr">
        <is>
          <t>I203</t>
        </is>
      </c>
      <c r="B105" s="7" t="inlineStr">
        <is>
          <t>and ____ faculty</t>
        </is>
      </c>
      <c r="C105" t="n">
        <v>2511.33</v>
      </c>
      <c r="D105" t="inlineStr">
        <is>
          <t>Instructional Faculty And Class Size</t>
        </is>
      </c>
      <c r="E105" t="inlineStr">
        <is>
          <t>Student to Faculty Ratio</t>
        </is>
      </c>
      <c r="F105" t="inlineStr">
        <is>
          <t>Total</t>
        </is>
      </c>
      <c r="G105" t="inlineStr">
        <is>
          <t>Undergraduates</t>
        </is>
      </c>
      <c r="H105" t="inlineStr">
        <is>
          <t>Faculty</t>
        </is>
      </c>
      <c r="I105" t="inlineStr">
        <is>
          <t>All</t>
        </is>
      </c>
      <c r="J105" t="inlineStr">
        <is>
          <t>All</t>
        </is>
      </c>
      <c r="K105" t="inlineStr">
        <is>
          <t>All</t>
        </is>
      </c>
      <c r="L105" t="inlineStr">
        <is>
          <t>Number</t>
        </is>
      </c>
    </row>
    <row r="106"/>
    <row r="107"/>
    <row r="108"/>
    <row r="109"/>
    <row r="110"/>
    <row r="111"/>
    <row r="112"/>
    <row r="113"/>
    <row r="114"/>
    <row r="115"/>
    <row r="116"/>
    <row r="117"/>
    <row r="118"/>
    <row r="119"/>
    <row r="120"/>
    <row r="121"/>
    <row r="122"/>
    <row r="123"/>
    <row r="124"/>
    <row r="125"/>
    <row r="126"/>
    <row r="127"/>
    <row r="128"/>
    <row r="129"/>
    <row r="130"/>
    <row r="131"/>
    <row r="132"/>
    <row r="133"/>
    <row r="134" ht="18" customHeight="1" s="44"/>
    <row r="135" ht="18" customHeight="1" s="44">
      <c r="A135" t="inlineStr">
        <is>
          <t>I301</t>
        </is>
      </c>
      <c r="B135" s="36" t="inlineStr">
        <is>
          <t>2-9</t>
        </is>
      </c>
      <c r="C135" t="n">
        <v>349</v>
      </c>
      <c r="D135" t="inlineStr">
        <is>
          <t>Instructional Faculty And Class Size</t>
        </is>
      </c>
      <c r="E135" t="inlineStr">
        <is>
          <t>Undergraduate Class Size</t>
        </is>
      </c>
      <c r="F135" t="inlineStr">
        <is>
          <t>Class Sections</t>
        </is>
      </c>
      <c r="G135" t="inlineStr">
        <is>
          <t>Undergraduates</t>
        </is>
      </c>
      <c r="H135" t="inlineStr">
        <is>
          <t>Faculty</t>
        </is>
      </c>
      <c r="I135" t="inlineStr">
        <is>
          <t>All</t>
        </is>
      </c>
      <c r="J135" t="inlineStr">
        <is>
          <t>All</t>
        </is>
      </c>
      <c r="K135" t="inlineStr">
        <is>
          <t>All</t>
        </is>
      </c>
      <c r="L135" t="inlineStr">
        <is>
          <t>Number</t>
        </is>
      </c>
    </row>
    <row r="136" ht="18" customHeight="1" s="44">
      <c r="A136" t="inlineStr">
        <is>
          <t>I302</t>
        </is>
      </c>
      <c r="B136" s="36" t="inlineStr">
        <is>
          <t>10-19</t>
        </is>
      </c>
      <c r="C136" t="n">
        <v>1108</v>
      </c>
      <c r="D136" t="inlineStr">
        <is>
          <t>Instructional Faculty And Class Size</t>
        </is>
      </c>
      <c r="E136" t="inlineStr">
        <is>
          <t>Undergraduate Class Size</t>
        </is>
      </c>
      <c r="F136" t="inlineStr">
        <is>
          <t>Class Sections</t>
        </is>
      </c>
      <c r="G136" t="inlineStr">
        <is>
          <t>Undergraduates</t>
        </is>
      </c>
      <c r="H136" t="inlineStr">
        <is>
          <t>Faculty</t>
        </is>
      </c>
      <c r="I136" t="inlineStr">
        <is>
          <t>All</t>
        </is>
      </c>
      <c r="J136" t="inlineStr">
        <is>
          <t>All</t>
        </is>
      </c>
      <c r="K136" t="inlineStr">
        <is>
          <t>All</t>
        </is>
      </c>
      <c r="L136" t="inlineStr">
        <is>
          <t>Number</t>
        </is>
      </c>
    </row>
    <row r="137" ht="18" customHeight="1" s="44">
      <c r="A137" t="inlineStr">
        <is>
          <t>I303</t>
        </is>
      </c>
      <c r="B137" s="36" t="inlineStr">
        <is>
          <t>20-29</t>
        </is>
      </c>
      <c r="C137" t="n">
        <v>605</v>
      </c>
      <c r="D137" t="inlineStr">
        <is>
          <t>Instructional Faculty And Class Size</t>
        </is>
      </c>
      <c r="E137" t="inlineStr">
        <is>
          <t>Undergraduate Class Size</t>
        </is>
      </c>
      <c r="F137" t="inlineStr">
        <is>
          <t>Class Sections</t>
        </is>
      </c>
      <c r="G137" t="inlineStr">
        <is>
          <t>Undergraduates</t>
        </is>
      </c>
      <c r="H137" t="inlineStr">
        <is>
          <t>Faculty</t>
        </is>
      </c>
      <c r="I137" t="inlineStr">
        <is>
          <t>All</t>
        </is>
      </c>
      <c r="J137" t="inlineStr">
        <is>
          <t>All</t>
        </is>
      </c>
      <c r="K137" t="inlineStr">
        <is>
          <t>All</t>
        </is>
      </c>
      <c r="L137" t="inlineStr">
        <is>
          <t>Number</t>
        </is>
      </c>
    </row>
    <row r="138" ht="18" customHeight="1" s="44">
      <c r="A138" t="inlineStr">
        <is>
          <t>I304</t>
        </is>
      </c>
      <c r="B138" s="36" t="inlineStr">
        <is>
          <t>30-39</t>
        </is>
      </c>
      <c r="C138" t="n">
        <v>325</v>
      </c>
      <c r="D138" t="inlineStr">
        <is>
          <t>Instructional Faculty And Class Size</t>
        </is>
      </c>
      <c r="E138" t="inlineStr">
        <is>
          <t>Undergraduate Class Size</t>
        </is>
      </c>
      <c r="F138" t="inlineStr">
        <is>
          <t>Class Sections</t>
        </is>
      </c>
      <c r="G138" t="inlineStr">
        <is>
          <t>Undergraduates</t>
        </is>
      </c>
      <c r="H138" t="inlineStr">
        <is>
          <t>Faculty</t>
        </is>
      </c>
      <c r="I138" t="inlineStr">
        <is>
          <t>All</t>
        </is>
      </c>
      <c r="J138" t="inlineStr">
        <is>
          <t>All</t>
        </is>
      </c>
      <c r="K138" t="inlineStr">
        <is>
          <t>All</t>
        </is>
      </c>
      <c r="L138" t="inlineStr">
        <is>
          <t>Number</t>
        </is>
      </c>
    </row>
    <row r="139" ht="18" customHeight="1" s="44">
      <c r="A139" t="inlineStr">
        <is>
          <t>I305</t>
        </is>
      </c>
      <c r="B139" s="36" t="inlineStr">
        <is>
          <t>40-49</t>
        </is>
      </c>
      <c r="C139" t="n">
        <v>239</v>
      </c>
      <c r="D139" t="inlineStr">
        <is>
          <t>Instructional Faculty And Class Size</t>
        </is>
      </c>
      <c r="E139" t="inlineStr">
        <is>
          <t>Undergraduate Class Size</t>
        </is>
      </c>
      <c r="F139" t="inlineStr">
        <is>
          <t>Class Sections</t>
        </is>
      </c>
      <c r="G139" t="inlineStr">
        <is>
          <t>Undergraduates</t>
        </is>
      </c>
      <c r="H139" t="inlineStr">
        <is>
          <t>Faculty</t>
        </is>
      </c>
      <c r="I139" t="inlineStr">
        <is>
          <t>All</t>
        </is>
      </c>
      <c r="J139" t="inlineStr">
        <is>
          <t>All</t>
        </is>
      </c>
      <c r="K139" t="inlineStr">
        <is>
          <t>All</t>
        </is>
      </c>
      <c r="L139" t="inlineStr">
        <is>
          <t>Number</t>
        </is>
      </c>
    </row>
    <row r="140" ht="18" customHeight="1" s="44">
      <c r="A140" t="inlineStr">
        <is>
          <t>I306</t>
        </is>
      </c>
      <c r="B140" s="36" t="inlineStr">
        <is>
          <t>50-99</t>
        </is>
      </c>
      <c r="C140" t="n">
        <v>430</v>
      </c>
      <c r="D140" t="inlineStr">
        <is>
          <t>Instructional Faculty And Class Size</t>
        </is>
      </c>
      <c r="E140" t="inlineStr">
        <is>
          <t>Undergraduate Class Size</t>
        </is>
      </c>
      <c r="F140" t="inlineStr">
        <is>
          <t>Class Sections</t>
        </is>
      </c>
      <c r="G140" t="inlineStr">
        <is>
          <t>Undergraduates</t>
        </is>
      </c>
      <c r="H140" t="inlineStr">
        <is>
          <t>Faculty</t>
        </is>
      </c>
      <c r="I140" t="inlineStr">
        <is>
          <t>All</t>
        </is>
      </c>
      <c r="J140" t="inlineStr">
        <is>
          <t>All</t>
        </is>
      </c>
      <c r="K140" t="inlineStr">
        <is>
          <t>All</t>
        </is>
      </c>
      <c r="L140" t="inlineStr">
        <is>
          <t>Number</t>
        </is>
      </c>
    </row>
    <row r="141" ht="18" customHeight="1" s="44">
      <c r="A141" t="inlineStr">
        <is>
          <t>I307</t>
        </is>
      </c>
      <c r="B141" s="2" t="inlineStr">
        <is>
          <t>100+</t>
        </is>
      </c>
      <c r="C141" t="n">
        <v>383</v>
      </c>
      <c r="D141" t="inlineStr">
        <is>
          <t>Instructional Faculty And Class Size</t>
        </is>
      </c>
      <c r="E141" t="inlineStr">
        <is>
          <t>Undergraduate Class Size</t>
        </is>
      </c>
      <c r="F141" t="inlineStr">
        <is>
          <t>Class Sections</t>
        </is>
      </c>
      <c r="G141" t="inlineStr">
        <is>
          <t>Undergraduates</t>
        </is>
      </c>
      <c r="H141" t="inlineStr">
        <is>
          <t>Faculty</t>
        </is>
      </c>
      <c r="I141" t="inlineStr">
        <is>
          <t>All</t>
        </is>
      </c>
      <c r="J141" t="inlineStr">
        <is>
          <t>All</t>
        </is>
      </c>
      <c r="K141" t="inlineStr">
        <is>
          <t>All</t>
        </is>
      </c>
      <c r="L141" t="inlineStr">
        <is>
          <t>Number</t>
        </is>
      </c>
    </row>
    <row r="142" ht="18" customHeight="1" s="44">
      <c r="A142" t="inlineStr">
        <is>
          <t>I308</t>
        </is>
      </c>
      <c r="B142" s="2" t="inlineStr">
        <is>
          <t>Total</t>
        </is>
      </c>
      <c r="C142">
        <f>SUM(C135:C141)</f>
        <v/>
      </c>
      <c r="D142" t="inlineStr">
        <is>
          <t>Instructional Faculty And Class Size</t>
        </is>
      </c>
      <c r="E142" t="inlineStr">
        <is>
          <t>Undergraduate Class Size</t>
        </is>
      </c>
      <c r="F142" t="inlineStr">
        <is>
          <t>Class Sections</t>
        </is>
      </c>
      <c r="G142" t="inlineStr">
        <is>
          <t>Undergraduates</t>
        </is>
      </c>
      <c r="H142" t="inlineStr">
        <is>
          <t>Faculty</t>
        </is>
      </c>
      <c r="I142" t="inlineStr">
        <is>
          <t>All</t>
        </is>
      </c>
      <c r="J142" t="inlineStr">
        <is>
          <t>All</t>
        </is>
      </c>
      <c r="K142" t="inlineStr">
        <is>
          <t>All</t>
        </is>
      </c>
      <c r="L142" t="inlineStr">
        <is>
          <t>Number</t>
        </is>
      </c>
    </row>
    <row r="143"/>
    <row r="144" ht="18" customHeight="1" s="44"/>
    <row r="145" ht="18" customHeight="1" s="44">
      <c r="A145" t="inlineStr">
        <is>
          <t>I309</t>
        </is>
      </c>
      <c r="B145" s="36" t="inlineStr">
        <is>
          <t>2-9</t>
        </is>
      </c>
      <c r="C145" t="n">
        <v>245</v>
      </c>
      <c r="D145" t="inlineStr">
        <is>
          <t>Instructional Faculty And Class Size</t>
        </is>
      </c>
      <c r="E145" t="inlineStr">
        <is>
          <t>Undergraduate Class Size</t>
        </is>
      </c>
      <c r="F145" t="inlineStr">
        <is>
          <t>Class Sub-Sections</t>
        </is>
      </c>
      <c r="G145" t="inlineStr">
        <is>
          <t>Undergraduates</t>
        </is>
      </c>
      <c r="H145" t="inlineStr">
        <is>
          <t>Faculty</t>
        </is>
      </c>
      <c r="I145" t="inlineStr">
        <is>
          <t>All</t>
        </is>
      </c>
      <c r="J145" t="inlineStr">
        <is>
          <t>All</t>
        </is>
      </c>
      <c r="K145" t="inlineStr">
        <is>
          <t>All</t>
        </is>
      </c>
      <c r="L145" t="inlineStr">
        <is>
          <t>Number</t>
        </is>
      </c>
    </row>
    <row r="146" ht="18" customHeight="1" s="44">
      <c r="A146" t="inlineStr">
        <is>
          <t>I310</t>
        </is>
      </c>
      <c r="B146" s="36" t="inlineStr">
        <is>
          <t>10-19</t>
        </is>
      </c>
      <c r="C146" t="n">
        <v>1366</v>
      </c>
      <c r="D146" t="inlineStr">
        <is>
          <t>Instructional Faculty And Class Size</t>
        </is>
      </c>
      <c r="E146" t="inlineStr">
        <is>
          <t>Undergraduate Class Size</t>
        </is>
      </c>
      <c r="F146" t="inlineStr">
        <is>
          <t>Class Sub-Sections</t>
        </is>
      </c>
      <c r="G146" t="inlineStr">
        <is>
          <t>Undergraduates</t>
        </is>
      </c>
      <c r="H146" t="inlineStr">
        <is>
          <t>Faculty</t>
        </is>
      </c>
      <c r="I146" t="inlineStr">
        <is>
          <t>All</t>
        </is>
      </c>
      <c r="J146" t="inlineStr">
        <is>
          <t>All</t>
        </is>
      </c>
      <c r="K146" t="inlineStr">
        <is>
          <t>All</t>
        </is>
      </c>
      <c r="L146" t="inlineStr">
        <is>
          <t>Number</t>
        </is>
      </c>
    </row>
    <row r="147" ht="18" customHeight="1" s="44">
      <c r="A147" t="inlineStr">
        <is>
          <t>I311</t>
        </is>
      </c>
      <c r="B147" s="36" t="inlineStr">
        <is>
          <t>20-29</t>
        </is>
      </c>
      <c r="C147" t="n">
        <v>1814</v>
      </c>
      <c r="D147" t="inlineStr">
        <is>
          <t>Instructional Faculty And Class Size</t>
        </is>
      </c>
      <c r="E147" t="inlineStr">
        <is>
          <t>Undergraduate Class Size</t>
        </is>
      </c>
      <c r="F147" t="inlineStr">
        <is>
          <t>Class Sub-Sections</t>
        </is>
      </c>
      <c r="G147" t="inlineStr">
        <is>
          <t>Undergraduates</t>
        </is>
      </c>
      <c r="H147" t="inlineStr">
        <is>
          <t>Faculty</t>
        </is>
      </c>
      <c r="I147" t="inlineStr">
        <is>
          <t>All</t>
        </is>
      </c>
      <c r="J147" t="inlineStr">
        <is>
          <t>All</t>
        </is>
      </c>
      <c r="K147" t="inlineStr">
        <is>
          <t>All</t>
        </is>
      </c>
      <c r="L147" t="inlineStr">
        <is>
          <t>Number</t>
        </is>
      </c>
    </row>
    <row r="148" ht="18" customHeight="1" s="44">
      <c r="A148" t="inlineStr">
        <is>
          <t>I312</t>
        </is>
      </c>
      <c r="B148" s="36" t="inlineStr">
        <is>
          <t>30-39</t>
        </is>
      </c>
      <c r="C148" t="n">
        <v>295</v>
      </c>
      <c r="D148" t="inlineStr">
        <is>
          <t>Instructional Faculty And Class Size</t>
        </is>
      </c>
      <c r="E148" t="inlineStr">
        <is>
          <t>Undergraduate Class Size</t>
        </is>
      </c>
      <c r="F148" t="inlineStr">
        <is>
          <t>Class Sub-Sections</t>
        </is>
      </c>
      <c r="G148" t="inlineStr">
        <is>
          <t>Undergraduates</t>
        </is>
      </c>
      <c r="H148" t="inlineStr">
        <is>
          <t>Faculty</t>
        </is>
      </c>
      <c r="I148" t="inlineStr">
        <is>
          <t>All</t>
        </is>
      </c>
      <c r="J148" t="inlineStr">
        <is>
          <t>All</t>
        </is>
      </c>
      <c r="K148" t="inlineStr">
        <is>
          <t>All</t>
        </is>
      </c>
      <c r="L148" t="inlineStr">
        <is>
          <t>Number</t>
        </is>
      </c>
    </row>
    <row r="149" ht="18" customHeight="1" s="44">
      <c r="A149" t="inlineStr">
        <is>
          <t>I313</t>
        </is>
      </c>
      <c r="B149" s="36" t="inlineStr">
        <is>
          <t>40-49</t>
        </is>
      </c>
      <c r="C149" t="n">
        <v>61</v>
      </c>
      <c r="D149" t="inlineStr">
        <is>
          <t>Instructional Faculty And Class Size</t>
        </is>
      </c>
      <c r="E149" t="inlineStr">
        <is>
          <t>Undergraduate Class Size</t>
        </is>
      </c>
      <c r="F149" t="inlineStr">
        <is>
          <t>Class Sub-Sections</t>
        </is>
      </c>
      <c r="G149" t="inlineStr">
        <is>
          <t>Undergraduates</t>
        </is>
      </c>
      <c r="H149" t="inlineStr">
        <is>
          <t>Faculty</t>
        </is>
      </c>
      <c r="I149" t="inlineStr">
        <is>
          <t>All</t>
        </is>
      </c>
      <c r="J149" t="inlineStr">
        <is>
          <t>All</t>
        </is>
      </c>
      <c r="K149" t="inlineStr">
        <is>
          <t>All</t>
        </is>
      </c>
      <c r="L149" t="inlineStr">
        <is>
          <t>Number</t>
        </is>
      </c>
    </row>
    <row r="150" ht="18" customHeight="1" s="44">
      <c r="A150" t="inlineStr">
        <is>
          <t>I314</t>
        </is>
      </c>
      <c r="B150" s="36" t="inlineStr">
        <is>
          <t>50-99</t>
        </is>
      </c>
      <c r="C150" t="n">
        <v>22</v>
      </c>
      <c r="D150" t="inlineStr">
        <is>
          <t>Instructional Faculty And Class Size</t>
        </is>
      </c>
      <c r="E150" t="inlineStr">
        <is>
          <t>Undergraduate Class Size</t>
        </is>
      </c>
      <c r="F150" t="inlineStr">
        <is>
          <t>Class Sub-Sections</t>
        </is>
      </c>
      <c r="G150" t="inlineStr">
        <is>
          <t>Undergraduates</t>
        </is>
      </c>
      <c r="H150" t="inlineStr">
        <is>
          <t>Faculty</t>
        </is>
      </c>
      <c r="I150" t="inlineStr">
        <is>
          <t>All</t>
        </is>
      </c>
      <c r="J150" t="inlineStr">
        <is>
          <t>All</t>
        </is>
      </c>
      <c r="K150" t="inlineStr">
        <is>
          <t>All</t>
        </is>
      </c>
      <c r="L150" t="inlineStr">
        <is>
          <t>Number</t>
        </is>
      </c>
    </row>
    <row r="151" ht="18" customHeight="1" s="44">
      <c r="A151" t="inlineStr">
        <is>
          <t>I315</t>
        </is>
      </c>
      <c r="B151" s="2" t="inlineStr">
        <is>
          <t>100+</t>
        </is>
      </c>
      <c r="C151" t="n">
        <v>9</v>
      </c>
      <c r="D151" t="inlineStr">
        <is>
          <t>Instructional Faculty And Class Size</t>
        </is>
      </c>
      <c r="E151" t="inlineStr">
        <is>
          <t>Undergraduate Class Size</t>
        </is>
      </c>
      <c r="F151" t="inlineStr">
        <is>
          <t>Class Sub-Sections</t>
        </is>
      </c>
      <c r="G151" t="inlineStr">
        <is>
          <t>Undergraduates</t>
        </is>
      </c>
      <c r="H151" t="inlineStr">
        <is>
          <t>Faculty</t>
        </is>
      </c>
      <c r="I151" t="inlineStr">
        <is>
          <t>All</t>
        </is>
      </c>
      <c r="J151" t="inlineStr">
        <is>
          <t>All</t>
        </is>
      </c>
      <c r="K151" t="inlineStr">
        <is>
          <t>All</t>
        </is>
      </c>
      <c r="L151" t="inlineStr">
        <is>
          <t>Number</t>
        </is>
      </c>
    </row>
    <row r="152" ht="18" customHeight="1" s="44">
      <c r="A152" t="inlineStr">
        <is>
          <t>I316</t>
        </is>
      </c>
      <c r="B152" s="2" t="inlineStr">
        <is>
          <t>Total</t>
        </is>
      </c>
      <c r="C152">
        <f>SUM(C145:C151)</f>
        <v/>
      </c>
      <c r="D152" t="inlineStr">
        <is>
          <t>Instructional Faculty And Class Size</t>
        </is>
      </c>
      <c r="E152" t="inlineStr">
        <is>
          <t>Undergraduate Class Size</t>
        </is>
      </c>
      <c r="F152" t="inlineStr">
        <is>
          <t>Class Sub-Sections</t>
        </is>
      </c>
      <c r="G152" t="inlineStr">
        <is>
          <t>Undergraduates</t>
        </is>
      </c>
      <c r="H152" t="inlineStr">
        <is>
          <t>Faculty</t>
        </is>
      </c>
      <c r="I152" t="inlineStr">
        <is>
          <t>All</t>
        </is>
      </c>
      <c r="J152" t="inlineStr">
        <is>
          <t>All</t>
        </is>
      </c>
      <c r="K152" t="inlineStr">
        <is>
          <t>All</t>
        </is>
      </c>
      <c r="L152" t="inlineStr">
        <is>
          <t>Number</t>
        </is>
      </c>
    </row>
  </sheetData>
  <autoFilter ref="A1:L152"/>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49"/>
  <sheetViews>
    <sheetView workbookViewId="0">
      <pane ySplit="1" topLeftCell="A125" activePane="bottomLeft" state="frozen"/>
      <selection pane="bottomLeft" activeCell="C141" sqref="C141"/>
    </sheetView>
  </sheetViews>
  <sheetFormatPr baseColWidth="8" defaultColWidth="8.7109375" defaultRowHeight="15"/>
  <cols>
    <col width="8.7109375" customWidth="1" style="44" min="1" max="1"/>
    <col width="40.7109375" customWidth="1" style="44" min="2" max="2"/>
    <col width="28.8554687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row r="6"/>
    <row r="7"/>
    <row r="8"/>
    <row r="9"/>
    <row r="10"/>
    <row r="11"/>
    <row r="12"/>
    <row r="13"/>
    <row r="14"/>
    <row r="15"/>
    <row r="16" ht="23.1" customHeight="1" s="44"/>
    <row r="17">
      <c r="A17" t="inlineStr">
        <is>
          <t>J101</t>
        </is>
      </c>
      <c r="B17" s="2" t="inlineStr">
        <is>
          <t>Agriculture</t>
        </is>
      </c>
      <c r="D17" t="inlineStr">
        <is>
          <t>Disciplinary Areas of Degrees Conferred</t>
        </is>
      </c>
      <c r="E17" t="inlineStr">
        <is>
          <t>Diploma/Certificates</t>
        </is>
      </c>
      <c r="F17" s="4" t="inlineStr">
        <is>
          <t>01</t>
        </is>
      </c>
      <c r="G17" t="inlineStr">
        <is>
          <t>Undergraduates</t>
        </is>
      </c>
      <c r="H17" t="inlineStr">
        <is>
          <t>All</t>
        </is>
      </c>
      <c r="I17" t="inlineStr">
        <is>
          <t>All</t>
        </is>
      </c>
      <c r="J17" t="inlineStr">
        <is>
          <t>All</t>
        </is>
      </c>
      <c r="K17" t="inlineStr">
        <is>
          <t>All</t>
        </is>
      </c>
      <c r="L17" t="inlineStr">
        <is>
          <t>Whole Number or Round to Nearest Tenths</t>
        </is>
      </c>
    </row>
    <row r="18">
      <c r="A18" t="inlineStr">
        <is>
          <t>J102</t>
        </is>
      </c>
      <c r="B18" s="2" t="inlineStr">
        <is>
          <t>Natural resources and conservation</t>
        </is>
      </c>
      <c r="D18" t="inlineStr">
        <is>
          <t>Disciplinary Areas of Degrees Conferred</t>
        </is>
      </c>
      <c r="E18" t="inlineStr">
        <is>
          <t>Diploma/Certificates</t>
        </is>
      </c>
      <c r="F18" s="4" t="inlineStr">
        <is>
          <t>03</t>
        </is>
      </c>
      <c r="G18" t="inlineStr">
        <is>
          <t>Undergraduates</t>
        </is>
      </c>
      <c r="H18" t="inlineStr">
        <is>
          <t>All</t>
        </is>
      </c>
      <c r="I18" t="inlineStr">
        <is>
          <t>All</t>
        </is>
      </c>
      <c r="J18" t="inlineStr">
        <is>
          <t>All</t>
        </is>
      </c>
      <c r="K18" t="inlineStr">
        <is>
          <t>All</t>
        </is>
      </c>
      <c r="L18" t="inlineStr">
        <is>
          <t>Whole Number or Round to Nearest Tenths</t>
        </is>
      </c>
    </row>
    <row r="19">
      <c r="A19" t="inlineStr">
        <is>
          <t>J103</t>
        </is>
      </c>
      <c r="B19" s="2" t="inlineStr">
        <is>
          <t>Architecture</t>
        </is>
      </c>
      <c r="D19" t="inlineStr">
        <is>
          <t>Disciplinary Areas of Degrees Conferred</t>
        </is>
      </c>
      <c r="E19" t="inlineStr">
        <is>
          <t>Diploma/Certificates</t>
        </is>
      </c>
      <c r="F19" s="4" t="inlineStr">
        <is>
          <t>04</t>
        </is>
      </c>
      <c r="G19" t="inlineStr">
        <is>
          <t>Undergraduates</t>
        </is>
      </c>
      <c r="H19" t="inlineStr">
        <is>
          <t>All</t>
        </is>
      </c>
      <c r="I19" t="inlineStr">
        <is>
          <t>All</t>
        </is>
      </c>
      <c r="J19" t="inlineStr">
        <is>
          <t>All</t>
        </is>
      </c>
      <c r="K19" t="inlineStr">
        <is>
          <t>All</t>
        </is>
      </c>
      <c r="L19" t="inlineStr">
        <is>
          <t>Whole Number or Round to Nearest Tenths</t>
        </is>
      </c>
    </row>
    <row r="20">
      <c r="A20" t="inlineStr">
        <is>
          <t>J104</t>
        </is>
      </c>
      <c r="B20" s="2" t="inlineStr">
        <is>
          <t>Area, ethnic, and gender studies</t>
        </is>
      </c>
      <c r="D20" t="inlineStr">
        <is>
          <t>Disciplinary Areas of Degrees Conferred</t>
        </is>
      </c>
      <c r="E20" t="inlineStr">
        <is>
          <t>Diploma/Certificates</t>
        </is>
      </c>
      <c r="F20" s="4" t="inlineStr">
        <is>
          <t>05</t>
        </is>
      </c>
      <c r="G20" t="inlineStr">
        <is>
          <t>Undergraduates</t>
        </is>
      </c>
      <c r="H20" t="inlineStr">
        <is>
          <t>All</t>
        </is>
      </c>
      <c r="I20" t="inlineStr">
        <is>
          <t>All</t>
        </is>
      </c>
      <c r="J20" t="inlineStr">
        <is>
          <t>All</t>
        </is>
      </c>
      <c r="K20" t="inlineStr">
        <is>
          <t>All</t>
        </is>
      </c>
      <c r="L20" t="inlineStr">
        <is>
          <t>Whole Number or Round to Nearest Tenths</t>
        </is>
      </c>
    </row>
    <row r="21">
      <c r="A21" t="inlineStr">
        <is>
          <t>J105</t>
        </is>
      </c>
      <c r="B21" s="2" t="inlineStr">
        <is>
          <t>Communication/journalism</t>
        </is>
      </c>
      <c r="D21" t="inlineStr">
        <is>
          <t>Disciplinary Areas of Degrees Conferred</t>
        </is>
      </c>
      <c r="E21" t="inlineStr">
        <is>
          <t>Diploma/Certificates</t>
        </is>
      </c>
      <c r="F21" s="4" t="inlineStr">
        <is>
          <t>09</t>
        </is>
      </c>
      <c r="G21" t="inlineStr">
        <is>
          <t>Undergraduates</t>
        </is>
      </c>
      <c r="H21" t="inlineStr">
        <is>
          <t>All</t>
        </is>
      </c>
      <c r="I21" t="inlineStr">
        <is>
          <t>All</t>
        </is>
      </c>
      <c r="J21" t="inlineStr">
        <is>
          <t>All</t>
        </is>
      </c>
      <c r="K21" t="inlineStr">
        <is>
          <t>All</t>
        </is>
      </c>
      <c r="L21" t="inlineStr">
        <is>
          <t>Whole Number or Round to Nearest Tenths</t>
        </is>
      </c>
    </row>
    <row r="22">
      <c r="A22" t="inlineStr">
        <is>
          <t>J106</t>
        </is>
      </c>
      <c r="B22" s="2" t="inlineStr">
        <is>
          <t>Communication technologies</t>
        </is>
      </c>
      <c r="D22" t="inlineStr">
        <is>
          <t>Disciplinary Areas of Degrees Conferred</t>
        </is>
      </c>
      <c r="E22" t="inlineStr">
        <is>
          <t>Diploma/Certificates</t>
        </is>
      </c>
      <c r="F22" s="4" t="n">
        <v>10</v>
      </c>
      <c r="G22" t="inlineStr">
        <is>
          <t>Undergraduates</t>
        </is>
      </c>
      <c r="H22" t="inlineStr">
        <is>
          <t>All</t>
        </is>
      </c>
      <c r="I22" t="inlineStr">
        <is>
          <t>All</t>
        </is>
      </c>
      <c r="J22" t="inlineStr">
        <is>
          <t>All</t>
        </is>
      </c>
      <c r="K22" t="inlineStr">
        <is>
          <t>All</t>
        </is>
      </c>
      <c r="L22" t="inlineStr">
        <is>
          <t>Whole Number or Round to Nearest Tenths</t>
        </is>
      </c>
    </row>
    <row r="23">
      <c r="A23" t="inlineStr">
        <is>
          <t>J107</t>
        </is>
      </c>
      <c r="B23" s="2" t="inlineStr">
        <is>
          <t>Computer and information sciences</t>
        </is>
      </c>
      <c r="D23" t="inlineStr">
        <is>
          <t>Disciplinary Areas of Degrees Conferred</t>
        </is>
      </c>
      <c r="E23" t="inlineStr">
        <is>
          <t>Diploma/Certificates</t>
        </is>
      </c>
      <c r="F23" s="4" t="n">
        <v>11</v>
      </c>
      <c r="G23" t="inlineStr">
        <is>
          <t>Undergraduates</t>
        </is>
      </c>
      <c r="H23" t="inlineStr">
        <is>
          <t>All</t>
        </is>
      </c>
      <c r="I23" t="inlineStr">
        <is>
          <t>All</t>
        </is>
      </c>
      <c r="J23" t="inlineStr">
        <is>
          <t>All</t>
        </is>
      </c>
      <c r="K23" t="inlineStr">
        <is>
          <t>All</t>
        </is>
      </c>
      <c r="L23" t="inlineStr">
        <is>
          <t>Whole Number or Round to Nearest Tenths</t>
        </is>
      </c>
    </row>
    <row r="24">
      <c r="A24" t="inlineStr">
        <is>
          <t>J108</t>
        </is>
      </c>
      <c r="B24" s="2" t="inlineStr">
        <is>
          <t>Personal and culinary services</t>
        </is>
      </c>
      <c r="D24" t="inlineStr">
        <is>
          <t>Disciplinary Areas of Degrees Conferred</t>
        </is>
      </c>
      <c r="E24" t="inlineStr">
        <is>
          <t>Diploma/Certificates</t>
        </is>
      </c>
      <c r="F24" s="4" t="n">
        <v>12</v>
      </c>
      <c r="G24" t="inlineStr">
        <is>
          <t>Undergraduates</t>
        </is>
      </c>
      <c r="H24" t="inlineStr">
        <is>
          <t>All</t>
        </is>
      </c>
      <c r="I24" t="inlineStr">
        <is>
          <t>All</t>
        </is>
      </c>
      <c r="J24" t="inlineStr">
        <is>
          <t>All</t>
        </is>
      </c>
      <c r="K24" t="inlineStr">
        <is>
          <t>All</t>
        </is>
      </c>
      <c r="L24" t="inlineStr">
        <is>
          <t>Whole Number or Round to Nearest Tenths</t>
        </is>
      </c>
    </row>
    <row r="25">
      <c r="A25" t="inlineStr">
        <is>
          <t>J109</t>
        </is>
      </c>
      <c r="B25" s="2" t="inlineStr">
        <is>
          <t>Education</t>
        </is>
      </c>
      <c r="D25" t="inlineStr">
        <is>
          <t>Disciplinary Areas of Degrees Conferred</t>
        </is>
      </c>
      <c r="E25" t="inlineStr">
        <is>
          <t>Diploma/Certificates</t>
        </is>
      </c>
      <c r="F25" s="4" t="n">
        <v>13</v>
      </c>
      <c r="G25" t="inlineStr">
        <is>
          <t>Undergraduates</t>
        </is>
      </c>
      <c r="H25" t="inlineStr">
        <is>
          <t>All</t>
        </is>
      </c>
      <c r="I25" t="inlineStr">
        <is>
          <t>All</t>
        </is>
      </c>
      <c r="J25" t="inlineStr">
        <is>
          <t>All</t>
        </is>
      </c>
      <c r="K25" t="inlineStr">
        <is>
          <t>All</t>
        </is>
      </c>
      <c r="L25" t="inlineStr">
        <is>
          <t>Whole Number or Round to Nearest Tenths</t>
        </is>
      </c>
    </row>
    <row r="26">
      <c r="A26" t="inlineStr">
        <is>
          <t>J110</t>
        </is>
      </c>
      <c r="B26" s="2" t="inlineStr">
        <is>
          <t>Engineering</t>
        </is>
      </c>
      <c r="D26" t="inlineStr">
        <is>
          <t>Disciplinary Areas of Degrees Conferred</t>
        </is>
      </c>
      <c r="E26" t="inlineStr">
        <is>
          <t>Diploma/Certificates</t>
        </is>
      </c>
      <c r="F26" s="4" t="n">
        <v>14</v>
      </c>
      <c r="G26" t="inlineStr">
        <is>
          <t>Undergraduates</t>
        </is>
      </c>
      <c r="H26" t="inlineStr">
        <is>
          <t>All</t>
        </is>
      </c>
      <c r="I26" t="inlineStr">
        <is>
          <t>All</t>
        </is>
      </c>
      <c r="J26" t="inlineStr">
        <is>
          <t>All</t>
        </is>
      </c>
      <c r="K26" t="inlineStr">
        <is>
          <t>All</t>
        </is>
      </c>
      <c r="L26" t="inlineStr">
        <is>
          <t>Whole Number or Round to Nearest Tenths</t>
        </is>
      </c>
    </row>
    <row r="27" ht="15.6" customHeight="1" s="44">
      <c r="A27" t="inlineStr">
        <is>
          <t>J111</t>
        </is>
      </c>
      <c r="B27" s="2" t="inlineStr">
        <is>
          <t>Engineering technologies</t>
        </is>
      </c>
      <c r="D27" t="inlineStr">
        <is>
          <t>Disciplinary Areas of Degrees Conferred</t>
        </is>
      </c>
      <c r="E27" t="inlineStr">
        <is>
          <t>Diploma/Certificates</t>
        </is>
      </c>
      <c r="F27" s="4" t="n">
        <v>15</v>
      </c>
      <c r="G27" t="inlineStr">
        <is>
          <t>Undergraduates</t>
        </is>
      </c>
      <c r="H27" t="inlineStr">
        <is>
          <t>All</t>
        </is>
      </c>
      <c r="I27" t="inlineStr">
        <is>
          <t>All</t>
        </is>
      </c>
      <c r="J27" t="inlineStr">
        <is>
          <t>All</t>
        </is>
      </c>
      <c r="K27" t="inlineStr">
        <is>
          <t>All</t>
        </is>
      </c>
      <c r="L27" t="inlineStr">
        <is>
          <t>Whole Number or Round to Nearest Tenths</t>
        </is>
      </c>
    </row>
    <row r="28" ht="30" customHeight="1" s="44">
      <c r="A28" t="inlineStr">
        <is>
          <t>J112</t>
        </is>
      </c>
      <c r="B28" s="2" t="inlineStr">
        <is>
          <t>Foreign languages, literatures, and linguistics</t>
        </is>
      </c>
      <c r="D28" t="inlineStr">
        <is>
          <t>Disciplinary Areas of Degrees Conferred</t>
        </is>
      </c>
      <c r="E28" t="inlineStr">
        <is>
          <t>Diploma/Certificates</t>
        </is>
      </c>
      <c r="F28" s="4" t="n">
        <v>16</v>
      </c>
      <c r="G28" t="inlineStr">
        <is>
          <t>Undergraduates</t>
        </is>
      </c>
      <c r="H28" t="inlineStr">
        <is>
          <t>All</t>
        </is>
      </c>
      <c r="I28" t="inlineStr">
        <is>
          <t>All</t>
        </is>
      </c>
      <c r="J28" t="inlineStr">
        <is>
          <t>All</t>
        </is>
      </c>
      <c r="K28" t="inlineStr">
        <is>
          <t>All</t>
        </is>
      </c>
      <c r="L28" t="inlineStr">
        <is>
          <t>Whole Number or Round to Nearest Tenths</t>
        </is>
      </c>
    </row>
    <row r="29">
      <c r="A29" t="inlineStr">
        <is>
          <t>J113</t>
        </is>
      </c>
      <c r="B29" s="2" t="inlineStr">
        <is>
          <t>Family and consumer sciences</t>
        </is>
      </c>
      <c r="D29" t="inlineStr">
        <is>
          <t>Disciplinary Areas of Degrees Conferred</t>
        </is>
      </c>
      <c r="E29" t="inlineStr">
        <is>
          <t>Diploma/Certificates</t>
        </is>
      </c>
      <c r="F29" s="4" t="n">
        <v>19</v>
      </c>
      <c r="G29" t="inlineStr">
        <is>
          <t>Undergraduates</t>
        </is>
      </c>
      <c r="H29" t="inlineStr">
        <is>
          <t>All</t>
        </is>
      </c>
      <c r="I29" t="inlineStr">
        <is>
          <t>All</t>
        </is>
      </c>
      <c r="J29" t="inlineStr">
        <is>
          <t>All</t>
        </is>
      </c>
      <c r="K29" t="inlineStr">
        <is>
          <t>All</t>
        </is>
      </c>
      <c r="L29" t="inlineStr">
        <is>
          <t>Whole Number or Round to Nearest Tenths</t>
        </is>
      </c>
    </row>
    <row r="30">
      <c r="A30" t="inlineStr">
        <is>
          <t>J114</t>
        </is>
      </c>
      <c r="B30" s="2" t="inlineStr">
        <is>
          <t>Law/legal studies</t>
        </is>
      </c>
      <c r="D30" t="inlineStr">
        <is>
          <t>Disciplinary Areas of Degrees Conferred</t>
        </is>
      </c>
      <c r="E30" t="inlineStr">
        <is>
          <t>Diploma/Certificates</t>
        </is>
      </c>
      <c r="F30" s="4" t="n">
        <v>22</v>
      </c>
      <c r="G30" t="inlineStr">
        <is>
          <t>Undergraduates</t>
        </is>
      </c>
      <c r="H30" t="inlineStr">
        <is>
          <t>All</t>
        </is>
      </c>
      <c r="I30" t="inlineStr">
        <is>
          <t>All</t>
        </is>
      </c>
      <c r="J30" t="inlineStr">
        <is>
          <t>All</t>
        </is>
      </c>
      <c r="K30" t="inlineStr">
        <is>
          <t>All</t>
        </is>
      </c>
      <c r="L30" t="inlineStr">
        <is>
          <t>Whole Number or Round to Nearest Tenths</t>
        </is>
      </c>
    </row>
    <row r="31">
      <c r="A31" t="inlineStr">
        <is>
          <t>J115</t>
        </is>
      </c>
      <c r="B31" s="2" t="inlineStr">
        <is>
          <t>English</t>
        </is>
      </c>
      <c r="D31" t="inlineStr">
        <is>
          <t>Disciplinary Areas of Degrees Conferred</t>
        </is>
      </c>
      <c r="E31" t="inlineStr">
        <is>
          <t>Diploma/Certificates</t>
        </is>
      </c>
      <c r="F31" s="4" t="n">
        <v>23</v>
      </c>
      <c r="G31" t="inlineStr">
        <is>
          <t>Undergraduates</t>
        </is>
      </c>
      <c r="H31" t="inlineStr">
        <is>
          <t>All</t>
        </is>
      </c>
      <c r="I31" t="inlineStr">
        <is>
          <t>All</t>
        </is>
      </c>
      <c r="J31" t="inlineStr">
        <is>
          <t>All</t>
        </is>
      </c>
      <c r="K31" t="inlineStr">
        <is>
          <t>All</t>
        </is>
      </c>
      <c r="L31" t="inlineStr">
        <is>
          <t>Whole Number or Round to Nearest Tenths</t>
        </is>
      </c>
    </row>
    <row r="32">
      <c r="A32" t="inlineStr">
        <is>
          <t>J116</t>
        </is>
      </c>
      <c r="B32" s="2" t="inlineStr">
        <is>
          <t>Liberal arts/general studies</t>
        </is>
      </c>
      <c r="D32" t="inlineStr">
        <is>
          <t>Disciplinary Areas of Degrees Conferred</t>
        </is>
      </c>
      <c r="E32" t="inlineStr">
        <is>
          <t>Diploma/Certificates</t>
        </is>
      </c>
      <c r="F32" s="4" t="n">
        <v>24</v>
      </c>
      <c r="G32" t="inlineStr">
        <is>
          <t>Undergraduates</t>
        </is>
      </c>
      <c r="H32" t="inlineStr">
        <is>
          <t>All</t>
        </is>
      </c>
      <c r="I32" t="inlineStr">
        <is>
          <t>All</t>
        </is>
      </c>
      <c r="J32" t="inlineStr">
        <is>
          <t>All</t>
        </is>
      </c>
      <c r="K32" t="inlineStr">
        <is>
          <t>All</t>
        </is>
      </c>
      <c r="L32" t="inlineStr">
        <is>
          <t>Whole Number or Round to Nearest Tenths</t>
        </is>
      </c>
    </row>
    <row r="33">
      <c r="A33" t="inlineStr">
        <is>
          <t>J117</t>
        </is>
      </c>
      <c r="B33" s="2" t="inlineStr">
        <is>
          <t>Library science</t>
        </is>
      </c>
      <c r="D33" t="inlineStr">
        <is>
          <t>Disciplinary Areas of Degrees Conferred</t>
        </is>
      </c>
      <c r="E33" t="inlineStr">
        <is>
          <t>Diploma/Certificates</t>
        </is>
      </c>
      <c r="F33" s="4" t="n">
        <v>25</v>
      </c>
      <c r="G33" t="inlineStr">
        <is>
          <t>Undergraduates</t>
        </is>
      </c>
      <c r="H33" t="inlineStr">
        <is>
          <t>All</t>
        </is>
      </c>
      <c r="I33" t="inlineStr">
        <is>
          <t>All</t>
        </is>
      </c>
      <c r="J33" t="inlineStr">
        <is>
          <t>All</t>
        </is>
      </c>
      <c r="K33" t="inlineStr">
        <is>
          <t>All</t>
        </is>
      </c>
      <c r="L33" t="inlineStr">
        <is>
          <t>Whole Number or Round to Nearest Tenths</t>
        </is>
      </c>
    </row>
    <row r="34">
      <c r="A34" t="inlineStr">
        <is>
          <t>J118</t>
        </is>
      </c>
      <c r="B34" s="2" t="inlineStr">
        <is>
          <t>Biological/life sciences</t>
        </is>
      </c>
      <c r="D34" t="inlineStr">
        <is>
          <t>Disciplinary Areas of Degrees Conferred</t>
        </is>
      </c>
      <c r="E34" t="inlineStr">
        <is>
          <t>Diploma/Certificates</t>
        </is>
      </c>
      <c r="F34" s="4" t="n">
        <v>26</v>
      </c>
      <c r="G34" t="inlineStr">
        <is>
          <t>Undergraduates</t>
        </is>
      </c>
      <c r="H34" t="inlineStr">
        <is>
          <t>All</t>
        </is>
      </c>
      <c r="I34" t="inlineStr">
        <is>
          <t>All</t>
        </is>
      </c>
      <c r="J34" t="inlineStr">
        <is>
          <t>All</t>
        </is>
      </c>
      <c r="K34" t="inlineStr">
        <is>
          <t>All</t>
        </is>
      </c>
      <c r="L34" t="inlineStr">
        <is>
          <t>Whole Number or Round to Nearest Tenths</t>
        </is>
      </c>
    </row>
    <row r="35">
      <c r="A35" t="inlineStr">
        <is>
          <t>J119</t>
        </is>
      </c>
      <c r="B35" s="2" t="inlineStr">
        <is>
          <t>Mathematics and statistics</t>
        </is>
      </c>
      <c r="D35" t="inlineStr">
        <is>
          <t>Disciplinary Areas of Degrees Conferred</t>
        </is>
      </c>
      <c r="E35" t="inlineStr">
        <is>
          <t>Diploma/Certificates</t>
        </is>
      </c>
      <c r="F35" s="4" t="n">
        <v>27</v>
      </c>
      <c r="G35" t="inlineStr">
        <is>
          <t>Undergraduates</t>
        </is>
      </c>
      <c r="H35" t="inlineStr">
        <is>
          <t>All</t>
        </is>
      </c>
      <c r="I35" t="inlineStr">
        <is>
          <t>All</t>
        </is>
      </c>
      <c r="J35" t="inlineStr">
        <is>
          <t>All</t>
        </is>
      </c>
      <c r="K35" t="inlineStr">
        <is>
          <t>All</t>
        </is>
      </c>
      <c r="L35" t="inlineStr">
        <is>
          <t>Whole Number or Round to Nearest Tenths</t>
        </is>
      </c>
    </row>
    <row r="36">
      <c r="A36" t="inlineStr">
        <is>
          <t>J120</t>
        </is>
      </c>
      <c r="B36" s="2" t="inlineStr">
        <is>
          <t>Military science and military technologies</t>
        </is>
      </c>
      <c r="D36" t="inlineStr">
        <is>
          <t>Disciplinary Areas of Degrees Conferred</t>
        </is>
      </c>
      <c r="E36" t="inlineStr">
        <is>
          <t>Diploma/Certificates</t>
        </is>
      </c>
      <c r="F36" s="4" t="inlineStr">
        <is>
          <t>28 &amp; 29</t>
        </is>
      </c>
      <c r="G36" t="inlineStr">
        <is>
          <t>Undergraduates</t>
        </is>
      </c>
      <c r="H36" t="inlineStr">
        <is>
          <t>All</t>
        </is>
      </c>
      <c r="I36" t="inlineStr">
        <is>
          <t>All</t>
        </is>
      </c>
      <c r="J36" t="inlineStr">
        <is>
          <t>All</t>
        </is>
      </c>
      <c r="K36" t="inlineStr">
        <is>
          <t>All</t>
        </is>
      </c>
      <c r="L36" t="inlineStr">
        <is>
          <t>Whole Number or Round to Nearest Tenths</t>
        </is>
      </c>
    </row>
    <row r="37">
      <c r="A37" t="inlineStr">
        <is>
          <t>J121</t>
        </is>
      </c>
      <c r="B37" s="2" t="inlineStr">
        <is>
          <t>Interdisciplinary studies</t>
        </is>
      </c>
      <c r="D37" t="inlineStr">
        <is>
          <t>Disciplinary Areas of Degrees Conferred</t>
        </is>
      </c>
      <c r="E37" t="inlineStr">
        <is>
          <t>Diploma/Certificates</t>
        </is>
      </c>
      <c r="F37" s="4" t="n">
        <v>30</v>
      </c>
      <c r="G37" t="inlineStr">
        <is>
          <t>Undergraduates</t>
        </is>
      </c>
      <c r="H37" t="inlineStr">
        <is>
          <t>All</t>
        </is>
      </c>
      <c r="I37" t="inlineStr">
        <is>
          <t>All</t>
        </is>
      </c>
      <c r="J37" t="inlineStr">
        <is>
          <t>All</t>
        </is>
      </c>
      <c r="K37" t="inlineStr">
        <is>
          <t>All</t>
        </is>
      </c>
      <c r="L37" t="inlineStr">
        <is>
          <t>Whole Number or Round to Nearest Tenths</t>
        </is>
      </c>
    </row>
    <row r="38">
      <c r="A38" t="inlineStr">
        <is>
          <t>J122</t>
        </is>
      </c>
      <c r="B38" s="2" t="inlineStr">
        <is>
          <t>Parks and recreation</t>
        </is>
      </c>
      <c r="D38" t="inlineStr">
        <is>
          <t>Disciplinary Areas of Degrees Conferred</t>
        </is>
      </c>
      <c r="E38" t="inlineStr">
        <is>
          <t>Diploma/Certificates</t>
        </is>
      </c>
      <c r="F38" s="4" t="n">
        <v>31</v>
      </c>
      <c r="G38" t="inlineStr">
        <is>
          <t>Undergraduates</t>
        </is>
      </c>
      <c r="H38" t="inlineStr">
        <is>
          <t>All</t>
        </is>
      </c>
      <c r="I38" t="inlineStr">
        <is>
          <t>All</t>
        </is>
      </c>
      <c r="J38" t="inlineStr">
        <is>
          <t>All</t>
        </is>
      </c>
      <c r="K38" t="inlineStr">
        <is>
          <t>All</t>
        </is>
      </c>
      <c r="L38" t="inlineStr">
        <is>
          <t>Whole Number or Round to Nearest Tenths</t>
        </is>
      </c>
    </row>
    <row r="39">
      <c r="A39" t="inlineStr">
        <is>
          <t>J123</t>
        </is>
      </c>
      <c r="B39" s="2" t="inlineStr">
        <is>
          <t>Philosophy and religious studies</t>
        </is>
      </c>
      <c r="D39" t="inlineStr">
        <is>
          <t>Disciplinary Areas of Degrees Conferred</t>
        </is>
      </c>
      <c r="E39" t="inlineStr">
        <is>
          <t>Diploma/Certificates</t>
        </is>
      </c>
      <c r="F39" s="4" t="n">
        <v>38</v>
      </c>
      <c r="G39" t="inlineStr">
        <is>
          <t>Undergraduates</t>
        </is>
      </c>
      <c r="H39" t="inlineStr">
        <is>
          <t>All</t>
        </is>
      </c>
      <c r="I39" t="inlineStr">
        <is>
          <t>All</t>
        </is>
      </c>
      <c r="J39" t="inlineStr">
        <is>
          <t>All</t>
        </is>
      </c>
      <c r="K39" t="inlineStr">
        <is>
          <t>All</t>
        </is>
      </c>
      <c r="L39" t="inlineStr">
        <is>
          <t>Whole Number or Round to Nearest Tenths</t>
        </is>
      </c>
    </row>
    <row r="40">
      <c r="A40" t="inlineStr">
        <is>
          <t>J124</t>
        </is>
      </c>
      <c r="B40" s="2" t="inlineStr">
        <is>
          <t>Theology and religious vocations</t>
        </is>
      </c>
      <c r="D40" t="inlineStr">
        <is>
          <t>Disciplinary Areas of Degrees Conferred</t>
        </is>
      </c>
      <c r="E40" t="inlineStr">
        <is>
          <t>Diploma/Certificates</t>
        </is>
      </c>
      <c r="F40" s="4" t="n">
        <v>39</v>
      </c>
      <c r="G40" t="inlineStr">
        <is>
          <t>Undergraduates</t>
        </is>
      </c>
      <c r="H40" t="inlineStr">
        <is>
          <t>All</t>
        </is>
      </c>
      <c r="I40" t="inlineStr">
        <is>
          <t>All</t>
        </is>
      </c>
      <c r="J40" t="inlineStr">
        <is>
          <t>All</t>
        </is>
      </c>
      <c r="K40" t="inlineStr">
        <is>
          <t>All</t>
        </is>
      </c>
      <c r="L40" t="inlineStr">
        <is>
          <t>Whole Number or Round to Nearest Tenths</t>
        </is>
      </c>
    </row>
    <row r="41">
      <c r="A41" t="inlineStr">
        <is>
          <t>J125</t>
        </is>
      </c>
      <c r="B41" s="2" t="inlineStr">
        <is>
          <t>Physical sciences</t>
        </is>
      </c>
      <c r="D41" t="inlineStr">
        <is>
          <t>Disciplinary Areas of Degrees Conferred</t>
        </is>
      </c>
      <c r="E41" t="inlineStr">
        <is>
          <t>Diploma/Certificates</t>
        </is>
      </c>
      <c r="F41" s="4" t="n">
        <v>40</v>
      </c>
      <c r="G41" t="inlineStr">
        <is>
          <t>Undergraduates</t>
        </is>
      </c>
      <c r="H41" t="inlineStr">
        <is>
          <t>All</t>
        </is>
      </c>
      <c r="I41" t="inlineStr">
        <is>
          <t>All</t>
        </is>
      </c>
      <c r="J41" t="inlineStr">
        <is>
          <t>All</t>
        </is>
      </c>
      <c r="K41" t="inlineStr">
        <is>
          <t>All</t>
        </is>
      </c>
      <c r="L41" t="inlineStr">
        <is>
          <t>Whole Number or Round to Nearest Tenths</t>
        </is>
      </c>
    </row>
    <row r="42">
      <c r="A42" t="inlineStr">
        <is>
          <t>J126</t>
        </is>
      </c>
      <c r="B42" s="2" t="inlineStr">
        <is>
          <t>Science technologies</t>
        </is>
      </c>
      <c r="D42" t="inlineStr">
        <is>
          <t>Disciplinary Areas of Degrees Conferred</t>
        </is>
      </c>
      <c r="E42" t="inlineStr">
        <is>
          <t>Diploma/Certificates</t>
        </is>
      </c>
      <c r="F42" s="4" t="n">
        <v>41</v>
      </c>
      <c r="G42" t="inlineStr">
        <is>
          <t>Undergraduates</t>
        </is>
      </c>
      <c r="H42" t="inlineStr">
        <is>
          <t>All</t>
        </is>
      </c>
      <c r="I42" t="inlineStr">
        <is>
          <t>All</t>
        </is>
      </c>
      <c r="J42" t="inlineStr">
        <is>
          <t>All</t>
        </is>
      </c>
      <c r="K42" t="inlineStr">
        <is>
          <t>All</t>
        </is>
      </c>
      <c r="L42" t="inlineStr">
        <is>
          <t>Whole Number or Round to Nearest Tenths</t>
        </is>
      </c>
    </row>
    <row r="43">
      <c r="A43" t="inlineStr">
        <is>
          <t>J127</t>
        </is>
      </c>
      <c r="B43" s="2" t="inlineStr">
        <is>
          <t>Psychology</t>
        </is>
      </c>
      <c r="D43" t="inlineStr">
        <is>
          <t>Disciplinary Areas of Degrees Conferred</t>
        </is>
      </c>
      <c r="E43" t="inlineStr">
        <is>
          <t>Diploma/Certificates</t>
        </is>
      </c>
      <c r="F43" s="4" t="n">
        <v>42</v>
      </c>
      <c r="G43" t="inlineStr">
        <is>
          <t>Undergraduates</t>
        </is>
      </c>
      <c r="H43" t="inlineStr">
        <is>
          <t>All</t>
        </is>
      </c>
      <c r="I43" t="inlineStr">
        <is>
          <t>All</t>
        </is>
      </c>
      <c r="J43" t="inlineStr">
        <is>
          <t>All</t>
        </is>
      </c>
      <c r="K43" t="inlineStr">
        <is>
          <t>All</t>
        </is>
      </c>
      <c r="L43" t="inlineStr">
        <is>
          <t>Whole Number or Round to Nearest Tenths</t>
        </is>
      </c>
    </row>
    <row r="44" ht="30" customHeight="1" s="44">
      <c r="A44" t="inlineStr">
        <is>
          <t>J128</t>
        </is>
      </c>
      <c r="B44" s="2" t="inlineStr">
        <is>
          <t>Homeland Security, law enforcement, firefighting, and protective services</t>
        </is>
      </c>
      <c r="D44" t="inlineStr">
        <is>
          <t>Disciplinary Areas of Degrees Conferred</t>
        </is>
      </c>
      <c r="E44" t="inlineStr">
        <is>
          <t>Diploma/Certificates</t>
        </is>
      </c>
      <c r="F44" s="4" t="n">
        <v>43</v>
      </c>
      <c r="G44" t="inlineStr">
        <is>
          <t>Undergraduates</t>
        </is>
      </c>
      <c r="H44" t="inlineStr">
        <is>
          <t>All</t>
        </is>
      </c>
      <c r="I44" t="inlineStr">
        <is>
          <t>All</t>
        </is>
      </c>
      <c r="J44" t="inlineStr">
        <is>
          <t>All</t>
        </is>
      </c>
      <c r="K44" t="inlineStr">
        <is>
          <t>All</t>
        </is>
      </c>
      <c r="L44" t="inlineStr">
        <is>
          <t>Whole Number or Round to Nearest Tenths</t>
        </is>
      </c>
    </row>
    <row r="45">
      <c r="A45" t="inlineStr">
        <is>
          <t>J129</t>
        </is>
      </c>
      <c r="B45" s="2" t="inlineStr">
        <is>
          <t>Public administration and social services</t>
        </is>
      </c>
      <c r="D45" t="inlineStr">
        <is>
          <t>Disciplinary Areas of Degrees Conferred</t>
        </is>
      </c>
      <c r="E45" t="inlineStr">
        <is>
          <t>Diploma/Certificates</t>
        </is>
      </c>
      <c r="F45" s="4" t="n">
        <v>44</v>
      </c>
      <c r="G45" t="inlineStr">
        <is>
          <t>Undergraduates</t>
        </is>
      </c>
      <c r="H45" t="inlineStr">
        <is>
          <t>All</t>
        </is>
      </c>
      <c r="I45" t="inlineStr">
        <is>
          <t>All</t>
        </is>
      </c>
      <c r="J45" t="inlineStr">
        <is>
          <t>All</t>
        </is>
      </c>
      <c r="K45" t="inlineStr">
        <is>
          <t>All</t>
        </is>
      </c>
      <c r="L45" t="inlineStr">
        <is>
          <t>Whole Number or Round to Nearest Tenths</t>
        </is>
      </c>
    </row>
    <row r="46">
      <c r="A46" t="inlineStr">
        <is>
          <t>J130</t>
        </is>
      </c>
      <c r="B46" s="2" t="inlineStr">
        <is>
          <t xml:space="preserve">Social sciences </t>
        </is>
      </c>
      <c r="D46" t="inlineStr">
        <is>
          <t>Disciplinary Areas of Degrees Conferred</t>
        </is>
      </c>
      <c r="E46" t="inlineStr">
        <is>
          <t>Diploma/Certificates</t>
        </is>
      </c>
      <c r="F46" s="4" t="n">
        <v>45</v>
      </c>
      <c r="G46" t="inlineStr">
        <is>
          <t>Undergraduates</t>
        </is>
      </c>
      <c r="H46" t="inlineStr">
        <is>
          <t>All</t>
        </is>
      </c>
      <c r="I46" t="inlineStr">
        <is>
          <t>All</t>
        </is>
      </c>
      <c r="J46" t="inlineStr">
        <is>
          <t>All</t>
        </is>
      </c>
      <c r="K46" t="inlineStr">
        <is>
          <t>All</t>
        </is>
      </c>
      <c r="L46" t="inlineStr">
        <is>
          <t>Whole Number or Round to Nearest Tenths</t>
        </is>
      </c>
    </row>
    <row r="47">
      <c r="A47" t="inlineStr">
        <is>
          <t>J131</t>
        </is>
      </c>
      <c r="B47" s="2" t="inlineStr">
        <is>
          <t>Construction trades</t>
        </is>
      </c>
      <c r="D47" t="inlineStr">
        <is>
          <t>Disciplinary Areas of Degrees Conferred</t>
        </is>
      </c>
      <c r="E47" t="inlineStr">
        <is>
          <t>Diploma/Certificates</t>
        </is>
      </c>
      <c r="F47" s="4" t="n">
        <v>46</v>
      </c>
      <c r="G47" t="inlineStr">
        <is>
          <t>Undergraduates</t>
        </is>
      </c>
      <c r="H47" t="inlineStr">
        <is>
          <t>All</t>
        </is>
      </c>
      <c r="I47" t="inlineStr">
        <is>
          <t>All</t>
        </is>
      </c>
      <c r="J47" t="inlineStr">
        <is>
          <t>All</t>
        </is>
      </c>
      <c r="K47" t="inlineStr">
        <is>
          <t>All</t>
        </is>
      </c>
      <c r="L47" t="inlineStr">
        <is>
          <t>Whole Number or Round to Nearest Tenths</t>
        </is>
      </c>
    </row>
    <row r="48">
      <c r="A48" t="inlineStr">
        <is>
          <t>J132</t>
        </is>
      </c>
      <c r="B48" s="2" t="inlineStr">
        <is>
          <t>Mechanic and repair technologies</t>
        </is>
      </c>
      <c r="D48" t="inlineStr">
        <is>
          <t>Disciplinary Areas of Degrees Conferred</t>
        </is>
      </c>
      <c r="E48" t="inlineStr">
        <is>
          <t>Diploma/Certificates</t>
        </is>
      </c>
      <c r="F48" s="4" t="n">
        <v>47</v>
      </c>
      <c r="G48" t="inlineStr">
        <is>
          <t>Undergraduates</t>
        </is>
      </c>
      <c r="H48" t="inlineStr">
        <is>
          <t>All</t>
        </is>
      </c>
      <c r="I48" t="inlineStr">
        <is>
          <t>All</t>
        </is>
      </c>
      <c r="J48" t="inlineStr">
        <is>
          <t>All</t>
        </is>
      </c>
      <c r="K48" t="inlineStr">
        <is>
          <t>All</t>
        </is>
      </c>
      <c r="L48" t="inlineStr">
        <is>
          <t>Whole Number or Round to Nearest Tenths</t>
        </is>
      </c>
    </row>
    <row r="49">
      <c r="A49" t="inlineStr">
        <is>
          <t>J133</t>
        </is>
      </c>
      <c r="B49" s="2" t="inlineStr">
        <is>
          <t>Precision production</t>
        </is>
      </c>
      <c r="D49" t="inlineStr">
        <is>
          <t>Disciplinary Areas of Degrees Conferred</t>
        </is>
      </c>
      <c r="E49" t="inlineStr">
        <is>
          <t>Diploma/Certificates</t>
        </is>
      </c>
      <c r="F49" s="4" t="n">
        <v>48</v>
      </c>
      <c r="G49" t="inlineStr">
        <is>
          <t>Undergraduates</t>
        </is>
      </c>
      <c r="H49" t="inlineStr">
        <is>
          <t>All</t>
        </is>
      </c>
      <c r="I49" t="inlineStr">
        <is>
          <t>All</t>
        </is>
      </c>
      <c r="J49" t="inlineStr">
        <is>
          <t>All</t>
        </is>
      </c>
      <c r="K49" t="inlineStr">
        <is>
          <t>All</t>
        </is>
      </c>
      <c r="L49" t="inlineStr">
        <is>
          <t>Whole Number or Round to Nearest Tenths</t>
        </is>
      </c>
    </row>
    <row r="50">
      <c r="A50" t="inlineStr">
        <is>
          <t>J134</t>
        </is>
      </c>
      <c r="B50" s="2" t="inlineStr">
        <is>
          <t>Transportation and materials moving</t>
        </is>
      </c>
      <c r="D50" t="inlineStr">
        <is>
          <t>Disciplinary Areas of Degrees Conferred</t>
        </is>
      </c>
      <c r="E50" t="inlineStr">
        <is>
          <t>Diploma/Certificates</t>
        </is>
      </c>
      <c r="F50" s="4" t="n">
        <v>49</v>
      </c>
      <c r="G50" t="inlineStr">
        <is>
          <t>Undergraduates</t>
        </is>
      </c>
      <c r="H50" t="inlineStr">
        <is>
          <t>All</t>
        </is>
      </c>
      <c r="I50" t="inlineStr">
        <is>
          <t>All</t>
        </is>
      </c>
      <c r="J50" t="inlineStr">
        <is>
          <t>All</t>
        </is>
      </c>
      <c r="K50" t="inlineStr">
        <is>
          <t>All</t>
        </is>
      </c>
      <c r="L50" t="inlineStr">
        <is>
          <t>Whole Number or Round to Nearest Tenths</t>
        </is>
      </c>
    </row>
    <row r="51">
      <c r="A51" t="inlineStr">
        <is>
          <t>J135</t>
        </is>
      </c>
      <c r="B51" s="2" t="inlineStr">
        <is>
          <t>Visual and performing arts</t>
        </is>
      </c>
      <c r="D51" t="inlineStr">
        <is>
          <t>Disciplinary Areas of Degrees Conferred</t>
        </is>
      </c>
      <c r="E51" t="inlineStr">
        <is>
          <t>Diploma/Certificates</t>
        </is>
      </c>
      <c r="F51" s="4" t="n">
        <v>50</v>
      </c>
      <c r="G51" t="inlineStr">
        <is>
          <t>Undergraduates</t>
        </is>
      </c>
      <c r="H51" t="inlineStr">
        <is>
          <t>All</t>
        </is>
      </c>
      <c r="I51" t="inlineStr">
        <is>
          <t>All</t>
        </is>
      </c>
      <c r="J51" t="inlineStr">
        <is>
          <t>All</t>
        </is>
      </c>
      <c r="K51" t="inlineStr">
        <is>
          <t>All</t>
        </is>
      </c>
      <c r="L51" t="inlineStr">
        <is>
          <t>Whole Number or Round to Nearest Tenths</t>
        </is>
      </c>
    </row>
    <row r="52" ht="32.1" customHeight="1" s="44">
      <c r="A52" t="inlineStr">
        <is>
          <t>J136</t>
        </is>
      </c>
      <c r="B52" s="2" t="inlineStr">
        <is>
          <t>Health professions and related programs</t>
        </is>
      </c>
      <c r="D52" t="inlineStr">
        <is>
          <t>Disciplinary Areas of Degrees Conferred</t>
        </is>
      </c>
      <c r="E52" t="inlineStr">
        <is>
          <t>Diploma/Certificates</t>
        </is>
      </c>
      <c r="F52" s="4" t="n">
        <v>51</v>
      </c>
      <c r="G52" t="inlineStr">
        <is>
          <t>Undergraduates</t>
        </is>
      </c>
      <c r="H52" t="inlineStr">
        <is>
          <t>All</t>
        </is>
      </c>
      <c r="I52" t="inlineStr">
        <is>
          <t>All</t>
        </is>
      </c>
      <c r="J52" t="inlineStr">
        <is>
          <t>All</t>
        </is>
      </c>
      <c r="K52" t="inlineStr">
        <is>
          <t>All</t>
        </is>
      </c>
      <c r="L52" t="inlineStr">
        <is>
          <t>Whole Number or Round to Nearest Tenths</t>
        </is>
      </c>
    </row>
    <row r="53">
      <c r="A53" t="inlineStr">
        <is>
          <t>J137</t>
        </is>
      </c>
      <c r="B53" s="2" t="inlineStr">
        <is>
          <t>Business/marketing</t>
        </is>
      </c>
      <c r="D53" t="inlineStr">
        <is>
          <t>Disciplinary Areas of Degrees Conferred</t>
        </is>
      </c>
      <c r="E53" t="inlineStr">
        <is>
          <t>Diploma/Certificates</t>
        </is>
      </c>
      <c r="F53" s="4" t="n">
        <v>52</v>
      </c>
      <c r="G53" t="inlineStr">
        <is>
          <t>Undergraduates</t>
        </is>
      </c>
      <c r="H53" t="inlineStr">
        <is>
          <t>All</t>
        </is>
      </c>
      <c r="I53" t="inlineStr">
        <is>
          <t>All</t>
        </is>
      </c>
      <c r="J53" t="inlineStr">
        <is>
          <t>All</t>
        </is>
      </c>
      <c r="K53" t="inlineStr">
        <is>
          <t>All</t>
        </is>
      </c>
      <c r="L53" t="inlineStr">
        <is>
          <t>Whole Number or Round to Nearest Tenths</t>
        </is>
      </c>
    </row>
    <row r="54">
      <c r="A54" t="inlineStr">
        <is>
          <t>J138</t>
        </is>
      </c>
      <c r="B54" s="2" t="inlineStr">
        <is>
          <t>History</t>
        </is>
      </c>
      <c r="D54" t="inlineStr">
        <is>
          <t>Disciplinary Areas of Degrees Conferred</t>
        </is>
      </c>
      <c r="E54" t="inlineStr">
        <is>
          <t>Diploma/Certificates</t>
        </is>
      </c>
      <c r="F54" s="4" t="n">
        <v>54</v>
      </c>
      <c r="G54" t="inlineStr">
        <is>
          <t>Undergraduates</t>
        </is>
      </c>
      <c r="H54" t="inlineStr">
        <is>
          <t>All</t>
        </is>
      </c>
      <c r="I54" t="inlineStr">
        <is>
          <t>All</t>
        </is>
      </c>
      <c r="J54" t="inlineStr">
        <is>
          <t>All</t>
        </is>
      </c>
      <c r="K54" t="inlineStr">
        <is>
          <t>All</t>
        </is>
      </c>
      <c r="L54" t="inlineStr">
        <is>
          <t>Whole Number or Round to Nearest Tenths</t>
        </is>
      </c>
    </row>
    <row r="55">
      <c r="A55" t="inlineStr">
        <is>
          <t>J139</t>
        </is>
      </c>
      <c r="B55" s="2" t="inlineStr">
        <is>
          <t>Other</t>
        </is>
      </c>
      <c r="D55" t="inlineStr">
        <is>
          <t>Disciplinary Areas of Degrees Conferred</t>
        </is>
      </c>
      <c r="E55" t="inlineStr">
        <is>
          <t>Diploma/Certificates</t>
        </is>
      </c>
      <c r="F55" s="4" t="inlineStr">
        <is>
          <t>Other</t>
        </is>
      </c>
      <c r="G55" t="inlineStr">
        <is>
          <t>Undergraduates</t>
        </is>
      </c>
      <c r="H55" t="inlineStr">
        <is>
          <t>All</t>
        </is>
      </c>
      <c r="I55" t="inlineStr">
        <is>
          <t>All</t>
        </is>
      </c>
      <c r="J55" t="inlineStr">
        <is>
          <t>All</t>
        </is>
      </c>
      <c r="K55" t="inlineStr">
        <is>
          <t>All</t>
        </is>
      </c>
      <c r="L55" t="inlineStr">
        <is>
          <t>Whole Number or Round to Nearest Tenths</t>
        </is>
      </c>
    </row>
    <row r="56">
      <c r="A56" t="inlineStr">
        <is>
          <t>J140</t>
        </is>
      </c>
      <c r="B56" t="inlineStr">
        <is>
          <t>TOTAL (should = 100%)</t>
        </is>
      </c>
      <c r="D56" t="inlineStr">
        <is>
          <t>Disciplinary Areas of Degrees Conferred</t>
        </is>
      </c>
      <c r="E56" t="inlineStr">
        <is>
          <t>Diploma/Certificates</t>
        </is>
      </c>
      <c r="F56" s="4" t="inlineStr">
        <is>
          <t>Total</t>
        </is>
      </c>
      <c r="G56" t="inlineStr">
        <is>
          <t>Undergraduates</t>
        </is>
      </c>
      <c r="H56" t="inlineStr">
        <is>
          <t>All</t>
        </is>
      </c>
      <c r="I56" t="inlineStr">
        <is>
          <t>All</t>
        </is>
      </c>
      <c r="J56" t="inlineStr">
        <is>
          <t>All</t>
        </is>
      </c>
      <c r="K56" t="inlineStr">
        <is>
          <t>All</t>
        </is>
      </c>
      <c r="L56" t="inlineStr">
        <is>
          <t>Whole Number or Round to Nearest Tenths</t>
        </is>
      </c>
    </row>
    <row r="57"/>
    <row r="58"/>
    <row r="59"/>
    <row r="60"/>
    <row r="61"/>
    <row r="62"/>
    <row r="63" ht="23.1" customHeight="1" s="44"/>
    <row r="64">
      <c r="A64" t="inlineStr">
        <is>
          <t>J141</t>
        </is>
      </c>
      <c r="B64" s="2" t="inlineStr">
        <is>
          <t>Agriculture</t>
        </is>
      </c>
      <c r="D64" t="inlineStr">
        <is>
          <t>Disciplinary Areas of Degrees Conferred</t>
        </is>
      </c>
      <c r="E64" t="inlineStr">
        <is>
          <t>Associate</t>
        </is>
      </c>
      <c r="F64" s="4" t="inlineStr">
        <is>
          <t>01</t>
        </is>
      </c>
      <c r="G64" t="inlineStr">
        <is>
          <t>Undergraduates</t>
        </is>
      </c>
      <c r="H64" t="inlineStr">
        <is>
          <t>All</t>
        </is>
      </c>
      <c r="I64" t="inlineStr">
        <is>
          <t>All</t>
        </is>
      </c>
      <c r="J64" t="inlineStr">
        <is>
          <t>All</t>
        </is>
      </c>
      <c r="K64" t="inlineStr">
        <is>
          <t>All</t>
        </is>
      </c>
      <c r="L64" t="inlineStr">
        <is>
          <t>Whole Number or Round to Nearest Tenths</t>
        </is>
      </c>
    </row>
    <row r="65">
      <c r="A65" t="inlineStr">
        <is>
          <t>J142</t>
        </is>
      </c>
      <c r="B65" s="2" t="inlineStr">
        <is>
          <t>Natural resources and conservation</t>
        </is>
      </c>
      <c r="D65" t="inlineStr">
        <is>
          <t>Disciplinary Areas of Degrees Conferred</t>
        </is>
      </c>
      <c r="E65" t="inlineStr">
        <is>
          <t>Associate</t>
        </is>
      </c>
      <c r="F65" s="4" t="inlineStr">
        <is>
          <t>03</t>
        </is>
      </c>
      <c r="G65" t="inlineStr">
        <is>
          <t>Undergraduates</t>
        </is>
      </c>
      <c r="H65" t="inlineStr">
        <is>
          <t>All</t>
        </is>
      </c>
      <c r="I65" t="inlineStr">
        <is>
          <t>All</t>
        </is>
      </c>
      <c r="J65" t="inlineStr">
        <is>
          <t>All</t>
        </is>
      </c>
      <c r="K65" t="inlineStr">
        <is>
          <t>All</t>
        </is>
      </c>
      <c r="L65" t="inlineStr">
        <is>
          <t>Whole Number or Round to Nearest Tenths</t>
        </is>
      </c>
    </row>
    <row r="66">
      <c r="A66" t="inlineStr">
        <is>
          <t>J143</t>
        </is>
      </c>
      <c r="B66" s="2" t="inlineStr">
        <is>
          <t>Architecture</t>
        </is>
      </c>
      <c r="D66" t="inlineStr">
        <is>
          <t>Disciplinary Areas of Degrees Conferred</t>
        </is>
      </c>
      <c r="E66" t="inlineStr">
        <is>
          <t>Associate</t>
        </is>
      </c>
      <c r="F66" s="4" t="inlineStr">
        <is>
          <t>04</t>
        </is>
      </c>
      <c r="G66" t="inlineStr">
        <is>
          <t>Undergraduates</t>
        </is>
      </c>
      <c r="H66" t="inlineStr">
        <is>
          <t>All</t>
        </is>
      </c>
      <c r="I66" t="inlineStr">
        <is>
          <t>All</t>
        </is>
      </c>
      <c r="J66" t="inlineStr">
        <is>
          <t>All</t>
        </is>
      </c>
      <c r="K66" t="inlineStr">
        <is>
          <t>All</t>
        </is>
      </c>
      <c r="L66" t="inlineStr">
        <is>
          <t>Whole Number or Round to Nearest Tenths</t>
        </is>
      </c>
    </row>
    <row r="67">
      <c r="A67" t="inlineStr">
        <is>
          <t>J144</t>
        </is>
      </c>
      <c r="B67" s="2" t="inlineStr">
        <is>
          <t>Area, ethnic, and gender studies</t>
        </is>
      </c>
      <c r="D67" t="inlineStr">
        <is>
          <t>Disciplinary Areas of Degrees Conferred</t>
        </is>
      </c>
      <c r="E67" t="inlineStr">
        <is>
          <t>Associate</t>
        </is>
      </c>
      <c r="F67" s="4" t="inlineStr">
        <is>
          <t>05</t>
        </is>
      </c>
      <c r="G67" t="inlineStr">
        <is>
          <t>Undergraduates</t>
        </is>
      </c>
      <c r="H67" t="inlineStr">
        <is>
          <t>All</t>
        </is>
      </c>
      <c r="I67" t="inlineStr">
        <is>
          <t>All</t>
        </is>
      </c>
      <c r="J67" t="inlineStr">
        <is>
          <t>All</t>
        </is>
      </c>
      <c r="K67" t="inlineStr">
        <is>
          <t>All</t>
        </is>
      </c>
      <c r="L67" t="inlineStr">
        <is>
          <t>Whole Number or Round to Nearest Tenths</t>
        </is>
      </c>
    </row>
    <row r="68">
      <c r="A68" t="inlineStr">
        <is>
          <t>J145</t>
        </is>
      </c>
      <c r="B68" s="2" t="inlineStr">
        <is>
          <t>Communication/journalism</t>
        </is>
      </c>
      <c r="D68" t="inlineStr">
        <is>
          <t>Disciplinary Areas of Degrees Conferred</t>
        </is>
      </c>
      <c r="E68" t="inlineStr">
        <is>
          <t>Associate</t>
        </is>
      </c>
      <c r="F68" s="4" t="inlineStr">
        <is>
          <t>09</t>
        </is>
      </c>
      <c r="G68" t="inlineStr">
        <is>
          <t>Undergraduates</t>
        </is>
      </c>
      <c r="H68" t="inlineStr">
        <is>
          <t>All</t>
        </is>
      </c>
      <c r="I68" t="inlineStr">
        <is>
          <t>All</t>
        </is>
      </c>
      <c r="J68" t="inlineStr">
        <is>
          <t>All</t>
        </is>
      </c>
      <c r="K68" t="inlineStr">
        <is>
          <t>All</t>
        </is>
      </c>
      <c r="L68" t="inlineStr">
        <is>
          <t>Whole Number or Round to Nearest Tenths</t>
        </is>
      </c>
    </row>
    <row r="69">
      <c r="A69" t="inlineStr">
        <is>
          <t>J146</t>
        </is>
      </c>
      <c r="B69" s="2" t="inlineStr">
        <is>
          <t>Communication technologies</t>
        </is>
      </c>
      <c r="D69" t="inlineStr">
        <is>
          <t>Disciplinary Areas of Degrees Conferred</t>
        </is>
      </c>
      <c r="E69" t="inlineStr">
        <is>
          <t>Associate</t>
        </is>
      </c>
      <c r="F69" s="4" t="n">
        <v>10</v>
      </c>
      <c r="G69" t="inlineStr">
        <is>
          <t>Undergraduates</t>
        </is>
      </c>
      <c r="H69" t="inlineStr">
        <is>
          <t>All</t>
        </is>
      </c>
      <c r="I69" t="inlineStr">
        <is>
          <t>All</t>
        </is>
      </c>
      <c r="J69" t="inlineStr">
        <is>
          <t>All</t>
        </is>
      </c>
      <c r="K69" t="inlineStr">
        <is>
          <t>All</t>
        </is>
      </c>
      <c r="L69" t="inlineStr">
        <is>
          <t>Whole Number or Round to Nearest Tenths</t>
        </is>
      </c>
    </row>
    <row r="70">
      <c r="A70" t="inlineStr">
        <is>
          <t>J147</t>
        </is>
      </c>
      <c r="B70" s="2" t="inlineStr">
        <is>
          <t>Computer and information sciences</t>
        </is>
      </c>
      <c r="D70" t="inlineStr">
        <is>
          <t>Disciplinary Areas of Degrees Conferred</t>
        </is>
      </c>
      <c r="E70" t="inlineStr">
        <is>
          <t>Associate</t>
        </is>
      </c>
      <c r="F70" s="4" t="n">
        <v>11</v>
      </c>
      <c r="G70" t="inlineStr">
        <is>
          <t>Undergraduates</t>
        </is>
      </c>
      <c r="H70" t="inlineStr">
        <is>
          <t>All</t>
        </is>
      </c>
      <c r="I70" t="inlineStr">
        <is>
          <t>All</t>
        </is>
      </c>
      <c r="J70" t="inlineStr">
        <is>
          <t>All</t>
        </is>
      </c>
      <c r="K70" t="inlineStr">
        <is>
          <t>All</t>
        </is>
      </c>
      <c r="L70" t="inlineStr">
        <is>
          <t>Whole Number or Round to Nearest Tenths</t>
        </is>
      </c>
    </row>
    <row r="71">
      <c r="A71" t="inlineStr">
        <is>
          <t>J148</t>
        </is>
      </c>
      <c r="B71" s="2" t="inlineStr">
        <is>
          <t>Personal and culinary services</t>
        </is>
      </c>
      <c r="D71" t="inlineStr">
        <is>
          <t>Disciplinary Areas of Degrees Conferred</t>
        </is>
      </c>
      <c r="E71" t="inlineStr">
        <is>
          <t>Associate</t>
        </is>
      </c>
      <c r="F71" s="4" t="n">
        <v>12</v>
      </c>
      <c r="G71" t="inlineStr">
        <is>
          <t>Undergraduates</t>
        </is>
      </c>
      <c r="H71" t="inlineStr">
        <is>
          <t>All</t>
        </is>
      </c>
      <c r="I71" t="inlineStr">
        <is>
          <t>All</t>
        </is>
      </c>
      <c r="J71" t="inlineStr">
        <is>
          <t>All</t>
        </is>
      </c>
      <c r="K71" t="inlineStr">
        <is>
          <t>All</t>
        </is>
      </c>
      <c r="L71" t="inlineStr">
        <is>
          <t>Whole Number or Round to Nearest Tenths</t>
        </is>
      </c>
    </row>
    <row r="72">
      <c r="A72" t="inlineStr">
        <is>
          <t>J149</t>
        </is>
      </c>
      <c r="B72" s="2" t="inlineStr">
        <is>
          <t>Education</t>
        </is>
      </c>
      <c r="D72" t="inlineStr">
        <is>
          <t>Disciplinary Areas of Degrees Conferred</t>
        </is>
      </c>
      <c r="E72" t="inlineStr">
        <is>
          <t>Associate</t>
        </is>
      </c>
      <c r="F72" s="4" t="n">
        <v>13</v>
      </c>
      <c r="G72" t="inlineStr">
        <is>
          <t>Undergraduates</t>
        </is>
      </c>
      <c r="H72" t="inlineStr">
        <is>
          <t>All</t>
        </is>
      </c>
      <c r="I72" t="inlineStr">
        <is>
          <t>All</t>
        </is>
      </c>
      <c r="J72" t="inlineStr">
        <is>
          <t>All</t>
        </is>
      </c>
      <c r="K72" t="inlineStr">
        <is>
          <t>All</t>
        </is>
      </c>
      <c r="L72" t="inlineStr">
        <is>
          <t>Whole Number or Round to Nearest Tenths</t>
        </is>
      </c>
    </row>
    <row r="73">
      <c r="A73" t="inlineStr">
        <is>
          <t>J150</t>
        </is>
      </c>
      <c r="B73" s="2" t="inlineStr">
        <is>
          <t>Engineering</t>
        </is>
      </c>
      <c r="D73" t="inlineStr">
        <is>
          <t>Disciplinary Areas of Degrees Conferred</t>
        </is>
      </c>
      <c r="E73" t="inlineStr">
        <is>
          <t>Associate</t>
        </is>
      </c>
      <c r="F73" s="4" t="n">
        <v>14</v>
      </c>
      <c r="G73" t="inlineStr">
        <is>
          <t>Undergraduates</t>
        </is>
      </c>
      <c r="H73" t="inlineStr">
        <is>
          <t>All</t>
        </is>
      </c>
      <c r="I73" t="inlineStr">
        <is>
          <t>All</t>
        </is>
      </c>
      <c r="J73" t="inlineStr">
        <is>
          <t>All</t>
        </is>
      </c>
      <c r="K73" t="inlineStr">
        <is>
          <t>All</t>
        </is>
      </c>
      <c r="L73" t="inlineStr">
        <is>
          <t>Whole Number or Round to Nearest Tenths</t>
        </is>
      </c>
    </row>
    <row r="74" ht="15.6" customHeight="1" s="44">
      <c r="A74" t="inlineStr">
        <is>
          <t>J151</t>
        </is>
      </c>
      <c r="B74" s="2" t="inlineStr">
        <is>
          <t>Engineering technologies</t>
        </is>
      </c>
      <c r="D74" t="inlineStr">
        <is>
          <t>Disciplinary Areas of Degrees Conferred</t>
        </is>
      </c>
      <c r="E74" t="inlineStr">
        <is>
          <t>Associate</t>
        </is>
      </c>
      <c r="F74" s="4" t="n">
        <v>15</v>
      </c>
      <c r="G74" t="inlineStr">
        <is>
          <t>Undergraduates</t>
        </is>
      </c>
      <c r="H74" t="inlineStr">
        <is>
          <t>All</t>
        </is>
      </c>
      <c r="I74" t="inlineStr">
        <is>
          <t>All</t>
        </is>
      </c>
      <c r="J74" t="inlineStr">
        <is>
          <t>All</t>
        </is>
      </c>
      <c r="K74" t="inlineStr">
        <is>
          <t>All</t>
        </is>
      </c>
      <c r="L74" t="inlineStr">
        <is>
          <t>Whole Number or Round to Nearest Tenths</t>
        </is>
      </c>
    </row>
    <row r="75" ht="30" customHeight="1" s="44">
      <c r="A75" t="inlineStr">
        <is>
          <t>J152</t>
        </is>
      </c>
      <c r="B75" s="2" t="inlineStr">
        <is>
          <t>Foreign languages, literatures, and linguistics</t>
        </is>
      </c>
      <c r="D75" t="inlineStr">
        <is>
          <t>Disciplinary Areas of Degrees Conferred</t>
        </is>
      </c>
      <c r="E75" t="inlineStr">
        <is>
          <t>Associate</t>
        </is>
      </c>
      <c r="F75" s="4" t="n">
        <v>16</v>
      </c>
      <c r="G75" t="inlineStr">
        <is>
          <t>Undergraduates</t>
        </is>
      </c>
      <c r="H75" t="inlineStr">
        <is>
          <t>All</t>
        </is>
      </c>
      <c r="I75" t="inlineStr">
        <is>
          <t>All</t>
        </is>
      </c>
      <c r="J75" t="inlineStr">
        <is>
          <t>All</t>
        </is>
      </c>
      <c r="K75" t="inlineStr">
        <is>
          <t>All</t>
        </is>
      </c>
      <c r="L75" t="inlineStr">
        <is>
          <t>Whole Number or Round to Nearest Tenths</t>
        </is>
      </c>
    </row>
    <row r="76">
      <c r="A76" t="inlineStr">
        <is>
          <t>J153</t>
        </is>
      </c>
      <c r="B76" s="2" t="inlineStr">
        <is>
          <t>Family and consumer sciences</t>
        </is>
      </c>
      <c r="D76" t="inlineStr">
        <is>
          <t>Disciplinary Areas of Degrees Conferred</t>
        </is>
      </c>
      <c r="E76" t="inlineStr">
        <is>
          <t>Associate</t>
        </is>
      </c>
      <c r="F76" s="4" t="n">
        <v>19</v>
      </c>
      <c r="G76" t="inlineStr">
        <is>
          <t>Undergraduates</t>
        </is>
      </c>
      <c r="H76" t="inlineStr">
        <is>
          <t>All</t>
        </is>
      </c>
      <c r="I76" t="inlineStr">
        <is>
          <t>All</t>
        </is>
      </c>
      <c r="J76" t="inlineStr">
        <is>
          <t>All</t>
        </is>
      </c>
      <c r="K76" t="inlineStr">
        <is>
          <t>All</t>
        </is>
      </c>
      <c r="L76" t="inlineStr">
        <is>
          <t>Whole Number or Round to Nearest Tenths</t>
        </is>
      </c>
    </row>
    <row r="77">
      <c r="A77" t="inlineStr">
        <is>
          <t>J154</t>
        </is>
      </c>
      <c r="B77" s="2" t="inlineStr">
        <is>
          <t>Law/legal studies</t>
        </is>
      </c>
      <c r="D77" t="inlineStr">
        <is>
          <t>Disciplinary Areas of Degrees Conferred</t>
        </is>
      </c>
      <c r="E77" t="inlineStr">
        <is>
          <t>Associate</t>
        </is>
      </c>
      <c r="F77" s="4" t="n">
        <v>22</v>
      </c>
      <c r="G77" t="inlineStr">
        <is>
          <t>Undergraduates</t>
        </is>
      </c>
      <c r="H77" t="inlineStr">
        <is>
          <t>All</t>
        </is>
      </c>
      <c r="I77" t="inlineStr">
        <is>
          <t>All</t>
        </is>
      </c>
      <c r="J77" t="inlineStr">
        <is>
          <t>All</t>
        </is>
      </c>
      <c r="K77" t="inlineStr">
        <is>
          <t>All</t>
        </is>
      </c>
      <c r="L77" t="inlineStr">
        <is>
          <t>Whole Number or Round to Nearest Tenths</t>
        </is>
      </c>
    </row>
    <row r="78">
      <c r="A78" t="inlineStr">
        <is>
          <t>J155</t>
        </is>
      </c>
      <c r="B78" s="2" t="inlineStr">
        <is>
          <t>English</t>
        </is>
      </c>
      <c r="D78" t="inlineStr">
        <is>
          <t>Disciplinary Areas of Degrees Conferred</t>
        </is>
      </c>
      <c r="E78" t="inlineStr">
        <is>
          <t>Associate</t>
        </is>
      </c>
      <c r="F78" s="4" t="n">
        <v>23</v>
      </c>
      <c r="G78" t="inlineStr">
        <is>
          <t>Undergraduates</t>
        </is>
      </c>
      <c r="H78" t="inlineStr">
        <is>
          <t>All</t>
        </is>
      </c>
      <c r="I78" t="inlineStr">
        <is>
          <t>All</t>
        </is>
      </c>
      <c r="J78" t="inlineStr">
        <is>
          <t>All</t>
        </is>
      </c>
      <c r="K78" t="inlineStr">
        <is>
          <t>All</t>
        </is>
      </c>
      <c r="L78" t="inlineStr">
        <is>
          <t>Whole Number or Round to Nearest Tenths</t>
        </is>
      </c>
    </row>
    <row r="79">
      <c r="A79" t="inlineStr">
        <is>
          <t>J156</t>
        </is>
      </c>
      <c r="B79" s="2" t="inlineStr">
        <is>
          <t>Liberal arts/general studies</t>
        </is>
      </c>
      <c r="D79" t="inlineStr">
        <is>
          <t>Disciplinary Areas of Degrees Conferred</t>
        </is>
      </c>
      <c r="E79" t="inlineStr">
        <is>
          <t>Associate</t>
        </is>
      </c>
      <c r="F79" s="4" t="n">
        <v>24</v>
      </c>
      <c r="G79" t="inlineStr">
        <is>
          <t>Undergraduates</t>
        </is>
      </c>
      <c r="H79" t="inlineStr">
        <is>
          <t>All</t>
        </is>
      </c>
      <c r="I79" t="inlineStr">
        <is>
          <t>All</t>
        </is>
      </c>
      <c r="J79" t="inlineStr">
        <is>
          <t>All</t>
        </is>
      </c>
      <c r="K79" t="inlineStr">
        <is>
          <t>All</t>
        </is>
      </c>
      <c r="L79" t="inlineStr">
        <is>
          <t>Whole Number or Round to Nearest Tenths</t>
        </is>
      </c>
    </row>
    <row r="80">
      <c r="A80" t="inlineStr">
        <is>
          <t>J157</t>
        </is>
      </c>
      <c r="B80" s="2" t="inlineStr">
        <is>
          <t>Library science</t>
        </is>
      </c>
      <c r="D80" t="inlineStr">
        <is>
          <t>Disciplinary Areas of Degrees Conferred</t>
        </is>
      </c>
      <c r="E80" t="inlineStr">
        <is>
          <t>Associate</t>
        </is>
      </c>
      <c r="F80" s="4" t="n">
        <v>25</v>
      </c>
      <c r="G80" t="inlineStr">
        <is>
          <t>Undergraduates</t>
        </is>
      </c>
      <c r="H80" t="inlineStr">
        <is>
          <t>All</t>
        </is>
      </c>
      <c r="I80" t="inlineStr">
        <is>
          <t>All</t>
        </is>
      </c>
      <c r="J80" t="inlineStr">
        <is>
          <t>All</t>
        </is>
      </c>
      <c r="K80" t="inlineStr">
        <is>
          <t>All</t>
        </is>
      </c>
      <c r="L80" t="inlineStr">
        <is>
          <t>Whole Number or Round to Nearest Tenths</t>
        </is>
      </c>
    </row>
    <row r="81">
      <c r="A81" t="inlineStr">
        <is>
          <t>J158</t>
        </is>
      </c>
      <c r="B81" s="2" t="inlineStr">
        <is>
          <t>Biological/life sciences</t>
        </is>
      </c>
      <c r="D81" t="inlineStr">
        <is>
          <t>Disciplinary Areas of Degrees Conferred</t>
        </is>
      </c>
      <c r="E81" t="inlineStr">
        <is>
          <t>Associate</t>
        </is>
      </c>
      <c r="F81" s="4" t="n">
        <v>26</v>
      </c>
      <c r="G81" t="inlineStr">
        <is>
          <t>Undergraduates</t>
        </is>
      </c>
      <c r="H81" t="inlineStr">
        <is>
          <t>All</t>
        </is>
      </c>
      <c r="I81" t="inlineStr">
        <is>
          <t>All</t>
        </is>
      </c>
      <c r="J81" t="inlineStr">
        <is>
          <t>All</t>
        </is>
      </c>
      <c r="K81" t="inlineStr">
        <is>
          <t>All</t>
        </is>
      </c>
      <c r="L81" t="inlineStr">
        <is>
          <t>Whole Number or Round to Nearest Tenths</t>
        </is>
      </c>
    </row>
    <row r="82">
      <c r="A82" t="inlineStr">
        <is>
          <t>J159</t>
        </is>
      </c>
      <c r="B82" s="2" t="inlineStr">
        <is>
          <t>Mathematics and statistics</t>
        </is>
      </c>
      <c r="D82" t="inlineStr">
        <is>
          <t>Disciplinary Areas of Degrees Conferred</t>
        </is>
      </c>
      <c r="E82" t="inlineStr">
        <is>
          <t>Associate</t>
        </is>
      </c>
      <c r="F82" s="4" t="n">
        <v>27</v>
      </c>
      <c r="G82" t="inlineStr">
        <is>
          <t>Undergraduates</t>
        </is>
      </c>
      <c r="H82" t="inlineStr">
        <is>
          <t>All</t>
        </is>
      </c>
      <c r="I82" t="inlineStr">
        <is>
          <t>All</t>
        </is>
      </c>
      <c r="J82" t="inlineStr">
        <is>
          <t>All</t>
        </is>
      </c>
      <c r="K82" t="inlineStr">
        <is>
          <t>All</t>
        </is>
      </c>
      <c r="L82" t="inlineStr">
        <is>
          <t>Whole Number or Round to Nearest Tenths</t>
        </is>
      </c>
    </row>
    <row r="83">
      <c r="A83" t="inlineStr">
        <is>
          <t>J160</t>
        </is>
      </c>
      <c r="B83" s="2" t="inlineStr">
        <is>
          <t>Military science and military technologies</t>
        </is>
      </c>
      <c r="D83" t="inlineStr">
        <is>
          <t>Disciplinary Areas of Degrees Conferred</t>
        </is>
      </c>
      <c r="E83" t="inlineStr">
        <is>
          <t>Associate</t>
        </is>
      </c>
      <c r="F83" s="4" t="inlineStr">
        <is>
          <t>28 &amp; 29</t>
        </is>
      </c>
      <c r="G83" t="inlineStr">
        <is>
          <t>Undergraduates</t>
        </is>
      </c>
      <c r="H83" t="inlineStr">
        <is>
          <t>All</t>
        </is>
      </c>
      <c r="I83" t="inlineStr">
        <is>
          <t>All</t>
        </is>
      </c>
      <c r="J83" t="inlineStr">
        <is>
          <t>All</t>
        </is>
      </c>
      <c r="K83" t="inlineStr">
        <is>
          <t>All</t>
        </is>
      </c>
      <c r="L83" t="inlineStr">
        <is>
          <t>Whole Number or Round to Nearest Tenths</t>
        </is>
      </c>
    </row>
    <row r="84">
      <c r="A84" t="inlineStr">
        <is>
          <t>J161</t>
        </is>
      </c>
      <c r="B84" s="2" t="inlineStr">
        <is>
          <t>Interdisciplinary studies</t>
        </is>
      </c>
      <c r="D84" t="inlineStr">
        <is>
          <t>Disciplinary Areas of Degrees Conferred</t>
        </is>
      </c>
      <c r="E84" t="inlineStr">
        <is>
          <t>Associate</t>
        </is>
      </c>
      <c r="F84" s="4" t="n">
        <v>30</v>
      </c>
      <c r="G84" t="inlineStr">
        <is>
          <t>Undergraduates</t>
        </is>
      </c>
      <c r="H84" t="inlineStr">
        <is>
          <t>All</t>
        </is>
      </c>
      <c r="I84" t="inlineStr">
        <is>
          <t>All</t>
        </is>
      </c>
      <c r="J84" t="inlineStr">
        <is>
          <t>All</t>
        </is>
      </c>
      <c r="K84" t="inlineStr">
        <is>
          <t>All</t>
        </is>
      </c>
      <c r="L84" t="inlineStr">
        <is>
          <t>Whole Number or Round to Nearest Tenths</t>
        </is>
      </c>
    </row>
    <row r="85">
      <c r="A85" t="inlineStr">
        <is>
          <t>J162</t>
        </is>
      </c>
      <c r="B85" s="2" t="inlineStr">
        <is>
          <t>Parks and recreation</t>
        </is>
      </c>
      <c r="D85" t="inlineStr">
        <is>
          <t>Disciplinary Areas of Degrees Conferred</t>
        </is>
      </c>
      <c r="E85" t="inlineStr">
        <is>
          <t>Associate</t>
        </is>
      </c>
      <c r="F85" s="4" t="n">
        <v>31</v>
      </c>
      <c r="G85" t="inlineStr">
        <is>
          <t>Undergraduates</t>
        </is>
      </c>
      <c r="H85" t="inlineStr">
        <is>
          <t>All</t>
        </is>
      </c>
      <c r="I85" t="inlineStr">
        <is>
          <t>All</t>
        </is>
      </c>
      <c r="J85" t="inlineStr">
        <is>
          <t>All</t>
        </is>
      </c>
      <c r="K85" t="inlineStr">
        <is>
          <t>All</t>
        </is>
      </c>
      <c r="L85" t="inlineStr">
        <is>
          <t>Whole Number or Round to Nearest Tenths</t>
        </is>
      </c>
    </row>
    <row r="86">
      <c r="A86" t="inlineStr">
        <is>
          <t>J163</t>
        </is>
      </c>
      <c r="B86" s="2" t="inlineStr">
        <is>
          <t>Philosophy and religious studies</t>
        </is>
      </c>
      <c r="D86" t="inlineStr">
        <is>
          <t>Disciplinary Areas of Degrees Conferred</t>
        </is>
      </c>
      <c r="E86" t="inlineStr">
        <is>
          <t>Associate</t>
        </is>
      </c>
      <c r="F86" s="4" t="n">
        <v>38</v>
      </c>
      <c r="G86" t="inlineStr">
        <is>
          <t>Undergraduates</t>
        </is>
      </c>
      <c r="H86" t="inlineStr">
        <is>
          <t>All</t>
        </is>
      </c>
      <c r="I86" t="inlineStr">
        <is>
          <t>All</t>
        </is>
      </c>
      <c r="J86" t="inlineStr">
        <is>
          <t>All</t>
        </is>
      </c>
      <c r="K86" t="inlineStr">
        <is>
          <t>All</t>
        </is>
      </c>
      <c r="L86" t="inlineStr">
        <is>
          <t>Whole Number or Round to Nearest Tenths</t>
        </is>
      </c>
    </row>
    <row r="87">
      <c r="A87" t="inlineStr">
        <is>
          <t>J164</t>
        </is>
      </c>
      <c r="B87" s="2" t="inlineStr">
        <is>
          <t>Theology and religious vocations</t>
        </is>
      </c>
      <c r="D87" t="inlineStr">
        <is>
          <t>Disciplinary Areas of Degrees Conferred</t>
        </is>
      </c>
      <c r="E87" t="inlineStr">
        <is>
          <t>Associate</t>
        </is>
      </c>
      <c r="F87" s="4" t="n">
        <v>39</v>
      </c>
      <c r="G87" t="inlineStr">
        <is>
          <t>Undergraduates</t>
        </is>
      </c>
      <c r="H87" t="inlineStr">
        <is>
          <t>All</t>
        </is>
      </c>
      <c r="I87" t="inlineStr">
        <is>
          <t>All</t>
        </is>
      </c>
      <c r="J87" t="inlineStr">
        <is>
          <t>All</t>
        </is>
      </c>
      <c r="K87" t="inlineStr">
        <is>
          <t>All</t>
        </is>
      </c>
      <c r="L87" t="inlineStr">
        <is>
          <t>Whole Number or Round to Nearest Tenths</t>
        </is>
      </c>
    </row>
    <row r="88">
      <c r="A88" t="inlineStr">
        <is>
          <t>J165</t>
        </is>
      </c>
      <c r="B88" s="2" t="inlineStr">
        <is>
          <t>Physical sciences</t>
        </is>
      </c>
      <c r="D88" t="inlineStr">
        <is>
          <t>Disciplinary Areas of Degrees Conferred</t>
        </is>
      </c>
      <c r="E88" t="inlineStr">
        <is>
          <t>Associate</t>
        </is>
      </c>
      <c r="F88" s="4" t="n">
        <v>40</v>
      </c>
      <c r="G88" t="inlineStr">
        <is>
          <t>Undergraduates</t>
        </is>
      </c>
      <c r="H88" t="inlineStr">
        <is>
          <t>All</t>
        </is>
      </c>
      <c r="I88" t="inlineStr">
        <is>
          <t>All</t>
        </is>
      </c>
      <c r="J88" t="inlineStr">
        <is>
          <t>All</t>
        </is>
      </c>
      <c r="K88" t="inlineStr">
        <is>
          <t>All</t>
        </is>
      </c>
      <c r="L88" t="inlineStr">
        <is>
          <t>Whole Number or Round to Nearest Tenths</t>
        </is>
      </c>
    </row>
    <row r="89">
      <c r="A89" t="inlineStr">
        <is>
          <t>J166</t>
        </is>
      </c>
      <c r="B89" s="2" t="inlineStr">
        <is>
          <t>Science technologies</t>
        </is>
      </c>
      <c r="D89" t="inlineStr">
        <is>
          <t>Disciplinary Areas of Degrees Conferred</t>
        </is>
      </c>
      <c r="E89" t="inlineStr">
        <is>
          <t>Associate</t>
        </is>
      </c>
      <c r="F89" s="4" t="n">
        <v>41</v>
      </c>
      <c r="G89" t="inlineStr">
        <is>
          <t>Undergraduates</t>
        </is>
      </c>
      <c r="H89" t="inlineStr">
        <is>
          <t>All</t>
        </is>
      </c>
      <c r="I89" t="inlineStr">
        <is>
          <t>All</t>
        </is>
      </c>
      <c r="J89" t="inlineStr">
        <is>
          <t>All</t>
        </is>
      </c>
      <c r="K89" t="inlineStr">
        <is>
          <t>All</t>
        </is>
      </c>
      <c r="L89" t="inlineStr">
        <is>
          <t>Whole Number or Round to Nearest Tenths</t>
        </is>
      </c>
    </row>
    <row r="90">
      <c r="A90" t="inlineStr">
        <is>
          <t>J167</t>
        </is>
      </c>
      <c r="B90" s="2" t="inlineStr">
        <is>
          <t>Psychology</t>
        </is>
      </c>
      <c r="D90" t="inlineStr">
        <is>
          <t>Disciplinary Areas of Degrees Conferred</t>
        </is>
      </c>
      <c r="E90" t="inlineStr">
        <is>
          <t>Associate</t>
        </is>
      </c>
      <c r="F90" s="4" t="n">
        <v>42</v>
      </c>
      <c r="G90" t="inlineStr">
        <is>
          <t>Undergraduates</t>
        </is>
      </c>
      <c r="H90" t="inlineStr">
        <is>
          <t>All</t>
        </is>
      </c>
      <c r="I90" t="inlineStr">
        <is>
          <t>All</t>
        </is>
      </c>
      <c r="J90" t="inlineStr">
        <is>
          <t>All</t>
        </is>
      </c>
      <c r="K90" t="inlineStr">
        <is>
          <t>All</t>
        </is>
      </c>
      <c r="L90" t="inlineStr">
        <is>
          <t>Whole Number or Round to Nearest Tenths</t>
        </is>
      </c>
    </row>
    <row r="91" ht="30" customHeight="1" s="44">
      <c r="A91" t="inlineStr">
        <is>
          <t>J168</t>
        </is>
      </c>
      <c r="B91" s="2" t="inlineStr">
        <is>
          <t>Homeland Security, law enforcement, firefighting, and protective services</t>
        </is>
      </c>
      <c r="D91" t="inlineStr">
        <is>
          <t>Disciplinary Areas of Degrees Conferred</t>
        </is>
      </c>
      <c r="E91" t="inlineStr">
        <is>
          <t>Associate</t>
        </is>
      </c>
      <c r="F91" s="4" t="n">
        <v>43</v>
      </c>
      <c r="G91" t="inlineStr">
        <is>
          <t>Undergraduates</t>
        </is>
      </c>
      <c r="H91" t="inlineStr">
        <is>
          <t>All</t>
        </is>
      </c>
      <c r="I91" t="inlineStr">
        <is>
          <t>All</t>
        </is>
      </c>
      <c r="J91" t="inlineStr">
        <is>
          <t>All</t>
        </is>
      </c>
      <c r="K91" t="inlineStr">
        <is>
          <t>All</t>
        </is>
      </c>
      <c r="L91" t="inlineStr">
        <is>
          <t>Whole Number or Round to Nearest Tenths</t>
        </is>
      </c>
    </row>
    <row r="92">
      <c r="A92" t="inlineStr">
        <is>
          <t>J169</t>
        </is>
      </c>
      <c r="B92" s="2" t="inlineStr">
        <is>
          <t>Public administration and social services</t>
        </is>
      </c>
      <c r="D92" t="inlineStr">
        <is>
          <t>Disciplinary Areas of Degrees Conferred</t>
        </is>
      </c>
      <c r="E92" t="inlineStr">
        <is>
          <t>Associate</t>
        </is>
      </c>
      <c r="F92" s="4" t="n">
        <v>44</v>
      </c>
      <c r="G92" t="inlineStr">
        <is>
          <t>Undergraduates</t>
        </is>
      </c>
      <c r="H92" t="inlineStr">
        <is>
          <t>All</t>
        </is>
      </c>
      <c r="I92" t="inlineStr">
        <is>
          <t>All</t>
        </is>
      </c>
      <c r="J92" t="inlineStr">
        <is>
          <t>All</t>
        </is>
      </c>
      <c r="K92" t="inlineStr">
        <is>
          <t>All</t>
        </is>
      </c>
      <c r="L92" t="inlineStr">
        <is>
          <t>Whole Number or Round to Nearest Tenths</t>
        </is>
      </c>
    </row>
    <row r="93">
      <c r="A93" t="inlineStr">
        <is>
          <t>J170</t>
        </is>
      </c>
      <c r="B93" s="2" t="inlineStr">
        <is>
          <t xml:space="preserve">Social sciences </t>
        </is>
      </c>
      <c r="D93" t="inlineStr">
        <is>
          <t>Disciplinary Areas of Degrees Conferred</t>
        </is>
      </c>
      <c r="E93" t="inlineStr">
        <is>
          <t>Associate</t>
        </is>
      </c>
      <c r="F93" s="4" t="n">
        <v>45</v>
      </c>
      <c r="G93" t="inlineStr">
        <is>
          <t>Undergraduates</t>
        </is>
      </c>
      <c r="H93" t="inlineStr">
        <is>
          <t>All</t>
        </is>
      </c>
      <c r="I93" t="inlineStr">
        <is>
          <t>All</t>
        </is>
      </c>
      <c r="J93" t="inlineStr">
        <is>
          <t>All</t>
        </is>
      </c>
      <c r="K93" t="inlineStr">
        <is>
          <t>All</t>
        </is>
      </c>
      <c r="L93" t="inlineStr">
        <is>
          <t>Whole Number or Round to Nearest Tenths</t>
        </is>
      </c>
    </row>
    <row r="94">
      <c r="A94" t="inlineStr">
        <is>
          <t>J171</t>
        </is>
      </c>
      <c r="B94" s="2" t="inlineStr">
        <is>
          <t>Construction trades</t>
        </is>
      </c>
      <c r="D94" t="inlineStr">
        <is>
          <t>Disciplinary Areas of Degrees Conferred</t>
        </is>
      </c>
      <c r="E94" t="inlineStr">
        <is>
          <t>Associate</t>
        </is>
      </c>
      <c r="F94" s="4" t="n">
        <v>46</v>
      </c>
      <c r="G94" t="inlineStr">
        <is>
          <t>Undergraduates</t>
        </is>
      </c>
      <c r="H94" t="inlineStr">
        <is>
          <t>All</t>
        </is>
      </c>
      <c r="I94" t="inlineStr">
        <is>
          <t>All</t>
        </is>
      </c>
      <c r="J94" t="inlineStr">
        <is>
          <t>All</t>
        </is>
      </c>
      <c r="K94" t="inlineStr">
        <is>
          <t>All</t>
        </is>
      </c>
      <c r="L94" t="inlineStr">
        <is>
          <t>Whole Number or Round to Nearest Tenths</t>
        </is>
      </c>
    </row>
    <row r="95">
      <c r="A95" t="inlineStr">
        <is>
          <t>J172</t>
        </is>
      </c>
      <c r="B95" s="2" t="inlineStr">
        <is>
          <t>Mechanic and repair technologies</t>
        </is>
      </c>
      <c r="D95" t="inlineStr">
        <is>
          <t>Disciplinary Areas of Degrees Conferred</t>
        </is>
      </c>
      <c r="E95" t="inlineStr">
        <is>
          <t>Associate</t>
        </is>
      </c>
      <c r="F95" s="4" t="n">
        <v>47</v>
      </c>
      <c r="G95" t="inlineStr">
        <is>
          <t>Undergraduates</t>
        </is>
      </c>
      <c r="H95" t="inlineStr">
        <is>
          <t>All</t>
        </is>
      </c>
      <c r="I95" t="inlineStr">
        <is>
          <t>All</t>
        </is>
      </c>
      <c r="J95" t="inlineStr">
        <is>
          <t>All</t>
        </is>
      </c>
      <c r="K95" t="inlineStr">
        <is>
          <t>All</t>
        </is>
      </c>
      <c r="L95" t="inlineStr">
        <is>
          <t>Whole Number or Round to Nearest Tenths</t>
        </is>
      </c>
    </row>
    <row r="96">
      <c r="A96" t="inlineStr">
        <is>
          <t>J173</t>
        </is>
      </c>
      <c r="B96" s="2" t="inlineStr">
        <is>
          <t>Precision production</t>
        </is>
      </c>
      <c r="D96" t="inlineStr">
        <is>
          <t>Disciplinary Areas of Degrees Conferred</t>
        </is>
      </c>
      <c r="E96" t="inlineStr">
        <is>
          <t>Associate</t>
        </is>
      </c>
      <c r="F96" s="4" t="n">
        <v>48</v>
      </c>
      <c r="G96" t="inlineStr">
        <is>
          <t>Undergraduates</t>
        </is>
      </c>
      <c r="H96" t="inlineStr">
        <is>
          <t>All</t>
        </is>
      </c>
      <c r="I96" t="inlineStr">
        <is>
          <t>All</t>
        </is>
      </c>
      <c r="J96" t="inlineStr">
        <is>
          <t>All</t>
        </is>
      </c>
      <c r="K96" t="inlineStr">
        <is>
          <t>All</t>
        </is>
      </c>
      <c r="L96" t="inlineStr">
        <is>
          <t>Whole Number or Round to Nearest Tenths</t>
        </is>
      </c>
    </row>
    <row r="97">
      <c r="A97" t="inlineStr">
        <is>
          <t>J174</t>
        </is>
      </c>
      <c r="B97" s="2" t="inlineStr">
        <is>
          <t>Transportation and materials moving</t>
        </is>
      </c>
      <c r="D97" t="inlineStr">
        <is>
          <t>Disciplinary Areas of Degrees Conferred</t>
        </is>
      </c>
      <c r="E97" t="inlineStr">
        <is>
          <t>Associate</t>
        </is>
      </c>
      <c r="F97" s="4" t="n">
        <v>49</v>
      </c>
      <c r="G97" t="inlineStr">
        <is>
          <t>Undergraduates</t>
        </is>
      </c>
      <c r="H97" t="inlineStr">
        <is>
          <t>All</t>
        </is>
      </c>
      <c r="I97" t="inlineStr">
        <is>
          <t>All</t>
        </is>
      </c>
      <c r="J97" t="inlineStr">
        <is>
          <t>All</t>
        </is>
      </c>
      <c r="K97" t="inlineStr">
        <is>
          <t>All</t>
        </is>
      </c>
      <c r="L97" t="inlineStr">
        <is>
          <t>Whole Number or Round to Nearest Tenths</t>
        </is>
      </c>
    </row>
    <row r="98">
      <c r="A98" t="inlineStr">
        <is>
          <t>J175</t>
        </is>
      </c>
      <c r="B98" s="2" t="inlineStr">
        <is>
          <t>Visual and performing arts</t>
        </is>
      </c>
      <c r="D98" t="inlineStr">
        <is>
          <t>Disciplinary Areas of Degrees Conferred</t>
        </is>
      </c>
      <c r="E98" t="inlineStr">
        <is>
          <t>Associate</t>
        </is>
      </c>
      <c r="F98" s="4" t="n">
        <v>50</v>
      </c>
      <c r="G98" t="inlineStr">
        <is>
          <t>Undergraduates</t>
        </is>
      </c>
      <c r="H98" t="inlineStr">
        <is>
          <t>All</t>
        </is>
      </c>
      <c r="I98" t="inlineStr">
        <is>
          <t>All</t>
        </is>
      </c>
      <c r="J98" t="inlineStr">
        <is>
          <t>All</t>
        </is>
      </c>
      <c r="K98" t="inlineStr">
        <is>
          <t>All</t>
        </is>
      </c>
      <c r="L98" t="inlineStr">
        <is>
          <t>Whole Number or Round to Nearest Tenths</t>
        </is>
      </c>
    </row>
    <row r="99" ht="32.1" customHeight="1" s="44">
      <c r="A99" t="inlineStr">
        <is>
          <t>J176</t>
        </is>
      </c>
      <c r="B99" s="2" t="inlineStr">
        <is>
          <t>Health professions and related programs</t>
        </is>
      </c>
      <c r="D99" t="inlineStr">
        <is>
          <t>Disciplinary Areas of Degrees Conferred</t>
        </is>
      </c>
      <c r="E99" t="inlineStr">
        <is>
          <t>Associate</t>
        </is>
      </c>
      <c r="F99" s="4" t="n">
        <v>51</v>
      </c>
      <c r="G99" t="inlineStr">
        <is>
          <t>Undergraduates</t>
        </is>
      </c>
      <c r="H99" t="inlineStr">
        <is>
          <t>All</t>
        </is>
      </c>
      <c r="I99" t="inlineStr">
        <is>
          <t>All</t>
        </is>
      </c>
      <c r="J99" t="inlineStr">
        <is>
          <t>All</t>
        </is>
      </c>
      <c r="K99" t="inlineStr">
        <is>
          <t>All</t>
        </is>
      </c>
      <c r="L99" t="inlineStr">
        <is>
          <t>Whole Number or Round to Nearest Tenths</t>
        </is>
      </c>
    </row>
    <row r="100">
      <c r="A100" t="inlineStr">
        <is>
          <t>J177</t>
        </is>
      </c>
      <c r="B100" s="2" t="inlineStr">
        <is>
          <t>Business/marketing</t>
        </is>
      </c>
      <c r="D100" t="inlineStr">
        <is>
          <t>Disciplinary Areas of Degrees Conferred</t>
        </is>
      </c>
      <c r="E100" t="inlineStr">
        <is>
          <t>Associate</t>
        </is>
      </c>
      <c r="F100" s="4" t="n">
        <v>52</v>
      </c>
      <c r="G100" t="inlineStr">
        <is>
          <t>Undergraduates</t>
        </is>
      </c>
      <c r="H100" t="inlineStr">
        <is>
          <t>All</t>
        </is>
      </c>
      <c r="I100" t="inlineStr">
        <is>
          <t>All</t>
        </is>
      </c>
      <c r="J100" t="inlineStr">
        <is>
          <t>All</t>
        </is>
      </c>
      <c r="K100" t="inlineStr">
        <is>
          <t>All</t>
        </is>
      </c>
      <c r="L100" t="inlineStr">
        <is>
          <t>Whole Number or Round to Nearest Tenths</t>
        </is>
      </c>
    </row>
    <row r="101">
      <c r="A101" t="inlineStr">
        <is>
          <t>J178</t>
        </is>
      </c>
      <c r="B101" s="2" t="inlineStr">
        <is>
          <t>History</t>
        </is>
      </c>
      <c r="D101" t="inlineStr">
        <is>
          <t>Disciplinary Areas of Degrees Conferred</t>
        </is>
      </c>
      <c r="E101" t="inlineStr">
        <is>
          <t>Associate</t>
        </is>
      </c>
      <c r="F101" s="4" t="n">
        <v>54</v>
      </c>
      <c r="G101" t="inlineStr">
        <is>
          <t>Undergraduates</t>
        </is>
      </c>
      <c r="H101" t="inlineStr">
        <is>
          <t>All</t>
        </is>
      </c>
      <c r="I101" t="inlineStr">
        <is>
          <t>All</t>
        </is>
      </c>
      <c r="J101" t="inlineStr">
        <is>
          <t>All</t>
        </is>
      </c>
      <c r="K101" t="inlineStr">
        <is>
          <t>All</t>
        </is>
      </c>
      <c r="L101" t="inlineStr">
        <is>
          <t>Whole Number or Round to Nearest Tenths</t>
        </is>
      </c>
    </row>
    <row r="102">
      <c r="A102" t="inlineStr">
        <is>
          <t>J179</t>
        </is>
      </c>
      <c r="B102" s="2" t="inlineStr">
        <is>
          <t>Other</t>
        </is>
      </c>
      <c r="D102" t="inlineStr">
        <is>
          <t>Disciplinary Areas of Degrees Conferred</t>
        </is>
      </c>
      <c r="E102" t="inlineStr">
        <is>
          <t>Associate</t>
        </is>
      </c>
      <c r="F102" s="4" t="inlineStr">
        <is>
          <t>Other</t>
        </is>
      </c>
      <c r="G102" t="inlineStr">
        <is>
          <t>Undergraduates</t>
        </is>
      </c>
      <c r="H102" t="inlineStr">
        <is>
          <t>All</t>
        </is>
      </c>
      <c r="I102" t="inlineStr">
        <is>
          <t>All</t>
        </is>
      </c>
      <c r="J102" t="inlineStr">
        <is>
          <t>All</t>
        </is>
      </c>
      <c r="K102" t="inlineStr">
        <is>
          <t>All</t>
        </is>
      </c>
      <c r="L102" t="inlineStr">
        <is>
          <t>Whole Number or Round to Nearest Tenths</t>
        </is>
      </c>
    </row>
    <row r="103">
      <c r="A103" t="inlineStr">
        <is>
          <t>J180</t>
        </is>
      </c>
      <c r="B103" t="inlineStr">
        <is>
          <t>TOTAL (should = 100%)</t>
        </is>
      </c>
      <c r="C103">
        <f>SUM(C64:C102)</f>
        <v/>
      </c>
      <c r="D103" t="inlineStr">
        <is>
          <t>Disciplinary Areas of Degrees Conferred</t>
        </is>
      </c>
      <c r="E103" t="inlineStr">
        <is>
          <t>Associate</t>
        </is>
      </c>
      <c r="F103" s="4" t="inlineStr">
        <is>
          <t>Total</t>
        </is>
      </c>
      <c r="G103" t="inlineStr">
        <is>
          <t>Undergraduates</t>
        </is>
      </c>
      <c r="H103" t="inlineStr">
        <is>
          <t>All</t>
        </is>
      </c>
      <c r="I103" t="inlineStr">
        <is>
          <t>All</t>
        </is>
      </c>
      <c r="J103" t="inlineStr">
        <is>
          <t>All</t>
        </is>
      </c>
      <c r="K103" t="inlineStr">
        <is>
          <t>All</t>
        </is>
      </c>
      <c r="L103" t="inlineStr">
        <is>
          <t>Whole Number or Round to Nearest Tenths</t>
        </is>
      </c>
    </row>
    <row r="104"/>
    <row r="105"/>
    <row r="106"/>
    <row r="107"/>
    <row r="108"/>
    <row r="109" ht="23.1" customHeight="1" s="44"/>
    <row r="110">
      <c r="A110" t="inlineStr">
        <is>
          <t>J181</t>
        </is>
      </c>
      <c r="B110" s="2" t="inlineStr">
        <is>
          <t>Agriculture</t>
        </is>
      </c>
      <c r="C110" t="n">
        <v>1.6</v>
      </c>
      <c r="D110" t="inlineStr">
        <is>
          <t>Disciplinary Areas of Degrees Conferred</t>
        </is>
      </c>
      <c r="E110" t="inlineStr">
        <is>
          <t>Bachelors</t>
        </is>
      </c>
      <c r="F110" s="4" t="inlineStr">
        <is>
          <t>01</t>
        </is>
      </c>
      <c r="G110" t="inlineStr">
        <is>
          <t>Undergraduates</t>
        </is>
      </c>
      <c r="H110" t="inlineStr">
        <is>
          <t>All</t>
        </is>
      </c>
      <c r="I110" t="inlineStr">
        <is>
          <t>All</t>
        </is>
      </c>
      <c r="J110" t="inlineStr">
        <is>
          <t>All</t>
        </is>
      </c>
      <c r="K110" t="inlineStr">
        <is>
          <t>All</t>
        </is>
      </c>
      <c r="L110" t="inlineStr">
        <is>
          <t>Whole Number or Round to Nearest Tenths</t>
        </is>
      </c>
    </row>
    <row r="111">
      <c r="A111" t="inlineStr">
        <is>
          <t>J182</t>
        </is>
      </c>
      <c r="B111" s="2" t="inlineStr">
        <is>
          <t>Natural resources and conservation</t>
        </is>
      </c>
      <c r="C111" t="n">
        <v>1.9</v>
      </c>
      <c r="D111" t="inlineStr">
        <is>
          <t>Disciplinary Areas of Degrees Conferred</t>
        </is>
      </c>
      <c r="E111" t="inlineStr">
        <is>
          <t>Bachelors</t>
        </is>
      </c>
      <c r="F111" s="4" t="inlineStr">
        <is>
          <t>03</t>
        </is>
      </c>
      <c r="G111" t="inlineStr">
        <is>
          <t>Undergraduates</t>
        </is>
      </c>
      <c r="H111" t="inlineStr">
        <is>
          <t>All</t>
        </is>
      </c>
      <c r="I111" t="inlineStr">
        <is>
          <t>All</t>
        </is>
      </c>
      <c r="J111" t="inlineStr">
        <is>
          <t>All</t>
        </is>
      </c>
      <c r="K111" t="inlineStr">
        <is>
          <t>All</t>
        </is>
      </c>
      <c r="L111" t="inlineStr">
        <is>
          <t>Whole Number or Round to Nearest Tenths</t>
        </is>
      </c>
    </row>
    <row r="112">
      <c r="A112" t="inlineStr">
        <is>
          <t>J183</t>
        </is>
      </c>
      <c r="B112" s="2" t="inlineStr">
        <is>
          <t>Architecture</t>
        </is>
      </c>
      <c r="C112" t="n">
        <v>0.2</v>
      </c>
      <c r="D112" t="inlineStr">
        <is>
          <t>Disciplinary Areas of Degrees Conferred</t>
        </is>
      </c>
      <c r="E112" t="inlineStr">
        <is>
          <t>Bachelors</t>
        </is>
      </c>
      <c r="F112" s="4" t="inlineStr">
        <is>
          <t>04</t>
        </is>
      </c>
      <c r="G112" t="inlineStr">
        <is>
          <t>Undergraduates</t>
        </is>
      </c>
      <c r="H112" t="inlineStr">
        <is>
          <t>All</t>
        </is>
      </c>
      <c r="I112" t="inlineStr">
        <is>
          <t>All</t>
        </is>
      </c>
      <c r="J112" t="inlineStr">
        <is>
          <t>All</t>
        </is>
      </c>
      <c r="K112" t="inlineStr">
        <is>
          <t>All</t>
        </is>
      </c>
      <c r="L112" t="inlineStr">
        <is>
          <t>Whole Number or Round to Nearest Tenths</t>
        </is>
      </c>
    </row>
    <row r="113">
      <c r="A113" t="inlineStr">
        <is>
          <t>J184</t>
        </is>
      </c>
      <c r="B113" s="2" t="inlineStr">
        <is>
          <t>Area, ethnic, and gender studies</t>
        </is>
      </c>
      <c r="C113" t="n">
        <v>0.7</v>
      </c>
      <c r="D113" t="inlineStr">
        <is>
          <t>Disciplinary Areas of Degrees Conferred</t>
        </is>
      </c>
      <c r="E113" t="inlineStr">
        <is>
          <t>Bachelors</t>
        </is>
      </c>
      <c r="F113" s="4" t="inlineStr">
        <is>
          <t>05</t>
        </is>
      </c>
      <c r="G113" t="inlineStr">
        <is>
          <t>Undergraduates</t>
        </is>
      </c>
      <c r="H113" t="inlineStr">
        <is>
          <t>All</t>
        </is>
      </c>
      <c r="I113" t="inlineStr">
        <is>
          <t>All</t>
        </is>
      </c>
      <c r="J113" t="inlineStr">
        <is>
          <t>All</t>
        </is>
      </c>
      <c r="K113" t="inlineStr">
        <is>
          <t>All</t>
        </is>
      </c>
      <c r="L113" t="inlineStr">
        <is>
          <t>Whole Number or Round to Nearest Tenths</t>
        </is>
      </c>
    </row>
    <row r="114">
      <c r="A114" t="inlineStr">
        <is>
          <t>J185</t>
        </is>
      </c>
      <c r="B114" s="2" t="inlineStr">
        <is>
          <t>Communication/journalism</t>
        </is>
      </c>
      <c r="C114" t="n">
        <v>4.1</v>
      </c>
      <c r="D114" t="inlineStr">
        <is>
          <t>Disciplinary Areas of Degrees Conferred</t>
        </is>
      </c>
      <c r="E114" t="inlineStr">
        <is>
          <t>Bachelors</t>
        </is>
      </c>
      <c r="F114" s="4" t="inlineStr">
        <is>
          <t>09</t>
        </is>
      </c>
      <c r="G114" t="inlineStr">
        <is>
          <t>Undergraduates</t>
        </is>
      </c>
      <c r="H114" t="inlineStr">
        <is>
          <t>All</t>
        </is>
      </c>
      <c r="I114" t="inlineStr">
        <is>
          <t>All</t>
        </is>
      </c>
      <c r="J114" t="inlineStr">
        <is>
          <t>All</t>
        </is>
      </c>
      <c r="K114" t="inlineStr">
        <is>
          <t>All</t>
        </is>
      </c>
      <c r="L114" t="inlineStr">
        <is>
          <t>Whole Number or Round to Nearest Tenths</t>
        </is>
      </c>
    </row>
    <row r="115">
      <c r="A115" t="inlineStr">
        <is>
          <t>J186</t>
        </is>
      </c>
      <c r="B115" s="2" t="inlineStr">
        <is>
          <t>Communication technologies</t>
        </is>
      </c>
      <c r="D115" t="inlineStr">
        <is>
          <t>Disciplinary Areas of Degrees Conferred</t>
        </is>
      </c>
      <c r="E115" t="inlineStr">
        <is>
          <t>Bachelors</t>
        </is>
      </c>
      <c r="F115" s="4" t="n">
        <v>10</v>
      </c>
      <c r="G115" t="inlineStr">
        <is>
          <t>Undergraduates</t>
        </is>
      </c>
      <c r="H115" t="inlineStr">
        <is>
          <t>All</t>
        </is>
      </c>
      <c r="I115" t="inlineStr">
        <is>
          <t>All</t>
        </is>
      </c>
      <c r="J115" t="inlineStr">
        <is>
          <t>All</t>
        </is>
      </c>
      <c r="K115" t="inlineStr">
        <is>
          <t>All</t>
        </is>
      </c>
      <c r="L115" t="inlineStr">
        <is>
          <t>Whole Number or Round to Nearest Tenths</t>
        </is>
      </c>
    </row>
    <row r="116">
      <c r="A116" t="inlineStr">
        <is>
          <t>J187</t>
        </is>
      </c>
      <c r="B116" s="2" t="inlineStr">
        <is>
          <t>Computer and information sciences</t>
        </is>
      </c>
      <c r="C116" t="n">
        <v>8.6</v>
      </c>
      <c r="D116" t="inlineStr">
        <is>
          <t>Disciplinary Areas of Degrees Conferred</t>
        </is>
      </c>
      <c r="E116" t="inlineStr">
        <is>
          <t>Bachelors</t>
        </is>
      </c>
      <c r="F116" s="4" t="n">
        <v>11</v>
      </c>
      <c r="G116" t="inlineStr">
        <is>
          <t>Undergraduates</t>
        </is>
      </c>
      <c r="H116" t="inlineStr">
        <is>
          <t>All</t>
        </is>
      </c>
      <c r="I116" t="inlineStr">
        <is>
          <t>All</t>
        </is>
      </c>
      <c r="J116" t="inlineStr">
        <is>
          <t>All</t>
        </is>
      </c>
      <c r="K116" t="inlineStr">
        <is>
          <t>All</t>
        </is>
      </c>
      <c r="L116" t="inlineStr">
        <is>
          <t>Whole Number or Round to Nearest Tenths</t>
        </is>
      </c>
    </row>
    <row r="117">
      <c r="A117" t="inlineStr">
        <is>
          <t>J188</t>
        </is>
      </c>
      <c r="B117" s="2" t="inlineStr">
        <is>
          <t>Personal and culinary services</t>
        </is>
      </c>
      <c r="D117" t="inlineStr">
        <is>
          <t>Disciplinary Areas of Degrees Conferred</t>
        </is>
      </c>
      <c r="E117" t="inlineStr">
        <is>
          <t>Bachelors</t>
        </is>
      </c>
      <c r="F117" s="4" t="n">
        <v>12</v>
      </c>
      <c r="G117" t="inlineStr">
        <is>
          <t>Undergraduates</t>
        </is>
      </c>
      <c r="H117" t="inlineStr">
        <is>
          <t>All</t>
        </is>
      </c>
      <c r="I117" t="inlineStr">
        <is>
          <t>All</t>
        </is>
      </c>
      <c r="J117" t="inlineStr">
        <is>
          <t>All</t>
        </is>
      </c>
      <c r="K117" t="inlineStr">
        <is>
          <t>All</t>
        </is>
      </c>
      <c r="L117" t="inlineStr">
        <is>
          <t>Whole Number or Round to Nearest Tenths</t>
        </is>
      </c>
    </row>
    <row r="118">
      <c r="A118" t="inlineStr">
        <is>
          <t>J189</t>
        </is>
      </c>
      <c r="B118" s="2" t="inlineStr">
        <is>
          <t>Education</t>
        </is>
      </c>
      <c r="C118" t="n">
        <v>2.1</v>
      </c>
      <c r="D118" t="inlineStr">
        <is>
          <t>Disciplinary Areas of Degrees Conferred</t>
        </is>
      </c>
      <c r="E118" t="inlineStr">
        <is>
          <t>Bachelors</t>
        </is>
      </c>
      <c r="F118" s="4" t="n">
        <v>13</v>
      </c>
      <c r="G118" t="inlineStr">
        <is>
          <t>Undergraduates</t>
        </is>
      </c>
      <c r="H118" t="inlineStr">
        <is>
          <t>All</t>
        </is>
      </c>
      <c r="I118" t="inlineStr">
        <is>
          <t>All</t>
        </is>
      </c>
      <c r="J118" t="inlineStr">
        <is>
          <t>All</t>
        </is>
      </c>
      <c r="K118" t="inlineStr">
        <is>
          <t>All</t>
        </is>
      </c>
      <c r="L118" t="inlineStr">
        <is>
          <t>Whole Number or Round to Nearest Tenths</t>
        </is>
      </c>
    </row>
    <row r="119">
      <c r="A119" t="inlineStr">
        <is>
          <t>J190</t>
        </is>
      </c>
      <c r="B119" s="2" t="inlineStr">
        <is>
          <t>Engineering</t>
        </is>
      </c>
      <c r="C119" t="n">
        <v>9.699999999999999</v>
      </c>
      <c r="D119" t="inlineStr">
        <is>
          <t>Disciplinary Areas of Degrees Conferred</t>
        </is>
      </c>
      <c r="E119" t="inlineStr">
        <is>
          <t>Bachelors</t>
        </is>
      </c>
      <c r="F119" s="4" t="n">
        <v>14</v>
      </c>
      <c r="G119" t="inlineStr">
        <is>
          <t>Undergraduates</t>
        </is>
      </c>
      <c r="H119" t="inlineStr">
        <is>
          <t>All</t>
        </is>
      </c>
      <c r="I119" t="inlineStr">
        <is>
          <t>All</t>
        </is>
      </c>
      <c r="J119" t="inlineStr">
        <is>
          <t>All</t>
        </is>
      </c>
      <c r="K119" t="inlineStr">
        <is>
          <t>All</t>
        </is>
      </c>
      <c r="L119" t="inlineStr">
        <is>
          <t>Whole Number or Round to Nearest Tenths</t>
        </is>
      </c>
    </row>
    <row r="120" ht="15.6" customHeight="1" s="44">
      <c r="A120" t="inlineStr">
        <is>
          <t>J191</t>
        </is>
      </c>
      <c r="B120" s="2" t="inlineStr">
        <is>
          <t>Engineering technologies</t>
        </is>
      </c>
      <c r="D120" t="inlineStr">
        <is>
          <t>Disciplinary Areas of Degrees Conferred</t>
        </is>
      </c>
      <c r="E120" t="inlineStr">
        <is>
          <t>Bachelors</t>
        </is>
      </c>
      <c r="F120" s="4" t="n">
        <v>15</v>
      </c>
      <c r="G120" t="inlineStr">
        <is>
          <t>Undergraduates</t>
        </is>
      </c>
      <c r="H120" t="inlineStr">
        <is>
          <t>All</t>
        </is>
      </c>
      <c r="I120" t="inlineStr">
        <is>
          <t>All</t>
        </is>
      </c>
      <c r="J120" t="inlineStr">
        <is>
          <t>All</t>
        </is>
      </c>
      <c r="K120" t="inlineStr">
        <is>
          <t>All</t>
        </is>
      </c>
      <c r="L120" t="inlineStr">
        <is>
          <t>Whole Number or Round to Nearest Tenths</t>
        </is>
      </c>
    </row>
    <row r="121" ht="30" customHeight="1" s="44">
      <c r="A121" t="inlineStr">
        <is>
          <t>J192</t>
        </is>
      </c>
      <c r="B121" s="2" t="inlineStr">
        <is>
          <t>Foreign languages, literatures, and linguistics</t>
        </is>
      </c>
      <c r="C121" t="n">
        <v>2.1</v>
      </c>
      <c r="D121" t="inlineStr">
        <is>
          <t>Disciplinary Areas of Degrees Conferred</t>
        </is>
      </c>
      <c r="E121" t="inlineStr">
        <is>
          <t>Bachelors</t>
        </is>
      </c>
      <c r="F121" s="4" t="n">
        <v>16</v>
      </c>
      <c r="G121" t="inlineStr">
        <is>
          <t>Undergraduates</t>
        </is>
      </c>
      <c r="H121" t="inlineStr">
        <is>
          <t>All</t>
        </is>
      </c>
      <c r="I121" t="inlineStr">
        <is>
          <t>All</t>
        </is>
      </c>
      <c r="J121" t="inlineStr">
        <is>
          <t>All</t>
        </is>
      </c>
      <c r="K121" t="inlineStr">
        <is>
          <t>All</t>
        </is>
      </c>
      <c r="L121" t="inlineStr">
        <is>
          <t>Whole Number or Round to Nearest Tenths</t>
        </is>
      </c>
    </row>
    <row r="122">
      <c r="A122" t="inlineStr">
        <is>
          <t>J193</t>
        </is>
      </c>
      <c r="B122" s="2" t="inlineStr">
        <is>
          <t>Family and consumer sciences</t>
        </is>
      </c>
      <c r="C122" t="n">
        <v>1.5</v>
      </c>
      <c r="D122" t="inlineStr">
        <is>
          <t>Disciplinary Areas of Degrees Conferred</t>
        </is>
      </c>
      <c r="E122" t="inlineStr">
        <is>
          <t>Bachelors</t>
        </is>
      </c>
      <c r="F122" s="4" t="n">
        <v>19</v>
      </c>
      <c r="G122" t="inlineStr">
        <is>
          <t>Undergraduates</t>
        </is>
      </c>
      <c r="H122" t="inlineStr">
        <is>
          <t>All</t>
        </is>
      </c>
      <c r="I122" t="inlineStr">
        <is>
          <t>All</t>
        </is>
      </c>
      <c r="J122" t="inlineStr">
        <is>
          <t>All</t>
        </is>
      </c>
      <c r="K122" t="inlineStr">
        <is>
          <t>All</t>
        </is>
      </c>
      <c r="L122" t="inlineStr">
        <is>
          <t>Whole Number or Round to Nearest Tenths</t>
        </is>
      </c>
    </row>
    <row r="123">
      <c r="A123" t="inlineStr">
        <is>
          <t>J194</t>
        </is>
      </c>
      <c r="B123" s="2" t="inlineStr">
        <is>
          <t>Law/legal studies</t>
        </is>
      </c>
      <c r="C123" t="n">
        <v>1.4</v>
      </c>
      <c r="D123" t="inlineStr">
        <is>
          <t>Disciplinary Areas of Degrees Conferred</t>
        </is>
      </c>
      <c r="E123" t="inlineStr">
        <is>
          <t>Bachelors</t>
        </is>
      </c>
      <c r="F123" s="4" t="n">
        <v>22</v>
      </c>
      <c r="G123" t="inlineStr">
        <is>
          <t>Undergraduates</t>
        </is>
      </c>
      <c r="H123" t="inlineStr">
        <is>
          <t>All</t>
        </is>
      </c>
      <c r="I123" t="inlineStr">
        <is>
          <t>All</t>
        </is>
      </c>
      <c r="J123" t="inlineStr">
        <is>
          <t>All</t>
        </is>
      </c>
      <c r="K123" t="inlineStr">
        <is>
          <t>All</t>
        </is>
      </c>
      <c r="L123" t="inlineStr">
        <is>
          <t>Whole Number or Round to Nearest Tenths</t>
        </is>
      </c>
    </row>
    <row r="124">
      <c r="A124" t="inlineStr">
        <is>
          <t>J195</t>
        </is>
      </c>
      <c r="B124" s="2" t="inlineStr">
        <is>
          <t>English</t>
        </is>
      </c>
      <c r="C124" t="n">
        <v>0.9</v>
      </c>
      <c r="D124" t="inlineStr">
        <is>
          <t>Disciplinary Areas of Degrees Conferred</t>
        </is>
      </c>
      <c r="E124" t="inlineStr">
        <is>
          <t>Bachelors</t>
        </is>
      </c>
      <c r="F124" s="4" t="n">
        <v>23</v>
      </c>
      <c r="G124" t="inlineStr">
        <is>
          <t>Undergraduates</t>
        </is>
      </c>
      <c r="H124" t="inlineStr">
        <is>
          <t>All</t>
        </is>
      </c>
      <c r="I124" t="inlineStr">
        <is>
          <t>All</t>
        </is>
      </c>
      <c r="J124" t="inlineStr">
        <is>
          <t>All</t>
        </is>
      </c>
      <c r="K124" t="inlineStr">
        <is>
          <t>All</t>
        </is>
      </c>
      <c r="L124" t="inlineStr">
        <is>
          <t>Whole Number or Round to Nearest Tenths</t>
        </is>
      </c>
    </row>
    <row r="125">
      <c r="A125" t="inlineStr">
        <is>
          <t>J196</t>
        </is>
      </c>
      <c r="B125" s="2" t="inlineStr">
        <is>
          <t>Liberal arts/general studies</t>
        </is>
      </c>
      <c r="D125" t="inlineStr">
        <is>
          <t>Disciplinary Areas of Degrees Conferred</t>
        </is>
      </c>
      <c r="E125" t="inlineStr">
        <is>
          <t>Bachelors</t>
        </is>
      </c>
      <c r="F125" s="4" t="n">
        <v>24</v>
      </c>
      <c r="G125" t="inlineStr">
        <is>
          <t>Undergraduates</t>
        </is>
      </c>
      <c r="H125" t="inlineStr">
        <is>
          <t>All</t>
        </is>
      </c>
      <c r="I125" t="inlineStr">
        <is>
          <t>All</t>
        </is>
      </c>
      <c r="J125" t="inlineStr">
        <is>
          <t>All</t>
        </is>
      </c>
      <c r="K125" t="inlineStr">
        <is>
          <t>All</t>
        </is>
      </c>
      <c r="L125" t="inlineStr">
        <is>
          <t>Whole Number or Round to Nearest Tenths</t>
        </is>
      </c>
    </row>
    <row r="126">
      <c r="A126" t="inlineStr">
        <is>
          <t>J197</t>
        </is>
      </c>
      <c r="B126" s="2" t="inlineStr">
        <is>
          <t>Library science</t>
        </is>
      </c>
      <c r="D126" t="inlineStr">
        <is>
          <t>Disciplinary Areas of Degrees Conferred</t>
        </is>
      </c>
      <c r="E126" t="inlineStr">
        <is>
          <t>Bachelors</t>
        </is>
      </c>
      <c r="F126" s="4" t="n">
        <v>25</v>
      </c>
      <c r="G126" t="inlineStr">
        <is>
          <t>Undergraduates</t>
        </is>
      </c>
      <c r="H126" t="inlineStr">
        <is>
          <t>All</t>
        </is>
      </c>
      <c r="I126" t="inlineStr">
        <is>
          <t>All</t>
        </is>
      </c>
      <c r="J126" t="inlineStr">
        <is>
          <t>All</t>
        </is>
      </c>
      <c r="K126" t="inlineStr">
        <is>
          <t>All</t>
        </is>
      </c>
      <c r="L126" t="inlineStr">
        <is>
          <t>Whole Number or Round to Nearest Tenths</t>
        </is>
      </c>
    </row>
    <row r="127">
      <c r="A127" t="inlineStr">
        <is>
          <t>J198</t>
        </is>
      </c>
      <c r="B127" s="2" t="inlineStr">
        <is>
          <t>Biological/life sciences</t>
        </is>
      </c>
      <c r="C127" t="n">
        <v>11.4</v>
      </c>
      <c r="D127" t="inlineStr">
        <is>
          <t>Disciplinary Areas of Degrees Conferred</t>
        </is>
      </c>
      <c r="E127" t="inlineStr">
        <is>
          <t>Bachelors</t>
        </is>
      </c>
      <c r="F127" s="4" t="n">
        <v>26</v>
      </c>
      <c r="G127" t="inlineStr">
        <is>
          <t>Undergraduates</t>
        </is>
      </c>
      <c r="H127" t="inlineStr">
        <is>
          <t>All</t>
        </is>
      </c>
      <c r="I127" t="inlineStr">
        <is>
          <t>All</t>
        </is>
      </c>
      <c r="J127" t="inlineStr">
        <is>
          <t>All</t>
        </is>
      </c>
      <c r="K127" t="inlineStr">
        <is>
          <t>All</t>
        </is>
      </c>
      <c r="L127" t="inlineStr">
        <is>
          <t>Whole Number or Round to Nearest Tenths</t>
        </is>
      </c>
    </row>
    <row r="128">
      <c r="A128" t="inlineStr">
        <is>
          <t>J199</t>
        </is>
      </c>
      <c r="B128" s="2" t="inlineStr">
        <is>
          <t>Mathematics and statistics</t>
        </is>
      </c>
      <c r="C128" t="n">
        <v>2.8</v>
      </c>
      <c r="D128" t="inlineStr">
        <is>
          <t>Disciplinary Areas of Degrees Conferred</t>
        </is>
      </c>
      <c r="E128" t="inlineStr">
        <is>
          <t>Bachelors</t>
        </is>
      </c>
      <c r="F128" s="4" t="n">
        <v>27</v>
      </c>
      <c r="G128" t="inlineStr">
        <is>
          <t>Undergraduates</t>
        </is>
      </c>
      <c r="H128" t="inlineStr">
        <is>
          <t>All</t>
        </is>
      </c>
      <c r="I128" t="inlineStr">
        <is>
          <t>All</t>
        </is>
      </c>
      <c r="J128" t="inlineStr">
        <is>
          <t>All</t>
        </is>
      </c>
      <c r="K128" t="inlineStr">
        <is>
          <t>All</t>
        </is>
      </c>
      <c r="L128" t="inlineStr">
        <is>
          <t>Whole Number or Round to Nearest Tenths</t>
        </is>
      </c>
    </row>
    <row r="129">
      <c r="A129" t="inlineStr">
        <is>
          <t>J200</t>
        </is>
      </c>
      <c r="B129" s="2" t="inlineStr">
        <is>
          <t>Military science and military technologies</t>
        </is>
      </c>
      <c r="D129" t="inlineStr">
        <is>
          <t>Disciplinary Areas of Degrees Conferred</t>
        </is>
      </c>
      <c r="E129" t="inlineStr">
        <is>
          <t>Bachelors</t>
        </is>
      </c>
      <c r="F129" s="4" t="inlineStr">
        <is>
          <t>28 &amp; 29</t>
        </is>
      </c>
      <c r="G129" t="inlineStr">
        <is>
          <t>Undergraduates</t>
        </is>
      </c>
      <c r="H129" t="inlineStr">
        <is>
          <t>All</t>
        </is>
      </c>
      <c r="I129" t="inlineStr">
        <is>
          <t>All</t>
        </is>
      </c>
      <c r="J129" t="inlineStr">
        <is>
          <t>All</t>
        </is>
      </c>
      <c r="K129" t="inlineStr">
        <is>
          <t>All</t>
        </is>
      </c>
      <c r="L129" t="inlineStr">
        <is>
          <t>Whole Number or Round to Nearest Tenths</t>
        </is>
      </c>
    </row>
    <row r="130">
      <c r="A130" t="inlineStr">
        <is>
          <t>J201</t>
        </is>
      </c>
      <c r="B130" s="2" t="inlineStr">
        <is>
          <t>Interdisciplinary studies</t>
        </is>
      </c>
      <c r="C130" t="n">
        <v>6.6</v>
      </c>
      <c r="D130" t="inlineStr">
        <is>
          <t>Disciplinary Areas of Degrees Conferred</t>
        </is>
      </c>
      <c r="E130" t="inlineStr">
        <is>
          <t>Bachelors</t>
        </is>
      </c>
      <c r="F130" s="4" t="n">
        <v>30</v>
      </c>
      <c r="G130" t="inlineStr">
        <is>
          <t>Undergraduates</t>
        </is>
      </c>
      <c r="H130" t="inlineStr">
        <is>
          <t>All</t>
        </is>
      </c>
      <c r="I130" t="inlineStr">
        <is>
          <t>All</t>
        </is>
      </c>
      <c r="J130" t="inlineStr">
        <is>
          <t>All</t>
        </is>
      </c>
      <c r="K130" t="inlineStr">
        <is>
          <t>All</t>
        </is>
      </c>
      <c r="L130" t="inlineStr">
        <is>
          <t>Whole Number or Round to Nearest Tenths</t>
        </is>
      </c>
    </row>
    <row r="131">
      <c r="A131" t="inlineStr">
        <is>
          <t>J202</t>
        </is>
      </c>
      <c r="B131" s="2" t="inlineStr">
        <is>
          <t>Parks and recreation</t>
        </is>
      </c>
      <c r="C131" t="n">
        <v>2</v>
      </c>
      <c r="D131" t="inlineStr">
        <is>
          <t>Disciplinary Areas of Degrees Conferred</t>
        </is>
      </c>
      <c r="E131" t="inlineStr">
        <is>
          <t>Bachelors</t>
        </is>
      </c>
      <c r="F131" s="4" t="n">
        <v>31</v>
      </c>
      <c r="G131" t="inlineStr">
        <is>
          <t>Undergraduates</t>
        </is>
      </c>
      <c r="H131" t="inlineStr">
        <is>
          <t>All</t>
        </is>
      </c>
      <c r="I131" t="inlineStr">
        <is>
          <t>All</t>
        </is>
      </c>
      <c r="J131" t="inlineStr">
        <is>
          <t>All</t>
        </is>
      </c>
      <c r="K131" t="inlineStr">
        <is>
          <t>All</t>
        </is>
      </c>
      <c r="L131" t="inlineStr">
        <is>
          <t>Whole Number or Round to Nearest Tenths</t>
        </is>
      </c>
    </row>
    <row r="132">
      <c r="A132" t="inlineStr">
        <is>
          <t>J203</t>
        </is>
      </c>
      <c r="B132" s="2" t="inlineStr">
        <is>
          <t>Philosophy and religious studies</t>
        </is>
      </c>
      <c r="C132" t="n">
        <v>0.6</v>
      </c>
      <c r="D132" t="inlineStr">
        <is>
          <t>Disciplinary Areas of Degrees Conferred</t>
        </is>
      </c>
      <c r="E132" t="inlineStr">
        <is>
          <t>Bachelors</t>
        </is>
      </c>
      <c r="F132" s="4" t="n">
        <v>38</v>
      </c>
      <c r="G132" t="inlineStr">
        <is>
          <t>Undergraduates</t>
        </is>
      </c>
      <c r="H132" t="inlineStr">
        <is>
          <t>All</t>
        </is>
      </c>
      <c r="I132" t="inlineStr">
        <is>
          <t>All</t>
        </is>
      </c>
      <c r="J132" t="inlineStr">
        <is>
          <t>All</t>
        </is>
      </c>
      <c r="K132" t="inlineStr">
        <is>
          <t>All</t>
        </is>
      </c>
      <c r="L132" t="inlineStr">
        <is>
          <t>Whole Number or Round to Nearest Tenths</t>
        </is>
      </c>
    </row>
    <row r="133">
      <c r="A133" t="inlineStr">
        <is>
          <t>J204</t>
        </is>
      </c>
      <c r="B133" s="2" t="inlineStr">
        <is>
          <t>Theology and religious vocations</t>
        </is>
      </c>
      <c r="D133" t="inlineStr">
        <is>
          <t>Disciplinary Areas of Degrees Conferred</t>
        </is>
      </c>
      <c r="E133" t="inlineStr">
        <is>
          <t>Bachelors</t>
        </is>
      </c>
      <c r="F133" s="4" t="n">
        <v>39</v>
      </c>
      <c r="G133" t="inlineStr">
        <is>
          <t>Undergraduates</t>
        </is>
      </c>
      <c r="H133" t="inlineStr">
        <is>
          <t>All</t>
        </is>
      </c>
      <c r="I133" t="inlineStr">
        <is>
          <t>All</t>
        </is>
      </c>
      <c r="J133" t="inlineStr">
        <is>
          <t>All</t>
        </is>
      </c>
      <c r="K133" t="inlineStr">
        <is>
          <t>All</t>
        </is>
      </c>
      <c r="L133" t="inlineStr">
        <is>
          <t>Whole Number or Round to Nearest Tenths</t>
        </is>
      </c>
    </row>
    <row r="134">
      <c r="A134" t="inlineStr">
        <is>
          <t>J205</t>
        </is>
      </c>
      <c r="B134" s="2" t="inlineStr">
        <is>
          <t>Physical sciences</t>
        </is>
      </c>
      <c r="C134" t="n">
        <v>1.7</v>
      </c>
      <c r="D134" t="inlineStr">
        <is>
          <t>Disciplinary Areas of Degrees Conferred</t>
        </is>
      </c>
      <c r="E134" t="inlineStr">
        <is>
          <t>Bachelors</t>
        </is>
      </c>
      <c r="F134" s="4" t="n">
        <v>40</v>
      </c>
      <c r="G134" t="inlineStr">
        <is>
          <t>Undergraduates</t>
        </is>
      </c>
      <c r="H134" t="inlineStr">
        <is>
          <t>All</t>
        </is>
      </c>
      <c r="I134" t="inlineStr">
        <is>
          <t>All</t>
        </is>
      </c>
      <c r="J134" t="inlineStr">
        <is>
          <t>All</t>
        </is>
      </c>
      <c r="K134" t="inlineStr">
        <is>
          <t>All</t>
        </is>
      </c>
      <c r="L134" t="inlineStr">
        <is>
          <t>Whole Number or Round to Nearest Tenths</t>
        </is>
      </c>
    </row>
    <row r="135">
      <c r="A135" t="inlineStr">
        <is>
          <t>J206</t>
        </is>
      </c>
      <c r="B135" s="2" t="inlineStr">
        <is>
          <t>Science technologies</t>
        </is>
      </c>
      <c r="D135" t="inlineStr">
        <is>
          <t>Disciplinary Areas of Degrees Conferred</t>
        </is>
      </c>
      <c r="E135" t="inlineStr">
        <is>
          <t>Bachelors</t>
        </is>
      </c>
      <c r="F135" s="4" t="n">
        <v>41</v>
      </c>
      <c r="G135" t="inlineStr">
        <is>
          <t>Undergraduates</t>
        </is>
      </c>
      <c r="H135" t="inlineStr">
        <is>
          <t>All</t>
        </is>
      </c>
      <c r="I135" t="inlineStr">
        <is>
          <t>All</t>
        </is>
      </c>
      <c r="J135" t="inlineStr">
        <is>
          <t>All</t>
        </is>
      </c>
      <c r="K135" t="inlineStr">
        <is>
          <t>All</t>
        </is>
      </c>
      <c r="L135" t="inlineStr">
        <is>
          <t>Whole Number or Round to Nearest Tenths</t>
        </is>
      </c>
    </row>
    <row r="136">
      <c r="A136" t="inlineStr">
        <is>
          <t>J207</t>
        </is>
      </c>
      <c r="B136" s="2" t="inlineStr">
        <is>
          <t>Psychology</t>
        </is>
      </c>
      <c r="C136" t="n">
        <v>5.1</v>
      </c>
      <c r="D136" t="inlineStr">
        <is>
          <t>Disciplinary Areas of Degrees Conferred</t>
        </is>
      </c>
      <c r="E136" t="inlineStr">
        <is>
          <t>Bachelors</t>
        </is>
      </c>
      <c r="F136" s="4" t="n">
        <v>42</v>
      </c>
      <c r="G136" t="inlineStr">
        <is>
          <t>Undergraduates</t>
        </is>
      </c>
      <c r="H136" t="inlineStr">
        <is>
          <t>All</t>
        </is>
      </c>
      <c r="I136" t="inlineStr">
        <is>
          <t>All</t>
        </is>
      </c>
      <c r="J136" t="inlineStr">
        <is>
          <t>All</t>
        </is>
      </c>
      <c r="K136" t="inlineStr">
        <is>
          <t>All</t>
        </is>
      </c>
      <c r="L136" t="inlineStr">
        <is>
          <t>Whole Number or Round to Nearest Tenths</t>
        </is>
      </c>
    </row>
    <row r="137" ht="30" customHeight="1" s="44">
      <c r="A137" t="inlineStr">
        <is>
          <t>J208</t>
        </is>
      </c>
      <c r="B137" s="2" t="inlineStr">
        <is>
          <t>Homeland Security, law enforcement, firefighting, and protective services</t>
        </is>
      </c>
      <c r="D137" t="inlineStr">
        <is>
          <t>Disciplinary Areas of Degrees Conferred</t>
        </is>
      </c>
      <c r="E137" t="inlineStr">
        <is>
          <t>Bachelors</t>
        </is>
      </c>
      <c r="F137" s="4" t="n">
        <v>43</v>
      </c>
      <c r="G137" t="inlineStr">
        <is>
          <t>Undergraduates</t>
        </is>
      </c>
      <c r="H137" t="inlineStr">
        <is>
          <t>All</t>
        </is>
      </c>
      <c r="I137" t="inlineStr">
        <is>
          <t>All</t>
        </is>
      </c>
      <c r="J137" t="inlineStr">
        <is>
          <t>All</t>
        </is>
      </c>
      <c r="K137" t="inlineStr">
        <is>
          <t>All</t>
        </is>
      </c>
      <c r="L137" t="inlineStr">
        <is>
          <t>Whole Number or Round to Nearest Tenths</t>
        </is>
      </c>
    </row>
    <row r="138">
      <c r="A138" t="inlineStr">
        <is>
          <t>J209</t>
        </is>
      </c>
      <c r="B138" s="2" t="inlineStr">
        <is>
          <t>Public administration and social services</t>
        </is>
      </c>
      <c r="C138" t="n">
        <v>0.6</v>
      </c>
      <c r="D138" t="inlineStr">
        <is>
          <t>Disciplinary Areas of Degrees Conferred</t>
        </is>
      </c>
      <c r="E138" t="inlineStr">
        <is>
          <t>Bachelors</t>
        </is>
      </c>
      <c r="F138" s="4" t="n">
        <v>44</v>
      </c>
      <c r="G138" t="inlineStr">
        <is>
          <t>Undergraduates</t>
        </is>
      </c>
      <c r="H138" t="inlineStr">
        <is>
          <t>All</t>
        </is>
      </c>
      <c r="I138" t="inlineStr">
        <is>
          <t>All</t>
        </is>
      </c>
      <c r="J138" t="inlineStr">
        <is>
          <t>All</t>
        </is>
      </c>
      <c r="K138" t="inlineStr">
        <is>
          <t>All</t>
        </is>
      </c>
      <c r="L138" t="inlineStr">
        <is>
          <t>Whole Number or Round to Nearest Tenths</t>
        </is>
      </c>
    </row>
    <row r="139">
      <c r="A139" t="inlineStr">
        <is>
          <t>J210</t>
        </is>
      </c>
      <c r="B139" s="2" t="inlineStr">
        <is>
          <t xml:space="preserve">Social sciences </t>
        </is>
      </c>
      <c r="C139" t="n">
        <v>10.5</v>
      </c>
      <c r="D139" t="inlineStr">
        <is>
          <t>Disciplinary Areas of Degrees Conferred</t>
        </is>
      </c>
      <c r="E139" t="inlineStr">
        <is>
          <t>Bachelors</t>
        </is>
      </c>
      <c r="F139" s="4" t="n">
        <v>45</v>
      </c>
      <c r="G139" t="inlineStr">
        <is>
          <t>Undergraduates</t>
        </is>
      </c>
      <c r="H139" t="inlineStr">
        <is>
          <t>All</t>
        </is>
      </c>
      <c r="I139" t="inlineStr">
        <is>
          <t>All</t>
        </is>
      </c>
      <c r="J139" t="inlineStr">
        <is>
          <t>All</t>
        </is>
      </c>
      <c r="K139" t="inlineStr">
        <is>
          <t>All</t>
        </is>
      </c>
      <c r="L139" t="inlineStr">
        <is>
          <t>Whole Number or Round to Nearest Tenths</t>
        </is>
      </c>
    </row>
    <row r="140">
      <c r="A140" t="inlineStr">
        <is>
          <t>J211</t>
        </is>
      </c>
      <c r="B140" s="2" t="inlineStr">
        <is>
          <t>Construction trades</t>
        </is>
      </c>
      <c r="D140" t="inlineStr">
        <is>
          <t>Disciplinary Areas of Degrees Conferred</t>
        </is>
      </c>
      <c r="E140" t="inlineStr">
        <is>
          <t>Bachelors</t>
        </is>
      </c>
      <c r="F140" s="4" t="n">
        <v>46</v>
      </c>
      <c r="G140" t="inlineStr">
        <is>
          <t>Undergraduates</t>
        </is>
      </c>
      <c r="H140" t="inlineStr">
        <is>
          <t>All</t>
        </is>
      </c>
      <c r="I140" t="inlineStr">
        <is>
          <t>All</t>
        </is>
      </c>
      <c r="J140" t="inlineStr">
        <is>
          <t>All</t>
        </is>
      </c>
      <c r="K140" t="inlineStr">
        <is>
          <t>All</t>
        </is>
      </c>
      <c r="L140" t="inlineStr">
        <is>
          <t>Whole Number or Round to Nearest Tenths</t>
        </is>
      </c>
    </row>
    <row r="141">
      <c r="A141" t="inlineStr">
        <is>
          <t>J212</t>
        </is>
      </c>
      <c r="B141" s="2" t="inlineStr">
        <is>
          <t>Mechanic and repair technologies</t>
        </is>
      </c>
      <c r="D141" t="inlineStr">
        <is>
          <t>Disciplinary Areas of Degrees Conferred</t>
        </is>
      </c>
      <c r="E141" t="inlineStr">
        <is>
          <t>Bachelors</t>
        </is>
      </c>
      <c r="F141" s="4" t="n">
        <v>47</v>
      </c>
      <c r="G141" t="inlineStr">
        <is>
          <t>Undergraduates</t>
        </is>
      </c>
      <c r="H141" t="inlineStr">
        <is>
          <t>All</t>
        </is>
      </c>
      <c r="I141" t="inlineStr">
        <is>
          <t>All</t>
        </is>
      </c>
      <c r="J141" t="inlineStr">
        <is>
          <t>All</t>
        </is>
      </c>
      <c r="K141" t="inlineStr">
        <is>
          <t>All</t>
        </is>
      </c>
      <c r="L141" t="inlineStr">
        <is>
          <t>Whole Number or Round to Nearest Tenths</t>
        </is>
      </c>
    </row>
    <row r="142">
      <c r="A142" t="inlineStr">
        <is>
          <t>J213</t>
        </is>
      </c>
      <c r="B142" s="2" t="inlineStr">
        <is>
          <t>Precision production</t>
        </is>
      </c>
      <c r="D142" t="inlineStr">
        <is>
          <t>Disciplinary Areas of Degrees Conferred</t>
        </is>
      </c>
      <c r="E142" t="inlineStr">
        <is>
          <t>Bachelors</t>
        </is>
      </c>
      <c r="F142" s="4" t="n">
        <v>48</v>
      </c>
      <c r="G142" t="inlineStr">
        <is>
          <t>Undergraduates</t>
        </is>
      </c>
      <c r="H142" t="inlineStr">
        <is>
          <t>All</t>
        </is>
      </c>
      <c r="I142" t="inlineStr">
        <is>
          <t>All</t>
        </is>
      </c>
      <c r="J142" t="inlineStr">
        <is>
          <t>All</t>
        </is>
      </c>
      <c r="K142" t="inlineStr">
        <is>
          <t>All</t>
        </is>
      </c>
      <c r="L142" t="inlineStr">
        <is>
          <t>Whole Number or Round to Nearest Tenths</t>
        </is>
      </c>
    </row>
    <row r="143">
      <c r="A143" t="inlineStr">
        <is>
          <t>J214</t>
        </is>
      </c>
      <c r="B143" s="2" t="inlineStr">
        <is>
          <t>Transportation and materials moving</t>
        </is>
      </c>
      <c r="D143" t="inlineStr">
        <is>
          <t>Disciplinary Areas of Degrees Conferred</t>
        </is>
      </c>
      <c r="E143" t="inlineStr">
        <is>
          <t>Bachelors</t>
        </is>
      </c>
      <c r="F143" s="4" t="n">
        <v>49</v>
      </c>
      <c r="G143" t="inlineStr">
        <is>
          <t>Undergraduates</t>
        </is>
      </c>
      <c r="H143" t="inlineStr">
        <is>
          <t>All</t>
        </is>
      </c>
      <c r="I143" t="inlineStr">
        <is>
          <t>All</t>
        </is>
      </c>
      <c r="J143" t="inlineStr">
        <is>
          <t>All</t>
        </is>
      </c>
      <c r="K143" t="inlineStr">
        <is>
          <t>All</t>
        </is>
      </c>
      <c r="L143" t="inlineStr">
        <is>
          <t>Whole Number or Round to Nearest Tenths</t>
        </is>
      </c>
    </row>
    <row r="144">
      <c r="A144" t="inlineStr">
        <is>
          <t>J215</t>
        </is>
      </c>
      <c r="B144" s="2" t="inlineStr">
        <is>
          <t>Visual and performing arts</t>
        </is>
      </c>
      <c r="C144" t="n">
        <v>1.4</v>
      </c>
      <c r="D144" t="inlineStr">
        <is>
          <t>Disciplinary Areas of Degrees Conferred</t>
        </is>
      </c>
      <c r="E144" t="inlineStr">
        <is>
          <t>Bachelors</t>
        </is>
      </c>
      <c r="F144" s="4" t="n">
        <v>50</v>
      </c>
      <c r="G144" t="inlineStr">
        <is>
          <t>Undergraduates</t>
        </is>
      </c>
      <c r="H144" t="inlineStr">
        <is>
          <t>All</t>
        </is>
      </c>
      <c r="I144" t="inlineStr">
        <is>
          <t>All</t>
        </is>
      </c>
      <c r="J144" t="inlineStr">
        <is>
          <t>All</t>
        </is>
      </c>
      <c r="K144" t="inlineStr">
        <is>
          <t>All</t>
        </is>
      </c>
      <c r="L144" t="inlineStr">
        <is>
          <t>Whole Number or Round to Nearest Tenths</t>
        </is>
      </c>
    </row>
    <row r="145" ht="32.1" customHeight="1" s="44">
      <c r="A145" t="inlineStr">
        <is>
          <t>J216</t>
        </is>
      </c>
      <c r="B145" s="2" t="inlineStr">
        <is>
          <t>Health professions and related programs</t>
        </is>
      </c>
      <c r="C145" t="n">
        <v>3.4</v>
      </c>
      <c r="D145" t="inlineStr">
        <is>
          <t>Disciplinary Areas of Degrees Conferred</t>
        </is>
      </c>
      <c r="E145" t="inlineStr">
        <is>
          <t>Bachelors</t>
        </is>
      </c>
      <c r="F145" s="4" t="n">
        <v>51</v>
      </c>
      <c r="G145" t="inlineStr">
        <is>
          <t>Undergraduates</t>
        </is>
      </c>
      <c r="H145" t="inlineStr">
        <is>
          <t>All</t>
        </is>
      </c>
      <c r="I145" t="inlineStr">
        <is>
          <t>All</t>
        </is>
      </c>
      <c r="J145" t="inlineStr">
        <is>
          <t>All</t>
        </is>
      </c>
      <c r="K145" t="inlineStr">
        <is>
          <t>All</t>
        </is>
      </c>
      <c r="L145" t="inlineStr">
        <is>
          <t>Whole Number or Round to Nearest Tenths</t>
        </is>
      </c>
    </row>
    <row r="146">
      <c r="A146" t="inlineStr">
        <is>
          <t>J217</t>
        </is>
      </c>
      <c r="B146" s="2" t="inlineStr">
        <is>
          <t>Business/marketing</t>
        </is>
      </c>
      <c r="C146" t="n">
        <v>17.8</v>
      </c>
      <c r="D146" t="inlineStr">
        <is>
          <t>Disciplinary Areas of Degrees Conferred</t>
        </is>
      </c>
      <c r="E146" t="inlineStr">
        <is>
          <t>Bachelors</t>
        </is>
      </c>
      <c r="F146" s="4" t="n">
        <v>52</v>
      </c>
      <c r="G146" t="inlineStr">
        <is>
          <t>Undergraduates</t>
        </is>
      </c>
      <c r="H146" t="inlineStr">
        <is>
          <t>All</t>
        </is>
      </c>
      <c r="I146" t="inlineStr">
        <is>
          <t>All</t>
        </is>
      </c>
      <c r="J146" t="inlineStr">
        <is>
          <t>All</t>
        </is>
      </c>
      <c r="K146" t="inlineStr">
        <is>
          <t>All</t>
        </is>
      </c>
      <c r="L146" t="inlineStr">
        <is>
          <t>Whole Number or Round to Nearest Tenths</t>
        </is>
      </c>
    </row>
    <row r="147">
      <c r="A147" t="inlineStr">
        <is>
          <t>J218</t>
        </is>
      </c>
      <c r="B147" s="2" t="inlineStr">
        <is>
          <t>History</t>
        </is>
      </c>
      <c r="C147" t="n">
        <v>1.3</v>
      </c>
      <c r="D147" t="inlineStr">
        <is>
          <t>Disciplinary Areas of Degrees Conferred</t>
        </is>
      </c>
      <c r="E147" t="inlineStr">
        <is>
          <t>Bachelors</t>
        </is>
      </c>
      <c r="F147" s="4" t="n">
        <v>54</v>
      </c>
      <c r="G147" t="inlineStr">
        <is>
          <t>Undergraduates</t>
        </is>
      </c>
      <c r="H147" t="inlineStr">
        <is>
          <t>All</t>
        </is>
      </c>
      <c r="I147" t="inlineStr">
        <is>
          <t>All</t>
        </is>
      </c>
      <c r="J147" t="inlineStr">
        <is>
          <t>All</t>
        </is>
      </c>
      <c r="K147" t="inlineStr">
        <is>
          <t>All</t>
        </is>
      </c>
      <c r="L147" t="inlineStr">
        <is>
          <t>Whole Number or Round to Nearest Tenths</t>
        </is>
      </c>
    </row>
    <row r="148">
      <c r="A148" t="inlineStr">
        <is>
          <t>J219</t>
        </is>
      </c>
      <c r="B148" s="2" t="inlineStr">
        <is>
          <t>Other</t>
        </is>
      </c>
      <c r="D148" t="inlineStr">
        <is>
          <t>Disciplinary Areas of Degrees Conferred</t>
        </is>
      </c>
      <c r="E148" t="inlineStr">
        <is>
          <t>Bachelors</t>
        </is>
      </c>
      <c r="F148" s="4" t="inlineStr">
        <is>
          <t>Other</t>
        </is>
      </c>
      <c r="G148" t="inlineStr">
        <is>
          <t>Undergraduates</t>
        </is>
      </c>
      <c r="H148" t="inlineStr">
        <is>
          <t>All</t>
        </is>
      </c>
      <c r="I148" t="inlineStr">
        <is>
          <t>All</t>
        </is>
      </c>
      <c r="J148" t="inlineStr">
        <is>
          <t>All</t>
        </is>
      </c>
      <c r="K148" t="inlineStr">
        <is>
          <t>All</t>
        </is>
      </c>
      <c r="L148" t="inlineStr">
        <is>
          <t>Whole Number or Round to Nearest Tenths</t>
        </is>
      </c>
    </row>
    <row r="149">
      <c r="A149" t="inlineStr">
        <is>
          <t>J220</t>
        </is>
      </c>
      <c r="B149" t="inlineStr">
        <is>
          <t>TOTAL (should = 100%)</t>
        </is>
      </c>
      <c r="C149">
        <f>SUM(C110:C148)</f>
        <v/>
      </c>
      <c r="D149" t="inlineStr">
        <is>
          <t>Disciplinary Areas of Degrees Conferred</t>
        </is>
      </c>
      <c r="E149" t="inlineStr">
        <is>
          <t>Bachelors</t>
        </is>
      </c>
      <c r="F149" s="4" t="inlineStr">
        <is>
          <t>Total</t>
        </is>
      </c>
      <c r="G149" t="inlineStr">
        <is>
          <t>Undergraduates</t>
        </is>
      </c>
      <c r="H149" t="inlineStr">
        <is>
          <t>All</t>
        </is>
      </c>
      <c r="I149" t="inlineStr">
        <is>
          <t>All</t>
        </is>
      </c>
      <c r="J149" t="inlineStr">
        <is>
          <t>All</t>
        </is>
      </c>
      <c r="K149" t="inlineStr">
        <is>
          <t>All</t>
        </is>
      </c>
      <c r="L149" t="inlineStr">
        <is>
          <t>Whole Number or Round to Nearest Tenths</t>
        </is>
      </c>
    </row>
  </sheetData>
  <autoFilter ref="A1:L149"/>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1007"/>
  <sheetViews>
    <sheetView showGridLines="0" zoomScaleNormal="100" workbookViewId="0">
      <selection activeCell="A1" sqref="A1"/>
    </sheetView>
  </sheetViews>
  <sheetFormatPr baseColWidth="8" defaultColWidth="12.42578125" defaultRowHeight="15" customHeight="1"/>
  <cols>
    <col width="88.85546875" customWidth="1" style="13" min="1" max="1"/>
    <col width="0.85546875" customWidth="1" style="13" min="2" max="2"/>
    <col hidden="1" width="8.42578125" customWidth="1" style="13" min="3" max="6"/>
    <col width="8.42578125" customWidth="1" style="13" min="7" max="26"/>
    <col width="12.42578125" customWidth="1" style="13" min="27" max="16384"/>
  </cols>
  <sheetData>
    <row r="1" ht="12.75" customHeight="1" s="44">
      <c r="A1" s="11" t="inlineStr">
        <is>
          <t>Common Data Set Definitions</t>
        </is>
      </c>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ht="12.75" customHeight="1" s="44">
      <c r="A2" s="14" t="inlineStr">
        <is>
          <t>¨        All definitions related to the financial aid section appear at the end of the Definitions document.</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ht="12.75" customHeight="1" s="44">
      <c r="A3" s="15"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ht="12.75" customHeight="1" s="44">
      <c r="A4" s="14" t="inlineStr">
        <is>
          <t xml:space="preserve">¨        Items preceded by an asterisk (*) represent definitions agreed to among publishers which do not appear on the CDS document but may be present on individual publishers’ surveys. </t>
        </is>
      </c>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ht="12.75" customHeight="1" s="44">
      <c r="A5" s="14"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ht="12.75" customHeight="1" s="44">
      <c r="A6" s="16" t="inlineStr">
        <is>
          <t>¨        Additional guidance for some terms, particularly those common with the IPEDS survey, may be found here:  https://surveys.nces.ed.gov/ipeds/public/glossary</t>
        </is>
      </c>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ht="12.75" customHeight="1" s="44">
      <c r="A7" s="14"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ht="12.75" customHeight="1" s="44">
      <c r="A8" s="17" t="inlineStr">
        <is>
          <t>*Academic advisement: Plan under which each student is assigned to a faculty member or a trained adviser, who, through regular meetings, helps the student plan and implement immediate and long-term academic and vocational goals.</t>
        </is>
      </c>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ht="12.75" customHeight="1" s="44">
      <c r="A9" s="17" t="inlineStr">
        <is>
          <t>Accelerated program: Completion of a college program of study in fewer than the usual number of years, most often by attending summer sessions and carrying extra courses during the regular academic term.</t>
        </is>
      </c>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ht="12.75" customHeight="1" s="44">
      <c r="A10" s="17" t="inlineStr">
        <is>
          <t>Admitted student: Applicant who is offered admission to a degree-granting program at your institution.</t>
        </is>
      </c>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12.75" customHeight="1" s="44">
      <c r="A11" s="17"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12.75" customHeight="1" s="44">
      <c r="A12" s="17" t="inlineStr">
        <is>
          <t>*Adult student services: Admission assistance, support, orientation, and other services expressly for adults who have started college for the first time, or who are re-entering after a lapse of a few years.</t>
        </is>
      </c>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12.75" customHeight="1" s="44">
      <c r="A13" s="17" t="inlineStr">
        <is>
          <t>American Indian or Alaska Native: A person having origins in any of the original peoples of North and South America (including Central America) and maintaining tribal affiliation or community attachment.</t>
        </is>
      </c>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12.75" customHeight="1" s="44">
      <c r="A14" s="17" t="inlineStr">
        <is>
          <t>Applicant (first-time, first year):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is>
      </c>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ht="12.75" customHeight="1" s="44">
      <c r="A15" s="17" t="inlineStr">
        <is>
          <t>Application fee: That amount of money that an institution charges for processing a student’s application for acceptance. This amount is not creditable toward tuition and required fees, nor is it refundable if the student is not admitted to the institution.</t>
        </is>
      </c>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ht="12.75" customHeight="1" s="44">
      <c r="A16" s="17" t="inlineStr">
        <is>
          <t>Asian: A person having origins in any of the original peoples of the Far East, Southeast Asia, or the Indian subcontinent, including, for example, Cambodia, China, India, Japan, Korea, Malaysia, Pakistan, the Philippine Islands, Thailand, and Vietnam.</t>
        </is>
      </c>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ht="12.75" customHeight="1" s="44">
      <c r="A17" s="17" t="inlineStr">
        <is>
          <t>Associate degree: An award that normally requires at least two but less than four years of full-time equivalent college work.</t>
        </is>
      </c>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ht="12.75" customHeight="1" s="44">
      <c r="A18" s="17" t="inlineStr">
        <is>
          <t>Bachelor’s degree: An award (baccalaureate or equivalent degree, as determined by the Secretary of the U.S. Department of Education) that normally requires at least four years but not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is>
      </c>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ht="12.75" customHeight="1" s="44">
      <c r="A19" s="17" t="inlineStr">
        <is>
          <t>Black or African American: A person having origins in any of the black racial groups of Africa.</t>
        </is>
      </c>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ht="12.75" customHeight="1" s="44">
      <c r="A20" s="17" t="inlineStr">
        <is>
          <t>Board (charges): Assume average cost for 19 meals per week or the maximum meal plan.</t>
        </is>
      </c>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2.75" customHeight="1" s="44">
      <c r="A21" s="17" t="inlineStr">
        <is>
          <t>Books and supplies (costs): Average cost of books and supplies. Do not include unusual costs for special groups of students (e.g., engineering or art majors), unless they constitute the majority of students at your institution.</t>
        </is>
      </c>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2.75" customHeight="1" s="44">
      <c r="A22" s="17" t="inlineStr">
        <is>
          <t>Calendar system: The method by which an institution structures most of its courses for the academic year.</t>
        </is>
      </c>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2.75" customHeight="1" s="44">
      <c r="A23" s="18" t="inlineStr">
        <is>
          <t>Campus Ministry: Religious student organizations (denominational or nondenominational) devoted to fostering religious life on college campuses. May also refer to Campus Crusade for Christ, an interdenominational Christian organization.</t>
        </is>
      </c>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2.75" customHeight="1" s="44">
      <c r="A24" s="19"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2.75" customHeight="1" s="44">
      <c r="A25" s="17" t="inlineStr">
        <is>
          <t>*Career and placement services: 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is>
      </c>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2.75" customHeight="1" s="44">
      <c r="A26" s="17" t="inlineStr">
        <is>
          <t>Carnegie units: One year of study or the equivalent in a secondary school subject.</t>
        </is>
      </c>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2.75" customHeight="1" s="44">
      <c r="A27" s="17" t="inlineStr">
        <is>
          <t>Certificate: See Postsecondary award, certificate, or diploma.</t>
        </is>
      </c>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2.75" customHeight="1" s="44">
      <c r="A28" s="17" t="inlineStr">
        <is>
          <t>Class rank: The relative numerical position of a student in his or her graduating class, calculated by the high school on the basis of grade-point average, whether weighted or unweighted.</t>
        </is>
      </c>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2.75" customHeight="1" s="44">
      <c r="A29" s="17" t="inlineStr">
        <is>
          <t xml:space="preserve">College-preparatory program: Courses in academic subjects (English, history and social studies, foreign languages, mathematics, science, and the arts) that stress preparation for college or university study. </t>
        </is>
      </c>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2.75" customHeight="1" s="44">
      <c r="A30" s="17" t="inlineStr">
        <is>
          <t xml:space="preserve">Common Application: The standard application form distributed by the National Association of Secondary School Principals for a large number of private colleges who are members of the Common Application Group. </t>
        </is>
      </c>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2.75" customHeight="1" s="44">
      <c r="A31" s="17" t="inlineStr">
        <is>
          <t>*Community service program: Referral center for students wishing to perform volunteer work in the community or participate in volunteer activities coordinated by academic departments.</t>
        </is>
      </c>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2.75" customHeight="1" s="44">
      <c r="A32" s="17" t="inlineStr">
        <is>
          <t xml:space="preserve">Commuter: A student who lives off campus in housing that is not owned by, operated by, or affiliated with the college. This category includes students who commute from home and students who have moved to the area to attend college. </t>
        </is>
      </c>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2.75" customHeight="1" s="44">
      <c r="A33" s="17" t="inlineStr">
        <is>
          <t>Comprehensive transition and postsecondary program for students with intellectual disabilities: Programs designed to support postsecondary students with intellectual disabilities obtain instruction in academic, career and technical, and independent living  subjects in preparation for employment.</t>
        </is>
      </c>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2.75" customHeight="1" s="44">
      <c r="A34" s="17" t="inlineStr">
        <is>
          <t>Clock hour: A unit of measure that represents an hour of scheduled instruction given to students. Also referred to as contact hour.</t>
        </is>
      </c>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2.75" customHeight="1" s="44">
      <c r="A35" s="17" t="inlineStr">
        <is>
          <t>Continuous basis (for program enrollment):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is>
      </c>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2.75" customHeight="1" s="44">
      <c r="A36" s="17" t="inlineStr">
        <is>
          <t>Cooperative education program: A program that provides for alternate class attendance and employment in business, industry, or government.</t>
        </is>
      </c>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2.75" customHeight="1" s="44">
      <c r="A37" s="17" t="inlineStr">
        <is>
          <t>Cooperative housing: College-owned, -operated, or -affiliated housing in which students share food and housing expenses and participate in household chores to reduce living expenses.</t>
        </is>
      </c>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2.75" customHeight="1" s="44">
      <c r="A38" s="17" t="inlineStr">
        <is>
          <t>*Counseling service: Activities designed to assist students in making plans and decisions related to their education, career, or personal development.</t>
        </is>
      </c>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2.75" customHeight="1" s="44">
      <c r="A39" s="17" t="inlineStr">
        <is>
          <t>Credit: Recognition of attendance or performance in an instructional activity (course or program) that can be applied by a recipient toward the requirements for a degree, diploma, certificate, or recognized postsecondary credential.</t>
        </is>
      </c>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2.75" customHeight="1" s="44">
      <c r="A40" s="17" t="inlineStr">
        <is>
          <t>Credit course: A course that, if successfully completed, can be applied toward the number of courses required for achieving a degree, diploma, certificate, or other recognized postsecondary credential.</t>
        </is>
      </c>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2.75" customHeight="1" s="44">
      <c r="A41" s="17" t="inlineStr">
        <is>
          <t>Credit hour: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is>
      </c>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2.75" customHeight="1" s="44">
      <c r="A42" s="17" t="inlineStr">
        <is>
          <t>Cross-registration: A system whereby students enrolled at one institution may take courses at another institution without having to apply to the second institution.</t>
        </is>
      </c>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2.75" customHeight="1" s="44">
      <c r="A43" s="17" t="inlineStr">
        <is>
          <t>Deferred admission: The practice of permitting admitted students to postpone enrollment, usually for a period of one academic term or one year.</t>
        </is>
      </c>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2.75" customHeight="1" s="44">
      <c r="A44" s="17" t="inlineStr">
        <is>
          <t>Degree: An award conferred by a college, university, or other postsecondary education institution as official recognition for the successful completion of a program of studies.</t>
        </is>
      </c>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2.75" customHeight="1" s="44">
      <c r="A45" s="17" t="inlineStr">
        <is>
          <t>Degree-seeking students: Students enrolled in courses for credit who are recognized by the institution as seeking a degree or recognized postsecondary credential. At the undergraduate level, this is intended to include students enrolled in vocational or occupational programs.</t>
        </is>
      </c>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2.75" customHeight="1" s="44">
      <c r="A46" s="17" t="inlineStr">
        <is>
          <t>*Developmental services: Instructional courses designed for students deficient in the general competencies necessary for a regular postsecondary curriculum and educational setting.</t>
        </is>
      </c>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2.75" customHeight="1" s="44">
      <c r="A47" s="17" t="inlineStr">
        <is>
          <t>Differs by program (calendar system): 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is>
      </c>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2.75" customHeight="1" s="44">
      <c r="A48" s="17" t="inlineStr">
        <is>
          <t>Diploma: See Postsecondary award, certificate, or diploma.</t>
        </is>
      </c>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2.75" customHeight="1" s="44">
      <c r="A49" s="17" t="inlineStr">
        <is>
          <t>Distance learning: An option for earning course credit at off-campus locations via cable television, internet, satellite classes, videotapes, correspondence courses, or other means.</t>
        </is>
      </c>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2.75" customHeight="1" s="44">
      <c r="A50" s="18" t="inlineStr">
        <is>
          <t>Doctor’s degree-research/scholarship: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is>
      </c>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2.75" customHeight="1" s="44">
      <c r="A51" s="18" t="inlineStr">
        <is>
          <t>Doctor’s degree-professional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is>
      </c>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2.75" customHeight="1" s="44">
      <c r="A52" s="18" t="inlineStr">
        <is>
          <t>Doctor’s degree-other: A doctor’s degree that does not meet the definition of a doctor’s degree - research/scholarship or a doctor’s degree - professional practice.</t>
        </is>
      </c>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2.75" customHeight="1" s="44">
      <c r="A53" s="17" t="inlineStr">
        <is>
          <t>Double major: Program in which students may complete two undergraduate programs of study simultaneously.</t>
        </is>
      </c>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2.75" customHeight="1" s="44">
      <c r="A54" s="17" t="inlineStr">
        <is>
          <t>Dual enrollment: 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is>
      </c>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2.75" customHeight="1" s="44">
      <c r="A55" s="17" t="inlineStr">
        <is>
          <t>Early action plan: An admission plan that allows students to apply and be notified of an admission decision well in advance of the regular notification dates. If admitted, the candidate is not committed to enroll; the student may reply to the offer under the college’s regular reply policy.</t>
        </is>
      </c>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2.75" customHeight="1" s="44">
      <c r="A56" s="17" t="inlineStr">
        <is>
          <t>Early admission: A policy under which students who have not completed high school are admitted and enroll full time in college, usually after completion of their junior year.</t>
        </is>
      </c>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2.75" customHeight="1" s="44">
      <c r="A57" s="17" t="inlineStr">
        <is>
          <t>Early decision plan: 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is>
      </c>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2.75" customHeight="1" s="44">
      <c r="A58" s="17" t="inlineStr">
        <is>
          <t>English as a Second Language (ESL): A course of study designed specifically for students whose native language is not English.</t>
        </is>
      </c>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2.75" customHeight="1" s="44">
      <c r="A59" s="17" t="inlineStr">
        <is>
          <t>Exchange student program-domestic: Any arrangement between a student and a college that permits study for a semester or more at another college in the United States without extending the amount of time required for a degree. See also Study abroad.</t>
        </is>
      </c>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2.75" customHeight="1" s="44">
      <c r="A60" s="17" t="inlineStr">
        <is>
          <t>External degree program: A program of study in which students earn credits toward a degree through independent study, college courses, proficiency examinations, and personal experience. External degree programs require minimal or no classroom attendance.</t>
        </is>
      </c>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2.75" customHeight="1" s="44">
      <c r="A61" s="17" t="inlineStr">
        <is>
          <t>Extracurricular activities (as admission factor): Special consideration in the admissions process given for participation in both school and nonschool-related activities of interest to the college, such as clubs, hobbies, student government, athletics, performing arts, etc.</t>
        </is>
      </c>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2.75" customHeight="1" s="44">
      <c r="A62" s="17" t="inlineStr">
        <is>
          <t>First-time student: 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is>
      </c>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2.75" customHeight="1" s="44">
      <c r="A63" s="17" t="inlineStr">
        <is>
          <t>First-time, first-year student: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is>
      </c>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2.75" customHeight="1" s="44">
      <c r="A64" s="17" t="inlineStr">
        <is>
          <t>First-year student: A student who has completed less than the equivalent of 1 full year of undergraduate work; that is, less than 30 semester hours (in a 120-hour degree program) or less than 900 clock hours.</t>
        </is>
      </c>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2.75" customHeight="1" s="44">
      <c r="A65" s="17" t="inlineStr">
        <is>
          <t>Food and housing (charges)—on campus: Assume double occupancy in institutional housing and 19 meals per week (or maximum meal plan).</t>
        </is>
      </c>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2.75" customHeight="1" s="44">
      <c r="A66" s="17" t="inlineStr">
        <is>
          <t>Full-time student (undergraduate): A student enrolled for 12 or more semester credits, 12 or more quarter credits, or 24 or more clock hours a week each term.</t>
        </is>
      </c>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2.75" customHeight="1" s="44">
      <c r="A67" s="17" t="inlineStr">
        <is>
          <t>Geographical residence (as admission factor): Special consideration in the admission process given to students from a particular region, state, or country of residence.</t>
        </is>
      </c>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2.75" customHeight="1" s="44">
      <c r="A68" s="17" t="inlineStr">
        <is>
          <t>Grade-point average (academic high school GPA): 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is>
      </c>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2.75" customHeight="1" s="44">
      <c r="A69" s="17" t="inlineStr">
        <is>
          <t>Graduate student: A student who holds a bachelor’s or equivalent, and is taking courses at the post-baccalaureate level.</t>
        </is>
      </c>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2.75" customHeight="1" s="44">
      <c r="A70" s="17" t="inlineStr">
        <is>
          <t>*Health services: Free or low cost on-campus primary and preventive health care available to students.</t>
        </is>
      </c>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2.75" customHeight="1" s="44">
      <c r="A71" s="17" t="inlineStr">
        <is>
          <t>High school diploma or recognized equivalent: A document certifying the successful completion of a prescribed secondary school program of studies, or the attainment of satisfactory scores on the Tests of General Educational Development (GED), or another state-specified examination.</t>
        </is>
      </c>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2.75" customHeight="1" s="44">
      <c r="A72" s="17" t="inlineStr">
        <is>
          <t>Hispanic or Latino: A person of Mexican, Puerto Rican, Cuban, South or Central American, or other Spanish culture or origin, regardless of race.</t>
        </is>
      </c>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2.75" customHeight="1" s="44">
      <c r="A73" s="17" t="inlineStr">
        <is>
          <t xml:space="preserve">Honors program: Any special program for very able students offering the opportunity for educational enrichment, independent study, acceleration, or some combination of these. </t>
        </is>
      </c>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2.75" customHeight="1" s="44">
      <c r="A74" s="17" t="inlineStr">
        <is>
          <t>Independent study: Academic work chosen or designed by the student with the approval of the department concerned, under an instructor’s supervision, and usually undertaken outside of the regular classroom structure.</t>
        </is>
      </c>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2.75" customHeight="1" s="44">
      <c r="A75" s="17" t="inlineStr">
        <is>
          <t>In-state tuition: The tuition charged by institutions to those students who meet the state’s or institution’s residency requirements.</t>
        </is>
      </c>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2.75" customHeight="1" s="44">
      <c r="A76" s="17" t="inlineStr">
        <is>
          <t>International student: See Nonresident.</t>
        </is>
      </c>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2.75" customHeight="1" s="44">
      <c r="A77" s="17" t="inlineStr">
        <is>
          <t xml:space="preserve">International student group: Student groups that facilitate cultural dialogue, support a diverse campus, assist international students in acclimation and creating a social network. </t>
        </is>
      </c>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2.75" customHeight="1" s="44">
      <c r="A78" s="17" t="inlineStr">
        <is>
          <t>Internship: Any short-term, supervised work experience usually related to a student’s major field, for which the student earns academic credit. The work can be full- or part-time, on- or off-campus, paid or unpaid.</t>
        </is>
      </c>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2.75" customHeight="1" s="44">
      <c r="A79" s="17" t="inlineStr">
        <is>
          <t>*Learning center: Center offering assistance through tutors, workshops, computer programs, or audiovisual equipment in reading, writing, math, and skills such as taking notes, managing time, taking tests.</t>
        </is>
      </c>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2.75" customHeight="1" s="44">
      <c r="A80" s="17"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2.75" customHeight="1" s="44">
      <c r="A81" s="17" t="inlineStr">
        <is>
          <t>*Legal services: Free or low cost legal advice for a range of issues (personal and other).</t>
        </is>
      </c>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2.75" customHeight="1" s="44">
      <c r="A82" s="17" t="inlineStr">
        <is>
          <t>Liberal arts/career combination: Program in which a student earns undergraduate degrees in two separate fields, one in a liberal arts major and the other in a professional or specialized major, whether on campus or through cross‑registration.</t>
        </is>
      </c>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2.75" customHeight="1" s="44">
      <c r="A83" s="17" t="inlineStr">
        <is>
          <t>Living learning community: Residential programs that allow students to interact with students who share common interests. In addition to living together, students may also participate in shared courses, special events, and group service projects.</t>
        </is>
      </c>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2.75" customHeight="1" s="44">
      <c r="A84" s="18" t="inlineStr">
        <is>
          <t xml:space="preserve">Master's degree: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is>
      </c>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2.75" customHeight="1" s="44">
      <c r="A85" s="17" t="inlineStr">
        <is>
          <t>Minority affiliation (as admission factor): Special consideration in the admission process for members of designated racial/ethnic minority groups.</t>
        </is>
      </c>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2.75" customHeight="1" s="44">
      <c r="A86" s="17" t="inlineStr">
        <is>
          <t>*Minority student center: Center with programs, activities, and/or services intended to enhance the college experience of students of color.</t>
        </is>
      </c>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2.75" customHeight="1" s="44">
      <c r="A87" s="15"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2.75" customHeight="1" s="44">
      <c r="A88" s="18" t="inlineStr">
        <is>
          <t xml:space="preserve">Model United Nations: A simulation activity focusing on conflict resolution, globalization, and diplomacy. Assuming roles as foreign ambassadors and “delegates,” students conduct research, engage in debate, draft resolutions, and may participate in a national Model UN conference.  </t>
        </is>
      </c>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2.75" customHeight="1" s="44">
      <c r="A89" s="19"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2.75" customHeight="1" s="44">
      <c r="A90" s="20" t="inlineStr">
        <is>
          <t>Native Hawaiian or Other Pacific Islander: A person having origins in any of the original peoples of Hawaii, Guam, Samoa, or other Pacific Islands.</t>
        </is>
      </c>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2.75" customHeight="1" s="44">
      <c r="A91" s="17" t="inlineStr">
        <is>
          <t>*New student orientation: Orientation addressing the academic, social, emotional, and intellectual issues involved in beginning college. May be a few hours or a few days in length; at some colleges, there is a fee.</t>
        </is>
      </c>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2.75" customHeight="1" s="44">
      <c r="A92" s="17" t="inlineStr">
        <is>
          <t>Nonresident: A person who is not a citizen or national of the United States and who is in this country on a visa or temporary basis and does not have the right to remain indefinitely.</t>
        </is>
      </c>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2.75" customHeight="1" s="44">
      <c r="A93" s="17" t="inlineStr">
        <is>
          <t>*On-campus day care: Licensed day care for students’ children (usually age 3 and up); usually for a fee.</t>
        </is>
      </c>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2.75" customHeight="1" s="44">
      <c r="A94" s="17" t="inlineStr">
        <is>
          <t>Open admission: Admission policy under which virtually all secondary school graduates or students with GED equivalency diplomas are admitted without regard to academic record, test scores, or other qualifications.</t>
        </is>
      </c>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2.75" customHeight="1" s="44">
      <c r="A95" s="17" t="inlineStr">
        <is>
          <t>Other expenses (costs): Include average costs for clothing, laundry, entertainment, medical (if not a required fee), and furnishings.</t>
        </is>
      </c>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2.75" customHeight="1" s="44">
      <c r="A96" s="17" t="inlineStr">
        <is>
          <t>Out-of-state tuition: The tuition charged by institutions to those students who do not meet the institution’s or state’s residency requirements.</t>
        </is>
      </c>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2.75" customHeight="1" s="44">
      <c r="A97" s="17" t="inlineStr">
        <is>
          <t>Outside a dual enrollment program:  High school students who simply enroll in credit courses through your institution, and are treated as regularly enrolled college students.</t>
        </is>
      </c>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2.75" customHeight="1" s="44">
      <c r="A98" s="17" t="inlineStr">
        <is>
          <t>Part-time student (undergraduate): A student enrolled for fewer than 12 credits per semester or quarter, or fewer than 24 clock hours a week each term.</t>
        </is>
      </c>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2.75" customHeight="1" s="44">
      <c r="A99" s="17" t="inlineStr">
        <is>
          <t>Permanent Resident or other eligible non-citizen: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is>
      </c>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2.75" customHeight="1" s="44">
      <c r="A100" s="17" t="inlineStr">
        <is>
          <t>*Personal counseling: One-on-one or group counseling with trained professionals for students who want to explore personal, educational, or vocational issues.</t>
        </is>
      </c>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2.75" customHeight="1" s="44">
      <c r="A101" s="17" t="inlineStr">
        <is>
          <t>Post-baccalaureate certificate: An award that requires completion of an organized program of study requiring 18 credit hours beyond the bachelor’s; designed for persons who have completed a baccalaureate degree but do not meet the requirements of academic degrees carrying the title of master.</t>
        </is>
      </c>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2.75" customHeight="1" s="44">
      <c r="A102" s="17" t="inlineStr">
        <is>
          <t>Post-master’s certificate: An award that requires completion of an organized program of study of 24 credit hours beyond the master’s degree but does not meet the requirements of academic degrees at the doctoral level.</t>
        </is>
      </c>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2.75" customHeight="1" s="44">
      <c r="A103" s="17" t="inlineStr">
        <is>
          <t>Postsecondary award, certificate, or diploma: Includes the following three IPEDS definitions for postsecondary awards, certificates, and diplomas of varying durations and credit/contact/clock hour requirements:</t>
        </is>
      </c>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2.75" customHeight="1" s="44">
      <c r="A104" s="1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2.75" customHeight="1" s="44">
      <c r="A105" s="21" t="inlineStr">
        <is>
          <t>Less Than 1 Academic Year: Requires completion of an organized program of study at the postsecondary level (below the baccalaureate degree) in less than 1 academic year (2 semesters or 3 quarters) or in less than 900 clock hours by a student enrolled full-time.</t>
        </is>
      </c>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2.75" customHeight="1" s="44">
      <c r="A106" s="15"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2.75" customHeight="1" s="44">
      <c r="A107" s="21" t="inlineStr">
        <is>
          <t>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is>
      </c>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2.75" customHeight="1" s="44">
      <c r="A108" s="2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2.75" customHeight="1" s="44">
      <c r="A109" s="21" t="inlineStr">
        <is>
          <t>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is>
      </c>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2.75" customHeight="1" s="44">
      <c r="A110" s="17"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2.75" customHeight="1" s="44">
      <c r="A111" s="17" t="inlineStr">
        <is>
          <t>Private institution: An educational institution controlled by a private individual(s) or by a nongovernmental agency, usually supported primarily by other than public funds, and operated by other than publicly elected or appointed officials.</t>
        </is>
      </c>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2.75" customHeight="1" s="44">
      <c r="A112" s="17" t="inlineStr">
        <is>
          <t>Private for-profit institution: A private institution in which the individual(s) or agency in control receives compensation, other than wages, rent, or other expenses for the assumption of risk.</t>
        </is>
      </c>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2.75" customHeight="1" s="44">
      <c r="A113" s="17" t="inlineStr">
        <is>
          <t>Private nonprofit institution: A private institution in which the individual(s) or agency in control receives no compensation, other than wages, rent, or other expenses for the assumption of risk. These include both independent nonprofit schools and those affiliated with a religious organization.</t>
        </is>
      </c>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2.75" customHeight="1" s="44">
      <c r="A114" s="17" t="inlineStr">
        <is>
          <t>Proprietary institution: See Private for-profit institution.</t>
        </is>
      </c>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2.75" customHeight="1" s="44">
      <c r="A115" s="17" t="inlineStr">
        <is>
          <t>Public institution: An educational institution whose programs and activities are operated by publicly elected or appointed school officials, and which is supported primarily by public funds.</t>
        </is>
      </c>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2.75" customHeight="1" s="44">
      <c r="A116" s="17" t="inlineStr">
        <is>
          <t>Quarter calendar system: A calendar system in which the academic year consists of three sessions called quarters of about 12 weeks each. The range may be from 10 to 15 weeks. There may be an additional quarter in the summer.</t>
        </is>
      </c>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2.75" customHeight="1" s="44">
      <c r="A117" s="17" t="inlineStr">
        <is>
          <t>Race/ethnicity: Category used to describe groups to which individuals belong, identify with, or belong in the eyes of the community. The categories do not denote scientific definitions of anthropological origins. A person may be counted in only one group.</t>
        </is>
      </c>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2.75" customHeight="1" s="44">
      <c r="A118" s="17" t="inlineStr">
        <is>
          <t>Race/ethnicity unknown: Category used to classify students or employees whose race/ethnicity is not known and whom institutions are unable to place in one of the specified racial/ethnic categories.</t>
        </is>
      </c>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2.75" customHeight="1" s="44">
      <c r="A119" s="17" t="inlineStr">
        <is>
          <t>Recognized Postsecondary Credential: 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is>
      </c>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2.75" customHeight="1" s="44">
      <c r="A120" s="17" t="inlineStr">
        <is>
          <t xml:space="preserve">Religious affiliation/commitment (as admission factor): Special consideration given in the admission process for affiliation with a certain church or faith/religion, commitment to a religious vocation, or observance of certain religious tenets/lifestyle. </t>
        </is>
      </c>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2.75" customHeight="1" s="44">
      <c r="A121" s="17" t="inlineStr">
        <is>
          <t>*Religious counseling: One-on-one or group counseling with trained professionals for students who want to explore religious problems or issues.</t>
        </is>
      </c>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2.75" customHeight="1" s="44">
      <c r="A122" s="17" t="inlineStr">
        <is>
          <t xml:space="preserve">Required fees: Fixed sum charged to students for items not covered by tuition and required of such a large proportion of all students that the student who does NOT pay is the exception. Do not include application fees or optional fees such as lab fees or parking fees. </t>
        </is>
      </c>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2.75" customHeight="1" s="44">
      <c r="A123" s="17" t="inlineStr">
        <is>
          <t>Secondary school record (as admission factor): Information maintained by the secondary school that may include such things as the student’s high school transcript, class rank, GPA, and teacher and counselor recommendations.</t>
        </is>
      </c>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2.75" customHeight="1" s="44">
      <c r="A124" s="17" t="inlineStr">
        <is>
          <t>Semester calendar system: A calendar system that consists of two semesters during the academic year with about 16 weeks for each semester of instruction. There may be an additional summer session.</t>
        </is>
      </c>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2.75" customHeight="1" s="44">
      <c r="A125" s="17" t="inlineStr">
        <is>
          <t>Student-designed major: A program of study based on individual interests, designed with the assistance of an adviser.</t>
        </is>
      </c>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2.75" customHeight="1" s="44">
      <c r="A126" s="17" t="inlineStr">
        <is>
          <t xml:space="preserve">Study abroad: Any arrangement by which a student completes part of the college program studying in another country. Can be at a campus abroad or through a cooperative agreement with some other U.S. college or an institution of another country. </t>
        </is>
      </c>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2.75" customHeight="1" s="44">
      <c r="A127" s="17" t="inlineStr">
        <is>
          <t>*Summer session: 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is>
      </c>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2.75" customHeight="1" s="44">
      <c r="A128" s="17" t="inlineStr">
        <is>
          <t>Talent/ability (as admission factor): Special consideration given to students with demonstrated talent/abilities in areas of interest to the institution (e.g., sports, the arts, languages, etc.).</t>
        </is>
      </c>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2.75" customHeight="1" s="44">
      <c r="A129" s="17" t="inlineStr">
        <is>
          <t>Teacher certification program: Program designed to prepare students to meet the requirements for certification as teachers in elementary, middle/junior high, and secondary schools.</t>
        </is>
      </c>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2.75" customHeight="1" s="44">
      <c r="A130" s="17" t="inlineStr">
        <is>
          <t xml:space="preserve">Transfer applicant: An individual who has fulfilled the institution’s requirements to be considered for admission (including payment or waiving of the application fee, if any) and who has previously attended another college or university and earned college-level credit. </t>
        </is>
      </c>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2.75" customHeight="1" s="44">
      <c r="A131" s="17"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2.75" customHeight="1" s="44">
      <c r="A132" s="17" t="inlineStr">
        <is>
          <t>Transfer student: A student entering the institution for the first time but known to have previously attended a postsecondary institution at the same level (e.g., undergraduate). The student may transfer with or without credit.</t>
        </is>
      </c>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2.75" customHeight="1" s="44">
      <c r="A133" s="17" t="inlineStr">
        <is>
          <t>Transportation (costs): Assume two round trips to student’s hometown per year for students in institutional housing or daily travel to and from your institution for commuter students.</t>
        </is>
      </c>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2.75" customHeight="1" s="44">
      <c r="A134" s="17" t="inlineStr">
        <is>
          <t>Trimester calendar system: An academic year consisting of 3 terms of about 15 weeks each.</t>
        </is>
      </c>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2.75" customHeight="1" s="44">
      <c r="A135" s="17" t="inlineStr">
        <is>
          <t xml:space="preserve">Tuition: Amount of money charged to students for instructional services. Tuition may be charged per term, per course, or per credit. </t>
        </is>
      </c>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2.75" customHeight="1" s="44">
      <c r="A136" s="17"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2.75" customHeight="1" s="44">
      <c r="A137" s="17" t="inlineStr">
        <is>
          <t>*Tutoring: May range from one-on-one tutoring in specific subjects to tutoring in an area such as math, reading, or writing. Most tutors are college students; at some colleges, they are specially trained and certified.</t>
        </is>
      </c>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2.75" customHeight="1" s="44">
      <c r="A138" s="15"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2.75" customHeight="1" s="44">
      <c r="A139" s="17" t="inlineStr">
        <is>
          <t>Unit: a standard of measurement representing hours of academic instruction (e.g., semester credit, quarter credit, clock hour).</t>
        </is>
      </c>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2.75" customHeight="1" s="44">
      <c r="A140" s="17" t="inlineStr">
        <is>
          <t>Undergraduate: A student enrolled in a four- or five-year bachelor’s degree program, an associate degree program, or a vocational or technical program below the baccalaureate.</t>
        </is>
      </c>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2.75" customHeight="1" s="44">
      <c r="A141" s="17" t="inlineStr">
        <is>
          <t>Unduplicated Count of High School Students Enrolled for Credit include all high school students enrolled in college courses for credit within or outside of a dual enrollment program, in accordance with the following IPEDS definitions:</t>
        </is>
      </c>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2.75" customHeight="1" s="44">
      <c r="A142" s="17" t="inlineStr">
        <is>
          <t>Undergraduate Research: Opportunities offered to undergraduate students to make original contributions in an academic discipline via the exploration of a specific research topic. Research opportunities may or may not be associated with a specific course or earn credit.</t>
        </is>
      </c>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2.75" customHeight="1" s="44">
      <c r="A143" s="17" t="inlineStr">
        <is>
          <t>*Veteran’s counseling: Helps veterans and their dependents obtain benefits for their selected program and provides certifications to the Veteran’s Administration. May also provide personal counseling on the transition from the military to a civilian life.</t>
        </is>
      </c>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2.75" customHeight="1" s="44">
      <c r="A144" s="17" t="inlineStr">
        <is>
          <t>*Visually impaired: Any person whose sight loss is not correctable and is sufficiently severe as to adversely affect educational performance.</t>
        </is>
      </c>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2.75" customHeight="1" s="44">
      <c r="A145" s="17" t="inlineStr">
        <is>
          <t>Volunteer work (as admission factor): Special consideration given to students for activity done on a volunteer basis (e.g., tutoring, hospital care, working with the elderly or disabled) as a service to the community or the public in general.</t>
        </is>
      </c>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2.75" customHeight="1" s="44">
      <c r="A146" s="17" t="inlineStr">
        <is>
          <t xml:space="preserve">Wait list: List of students who meet the admission requirements but will only be offered a place in the class if space becomes available. </t>
        </is>
      </c>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2.75" customHeight="1" s="44">
      <c r="A147" s="17" t="inlineStr">
        <is>
          <t xml:space="preserve">Weekend college: A program that allows students to take a complete course of study and attend classes only on weekends. </t>
        </is>
      </c>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2.6" customHeight="1" s="44">
      <c r="A148" s="17" t="inlineStr">
        <is>
          <t>White: A person having origins in any of the original peoples of Europe, the Middle East, or North Africa.</t>
        </is>
      </c>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2.6" customHeight="1" s="44">
      <c r="A149" s="17" t="inlineStr">
        <is>
          <t>Within a dual enrollment program: Program within an organized system with special guidelines that allows high school students to take college-level courses. The guidelines might have to do with entrance or eligibility requirements, funding, limits on course taking, etc.</t>
        </is>
      </c>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2.75" customHeight="1" s="44">
      <c r="A150" s="17" t="inlineStr">
        <is>
          <t>*Women’s center: Center with programs, academic activities, and/or services intended to promote an understanding of the evolving roles of women.</t>
        </is>
      </c>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2.75" customHeight="1" s="44">
      <c r="A151" s="17" t="inlineStr">
        <is>
          <t>Work experience (as admission factor): Special consideration given to students who have been employed prior to application, whether for relevance to major, demonstration of employment-related skills, or as explanation of student’s academic and extracurricular record.</t>
        </is>
      </c>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2.75" customHeight="1" s="44">
      <c r="A152" s="23"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2.75" customHeight="1" s="44">
      <c r="A153" s="23"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2.75" customHeight="1" s="44">
      <c r="A154" s="24" t="inlineStr">
        <is>
          <t>Financial Aid Definitions</t>
        </is>
      </c>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2.75" customHeight="1" s="44">
      <c r="A155" s="23"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2.75" customHeight="1" s="44">
      <c r="A156" s="17"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2.75" customHeight="1" s="44">
      <c r="A157" s="17"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2.75" customHeight="1" s="44">
      <c r="A158" s="17" t="inlineStr">
        <is>
          <t xml:space="preserve">Financial aid applicant: Any applicant who submits any one of the institutionally required financial aid applications/forms, such as the FAFSA. </t>
        </is>
      </c>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2.75" customHeight="1" s="44">
      <c r="A159" s="15"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2.75" customHeight="1" s="44">
      <c r="A160" s="17"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2.75" customHeight="1" s="44">
      <c r="A161" s="15"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2.75" customHeight="1" s="44">
      <c r="A162" s="17" t="inlineStr">
        <is>
          <t>Institutional scholarships and grants: Endowed scholarships, annual gifts and tuition funded grants for which the institution determines the recipient.</t>
        </is>
      </c>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2.75" customHeight="1" s="44">
      <c r="A163" s="15"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2.75" customHeight="1" s="44">
      <c r="A164" s="17" t="inlineStr">
        <is>
          <t xml:space="preserve">Financial need: As determined by your institution using the federal methodology and/or your institution's own standards. </t>
        </is>
      </c>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2.75" customHeight="1" s="44">
      <c r="A165" s="15"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2.75" customHeight="1" s="44">
      <c r="A166" s="17" t="inlineStr">
        <is>
          <t>Need-based aid: College-funded or college-administered award from institutional, state, federal, or other sources for which a student must have financial need to qualify. This includes both institutional and non-institutional student aid (grants, jobs, and loans).</t>
        </is>
      </c>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2.75" customHeight="1" s="44">
      <c r="A167" s="15"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2.75" customHeight="1" s="44">
      <c r="A168" s="17" t="inlineStr">
        <is>
          <t>Need-based scholarship or grant aid: Scholarships and grants from institutional, state, federal, or other sources for which a student must have financial need to qualify.</t>
        </is>
      </c>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2.75" customHeight="1" s="44">
      <c r="A169" s="15"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2.75" customHeight="1" s="44">
      <c r="A170" s="17" t="inlineStr">
        <is>
          <t>Need-based self-help aid: Loans and jobs from institutional, state, federal, or other sources for which a student must demonstrate financial need to qualify.</t>
        </is>
      </c>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2.75" customHeight="1" s="44">
      <c r="A171" s="15"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2.75" customHeight="1" s="44">
      <c r="A172" s="17"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2.75" customHeight="1" s="44">
      <c r="A173" s="15"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2.75" customHeight="1" s="44">
      <c r="A174" s="17" t="inlineStr">
        <is>
          <t>Note: Suggested order of precedence for counting non-need money as need-based:</t>
        </is>
      </c>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2.75" customHeight="1" s="44">
      <c r="A175" s="17"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2.75" customHeight="1" s="44">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2.75" customHeight="1" s="44">
      <c r="A177" s="15" t="inlineStr">
        <is>
          <t>1.        Non-need institutional grants</t>
        </is>
      </c>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2.75" customHeight="1" s="44">
      <c r="A178" s="15" t="inlineStr">
        <is>
          <t>2.        Non-need tuition waivers</t>
        </is>
      </c>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2.75" customHeight="1" s="44">
      <c r="A179" s="15" t="inlineStr">
        <is>
          <t>3.        Non-need athletic awards</t>
        </is>
      </c>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2.75" customHeight="1" s="44">
      <c r="A180" s="15" t="inlineStr">
        <is>
          <t>4.        Non-need federal grants</t>
        </is>
      </c>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2.75" customHeight="1" s="44">
      <c r="A181" s="15" t="inlineStr">
        <is>
          <t>5.        Non-need state grants</t>
        </is>
      </c>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2.75" customHeight="1" s="44">
      <c r="A182" s="15" t="inlineStr">
        <is>
          <t>6.        Non-need outside grants</t>
        </is>
      </c>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2.75" customHeight="1" s="44">
      <c r="A183" s="15" t="inlineStr">
        <is>
          <t>7.        Non-need student loans</t>
        </is>
      </c>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2.75" customHeight="1" s="44">
      <c r="A184" s="15" t="inlineStr">
        <is>
          <t>8.        Non-need parent loans</t>
        </is>
      </c>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2.75" customHeight="1" s="44">
      <c r="A185" s="15" t="inlineStr">
        <is>
          <t>9.        Non-need work</t>
        </is>
      </c>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2.75" customHeight="1" s="44">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2.75" customHeight="1" s="44">
      <c r="A187" s="15"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2.75" customHeight="1" s="44">
      <c r="A188" s="17" t="inlineStr">
        <is>
          <t>Non-need-based self-help aid: Loans and jobs from institutional, state, or other sources for which a student need not demonstrate financial need to qualify.</t>
        </is>
      </c>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2.75" customHeight="1" s="44">
      <c r="A189" s="15"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2.75" customHeight="1" s="44">
      <c r="A190" s="17" t="inlineStr">
        <is>
          <t>Work study and employment: Federal and state work study aid, and any employment packaged by your institution in financial aid awards.</t>
        </is>
      </c>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2.75" customHeight="1" s="44">
      <c r="A191" s="25"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2.75" customHeight="1" s="44">
      <c r="A192" s="25"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2.75" customHeight="1" s="44">
      <c r="A193" s="25"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2.75" customHeight="1" s="44">
      <c r="A194" s="25"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2.75" customHeight="1" s="44">
      <c r="A195" s="25"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2.75" customHeight="1" s="44">
      <c r="A196" s="25"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2.75" customHeight="1" s="44">
      <c r="A197" s="25"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2.75" customHeight="1" s="44">
      <c r="A198" s="25"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2.75" customHeight="1" s="44">
      <c r="A199" s="25"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2.75" customHeight="1" s="44">
      <c r="A200" s="25"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2.75" customHeight="1" s="44">
      <c r="A201" s="25"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2.75" customHeight="1" s="44">
      <c r="A202" s="25"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2.75" customHeight="1" s="44">
      <c r="A203" s="25"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2.75" customHeight="1" s="44">
      <c r="A204" s="25"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2.75" customHeight="1" s="44">
      <c r="A205" s="25"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2.75" customHeight="1" s="44">
      <c r="A206" s="25"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2.75" customHeight="1" s="44">
      <c r="A207" s="25"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2.75" customHeight="1" s="44">
      <c r="A208" s="25"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2.75" customHeight="1" s="44">
      <c r="A209" s="25"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2.75" customHeight="1" s="44">
      <c r="A210" s="25"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2.75" customHeight="1" s="44">
      <c r="A211" s="25"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2.75" customHeight="1" s="44">
      <c r="A212" s="25"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2.75" customHeight="1" s="44">
      <c r="A213" s="25"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2.75" customHeight="1" s="44">
      <c r="A214" s="25"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2.75" customHeight="1" s="44">
      <c r="A215" s="25"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2.75" customHeight="1" s="44">
      <c r="A216" s="25"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2.75" customHeight="1" s="44">
      <c r="A217" s="25"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2.75" customHeight="1" s="44">
      <c r="A218" s="25"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2.75" customHeight="1" s="44">
      <c r="A219" s="25"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2.75" customHeight="1" s="44">
      <c r="A220" s="25"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2.75" customHeight="1" s="44">
      <c r="A221" s="25"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2.75" customHeight="1" s="44">
      <c r="A222" s="25"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2.75" customHeight="1" s="44">
      <c r="A223" s="25"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2.75" customHeight="1" s="44">
      <c r="A224" s="25"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2.75" customHeight="1" s="44">
      <c r="A225" s="25"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2.75" customHeight="1" s="44">
      <c r="A226" s="25"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2.75" customHeight="1" s="44">
      <c r="A227" s="25"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2.75" customHeight="1" s="44">
      <c r="A228" s="25"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2.75" customHeight="1" s="44">
      <c r="A229" s="25"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2.75" customHeight="1" s="44">
      <c r="A230" s="25"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2.75" customHeight="1" s="44">
      <c r="A231" s="25"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2.75" customHeight="1" s="44">
      <c r="A232" s="25"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2.75" customHeight="1" s="44">
      <c r="A233" s="25"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2.75" customHeight="1" s="44">
      <c r="A234" s="25"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2.75" customHeight="1" s="44">
      <c r="A235" s="25"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2.75" customHeight="1" s="44">
      <c r="A236" s="25"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2.75" customHeight="1" s="44">
      <c r="A237" s="25"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2.75" customHeight="1" s="44">
      <c r="A238" s="25"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2.75" customHeight="1" s="44">
      <c r="A239" s="25"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2.75" customHeight="1" s="44">
      <c r="A240" s="25"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2.75" customHeight="1" s="44">
      <c r="A241" s="25"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2.75" customHeight="1" s="44">
      <c r="A242" s="25"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2.75" customHeight="1" s="44">
      <c r="A243" s="25"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2.75" customHeight="1" s="44">
      <c r="A244" s="25"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2.75" customHeight="1" s="44">
      <c r="A245" s="25"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2.75" customHeight="1" s="44">
      <c r="A246" s="25"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2.75" customHeight="1" s="44">
      <c r="A247" s="25"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2.75" customHeight="1" s="44">
      <c r="A248" s="25"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2.75" customHeight="1" s="44">
      <c r="A249" s="25"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2.75" customHeight="1" s="44">
      <c r="A250" s="25"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2.75" customHeight="1" s="44">
      <c r="A251" s="25"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2.75" customHeight="1" s="44">
      <c r="A252" s="25"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2.75" customHeight="1" s="44">
      <c r="A253" s="25"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2.75" customHeight="1" s="44">
      <c r="A254" s="25"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2.75" customHeight="1" s="44">
      <c r="A255" s="25"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2.75" customHeight="1" s="44">
      <c r="A256" s="25"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2.75" customHeight="1" s="44">
      <c r="A257" s="25"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2.75" customHeight="1" s="44">
      <c r="A258" s="25"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2.75" customHeight="1" s="44">
      <c r="A259" s="25"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2.75" customHeight="1" s="44">
      <c r="A260" s="25"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2.75" customHeight="1" s="44">
      <c r="A261" s="25"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2.75" customHeight="1" s="44">
      <c r="A262" s="25"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2.75" customHeight="1" s="44">
      <c r="A263" s="25"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2.75" customHeight="1" s="44">
      <c r="A264" s="25"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2.75" customHeight="1" s="44">
      <c r="A265" s="25"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2.75" customHeight="1" s="44">
      <c r="A266" s="25"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2.75" customHeight="1" s="44">
      <c r="A267" s="25"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2.75" customHeight="1" s="44">
      <c r="A268" s="25"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2.75" customHeight="1" s="44">
      <c r="A269" s="25"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2.75" customHeight="1" s="44">
      <c r="A270" s="25"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2.75" customHeight="1" s="44">
      <c r="A271" s="25"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2.75" customHeight="1" s="44">
      <c r="A272" s="25"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2.75" customHeight="1" s="44">
      <c r="A273" s="25"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2.75" customHeight="1" s="44">
      <c r="A274" s="25"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2.75" customHeight="1" s="44">
      <c r="A275" s="25"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2.75" customHeight="1" s="44">
      <c r="A276" s="25"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2.75" customHeight="1" s="44">
      <c r="A277" s="25"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2.75" customHeight="1" s="44">
      <c r="A278" s="25"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2.75" customHeight="1" s="44">
      <c r="A279" s="25"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2.75" customHeight="1" s="44">
      <c r="A280" s="25"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2.75" customHeight="1" s="44">
      <c r="A281" s="25"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2.75" customHeight="1" s="44">
      <c r="A282" s="25"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2.75" customHeight="1" s="44">
      <c r="A283" s="25"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2.75" customHeight="1" s="44">
      <c r="A284" s="25"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2.75" customHeight="1" s="44">
      <c r="A285" s="25"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2.75" customHeight="1" s="44">
      <c r="A286" s="25"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2.75" customHeight="1" s="44">
      <c r="A287" s="25"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2.75" customHeight="1" s="44">
      <c r="A288" s="25"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2.75" customHeight="1" s="44">
      <c r="A289" s="25"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2.75" customHeight="1" s="44">
      <c r="A290" s="25"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2.75" customHeight="1" s="44">
      <c r="A291" s="25"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2.75" customHeight="1" s="44">
      <c r="A292" s="25"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2.75" customHeight="1" s="44">
      <c r="A293" s="25"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2.75" customHeight="1" s="44">
      <c r="A294" s="25"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2.75" customHeight="1" s="44">
      <c r="A295" s="25"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2.75" customHeight="1" s="44">
      <c r="A296" s="25"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2.75" customHeight="1" s="44">
      <c r="A297" s="25"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2.75" customHeight="1" s="44">
      <c r="A298" s="25"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2.75" customHeight="1" s="44">
      <c r="A299" s="25"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2.75" customHeight="1" s="44">
      <c r="A300" s="25"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2.75" customHeight="1" s="44">
      <c r="A301" s="25"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2.75" customHeight="1" s="44">
      <c r="A302" s="25"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2.75" customHeight="1" s="44">
      <c r="A303" s="25"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2.75" customHeight="1" s="44">
      <c r="A304" s="25"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2.75" customHeight="1" s="44">
      <c r="A305" s="25"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2.75" customHeight="1" s="44">
      <c r="A306" s="25"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2.75" customHeight="1" s="44">
      <c r="A307" s="25"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2.75" customHeight="1" s="44">
      <c r="A308" s="25"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2.75" customHeight="1" s="44">
      <c r="A309" s="25"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2.75" customHeight="1" s="44">
      <c r="A310" s="25"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2.75" customHeight="1" s="44">
      <c r="A311" s="25"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2.75" customHeight="1" s="44">
      <c r="A312" s="25"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2.75" customHeight="1" s="44">
      <c r="A313" s="25"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2.75" customHeight="1" s="44">
      <c r="A314" s="25"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2.75" customHeight="1" s="44">
      <c r="A315" s="25"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2.75" customHeight="1" s="44">
      <c r="A316" s="25"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2.75" customHeight="1" s="44">
      <c r="A317" s="25"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2.75" customHeight="1" s="44">
      <c r="A318" s="25"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2.75" customHeight="1" s="44">
      <c r="A319" s="25"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2.75" customHeight="1" s="44">
      <c r="A320" s="25"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2.75" customHeight="1" s="44">
      <c r="A321" s="25"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2.75" customHeight="1" s="44">
      <c r="A322" s="25"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2.75" customHeight="1" s="44">
      <c r="A323" s="25"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2.75" customHeight="1" s="44">
      <c r="A324" s="25"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2.75" customHeight="1" s="44">
      <c r="A325" s="25"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2.75" customHeight="1" s="44">
      <c r="A326" s="25"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2.75" customHeight="1" s="44">
      <c r="A327" s="25"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2.75" customHeight="1" s="44">
      <c r="A328" s="25"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2.75" customHeight="1" s="44">
      <c r="A329" s="25"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2.75" customHeight="1" s="44">
      <c r="A330" s="25"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2.75" customHeight="1" s="44">
      <c r="A331" s="25"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2.75" customHeight="1" s="44">
      <c r="A332" s="25"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2.75" customHeight="1" s="44">
      <c r="A333" s="25"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2.75" customHeight="1" s="44">
      <c r="A334" s="25"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2.75" customHeight="1" s="44">
      <c r="A335" s="25"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2.75" customHeight="1" s="44">
      <c r="A336" s="25"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2.75" customHeight="1" s="44">
      <c r="A337" s="25"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2.75" customHeight="1" s="44">
      <c r="A338" s="25"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2.75" customHeight="1" s="44">
      <c r="A339" s="25"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2.75" customHeight="1" s="44">
      <c r="A340" s="25"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2.75" customHeight="1" s="44">
      <c r="A341" s="25"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2.75" customHeight="1" s="44">
      <c r="A342" s="25"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2.75" customHeight="1" s="44">
      <c r="A343" s="25"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2.75" customHeight="1" s="44">
      <c r="A344" s="25"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2.75" customHeight="1" s="44">
      <c r="A345" s="25"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2.75" customHeight="1" s="44">
      <c r="A346" s="25"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2.75" customHeight="1" s="44">
      <c r="A347" s="25"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2.75" customHeight="1" s="44">
      <c r="A348" s="25"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2.75" customHeight="1" s="44">
      <c r="A349" s="25"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2.75" customHeight="1" s="44">
      <c r="A350" s="25"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2.75" customHeight="1" s="44">
      <c r="A351" s="25"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2.75" customHeight="1" s="44">
      <c r="A352" s="25"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2.75" customHeight="1" s="44">
      <c r="A353" s="25"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2.75" customHeight="1" s="44">
      <c r="A354" s="25"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2.75" customHeight="1" s="44">
      <c r="A355" s="25"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2.75" customHeight="1" s="44">
      <c r="A356" s="25"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2.75" customHeight="1" s="44">
      <c r="A357" s="25"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2.75" customHeight="1" s="44">
      <c r="A358" s="25"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2.75" customHeight="1" s="44">
      <c r="A359" s="25"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2.75" customHeight="1" s="44">
      <c r="A360" s="25"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2.75" customHeight="1" s="44">
      <c r="A361" s="25"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2.75" customHeight="1" s="44">
      <c r="A362" s="25"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2.75" customHeight="1" s="44">
      <c r="A363" s="25"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2.75" customHeight="1" s="44">
      <c r="A364" s="25"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2.75" customHeight="1" s="44">
      <c r="A365" s="25"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2.75" customHeight="1" s="44">
      <c r="A366" s="25"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2.75" customHeight="1" s="44">
      <c r="A367" s="25"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2.75" customHeight="1" s="44">
      <c r="A368" s="25"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2.75" customHeight="1" s="44">
      <c r="A369" s="25"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2.75" customHeight="1" s="44">
      <c r="A370" s="25"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2.75" customHeight="1" s="44">
      <c r="A371" s="25"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2.75" customHeight="1" s="44">
      <c r="A372" s="25"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2.75" customHeight="1" s="44">
      <c r="A373" s="25"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2.75" customHeight="1" s="44">
      <c r="A374" s="25"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2.75" customHeight="1" s="44">
      <c r="A375" s="25"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2.75" customHeight="1" s="44">
      <c r="A376" s="25"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2.75" customHeight="1" s="44">
      <c r="A377" s="25"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2.75" customHeight="1" s="44">
      <c r="A378" s="25"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2.75" customHeight="1" s="44">
      <c r="A379" s="25"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2.75" customHeight="1" s="44">
      <c r="A380" s="25"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2.75" customHeight="1" s="44">
      <c r="A381" s="25"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2.75" customHeight="1" s="44">
      <c r="A382" s="25"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2.75" customHeight="1" s="44">
      <c r="A383" s="25"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2.75" customHeight="1" s="44">
      <c r="A384" s="25"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2.75" customHeight="1" s="44">
      <c r="A385" s="25"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2.75" customHeight="1" s="44">
      <c r="A386" s="25"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2.75" customHeight="1" s="44">
      <c r="A387" s="25"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2.75" customHeight="1" s="44">
      <c r="A388" s="25"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2.75" customHeight="1" s="44">
      <c r="A389" s="25"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2.75" customHeight="1" s="44">
      <c r="A390" s="25"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2.75" customHeight="1" s="44">
      <c r="A391" s="25"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2.75" customHeight="1" s="44">
      <c r="A392" s="25"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2.75" customHeight="1" s="44">
      <c r="A393" s="25"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2.75" customHeight="1" s="44">
      <c r="A394" s="25"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2.75" customHeight="1" s="44">
      <c r="A395" s="25"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2.75" customHeight="1" s="44">
      <c r="A396" s="25"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2.75" customHeight="1" s="44">
      <c r="A397" s="25"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2.75" customHeight="1" s="44">
      <c r="A398" s="25"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2.75" customHeight="1" s="44">
      <c r="A399" s="25"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2.75" customHeight="1" s="44">
      <c r="A400" s="25"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2.75" customHeight="1" s="44">
      <c r="A401" s="25"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2.75" customHeight="1" s="44">
      <c r="A402" s="25"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2.75" customHeight="1" s="44">
      <c r="A403" s="25"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2.75" customHeight="1" s="44">
      <c r="A404" s="25"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2.75" customHeight="1" s="44">
      <c r="A405" s="25"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2.75" customHeight="1" s="44">
      <c r="A406" s="25"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2.75" customHeight="1" s="44">
      <c r="A407" s="25"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2.75" customHeight="1" s="44">
      <c r="A408" s="25"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2.75" customHeight="1" s="44">
      <c r="A409" s="25"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2.75" customHeight="1" s="44">
      <c r="A410" s="25"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2.75" customHeight="1" s="44">
      <c r="A411" s="25"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2.75" customHeight="1" s="44">
      <c r="A412" s="25"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2.75" customHeight="1" s="44">
      <c r="A413" s="25"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2.75" customHeight="1" s="44">
      <c r="A414" s="25"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2.75" customHeight="1" s="44">
      <c r="A415" s="25"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2.75" customHeight="1" s="44">
      <c r="A416" s="25"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2.75" customHeight="1" s="44">
      <c r="A417" s="25"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2.75" customHeight="1" s="44">
      <c r="A418" s="25"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2.75" customHeight="1" s="44">
      <c r="A419" s="25"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2.75" customHeight="1" s="44">
      <c r="A420" s="25"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2.75" customHeight="1" s="44">
      <c r="A421" s="25"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2.75" customHeight="1" s="44">
      <c r="A422" s="25"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2.75" customHeight="1" s="44">
      <c r="A423" s="25"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2.75" customHeight="1" s="44">
      <c r="A424" s="25"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2.75" customHeight="1" s="44">
      <c r="A425" s="25"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2.75" customHeight="1" s="44">
      <c r="A426" s="25"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2.75" customHeight="1" s="44">
      <c r="A427" s="25"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2.75" customHeight="1" s="44">
      <c r="A428" s="25"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2.75" customHeight="1" s="44">
      <c r="A429" s="25"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2.75" customHeight="1" s="44">
      <c r="A430" s="25"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2.75" customHeight="1" s="44">
      <c r="A431" s="25"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2.75" customHeight="1" s="44">
      <c r="A432" s="25"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2.75" customHeight="1" s="44">
      <c r="A433" s="25"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2.75" customHeight="1" s="44">
      <c r="A434" s="25"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2.75" customHeight="1" s="44">
      <c r="A435" s="25"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2.75" customHeight="1" s="44">
      <c r="A436" s="25"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2.75" customHeight="1" s="44">
      <c r="A437" s="25"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2.75" customHeight="1" s="44">
      <c r="A438" s="25"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2.75" customHeight="1" s="44">
      <c r="A439" s="25"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2.75" customHeight="1" s="44">
      <c r="A440" s="25"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2.75" customHeight="1" s="44">
      <c r="A441" s="25"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2.75" customHeight="1" s="44">
      <c r="A442" s="25"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2.75" customHeight="1" s="44">
      <c r="A443" s="25"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2.75" customHeight="1" s="44">
      <c r="A444" s="25"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2.75" customHeight="1" s="44">
      <c r="A445" s="25"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2.75" customHeight="1" s="44">
      <c r="A446" s="25"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2.75" customHeight="1" s="44">
      <c r="A447" s="25"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2.75" customHeight="1" s="44">
      <c r="A448" s="25"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2.75" customHeight="1" s="44">
      <c r="A449" s="25"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2.75" customHeight="1" s="44">
      <c r="A450" s="25"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2.75" customHeight="1" s="44">
      <c r="A451" s="25"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2.75" customHeight="1" s="44">
      <c r="A452" s="25"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2.75" customHeight="1" s="44">
      <c r="A453" s="25"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2.75" customHeight="1" s="44">
      <c r="A454" s="25"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2.75" customHeight="1" s="44">
      <c r="A455" s="25"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2.75" customHeight="1" s="44">
      <c r="A456" s="25"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2.75" customHeight="1" s="44">
      <c r="A457" s="25"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2.75" customHeight="1" s="44">
      <c r="A458" s="25"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2.75" customHeight="1" s="44">
      <c r="A459" s="25"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2.75" customHeight="1" s="44">
      <c r="A460" s="25"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2.75" customHeight="1" s="44">
      <c r="A461" s="25"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2.75" customHeight="1" s="44">
      <c r="A462" s="25"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2.75" customHeight="1" s="44">
      <c r="A463" s="25"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2.75" customHeight="1" s="44">
      <c r="A464" s="25"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2.75" customHeight="1" s="44">
      <c r="A465" s="25"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2.75" customHeight="1" s="44">
      <c r="A466" s="25"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2.75" customHeight="1" s="44">
      <c r="A467" s="25"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2.75" customHeight="1" s="44">
      <c r="A468" s="25"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2.75" customHeight="1" s="44">
      <c r="A469" s="25"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2.75" customHeight="1" s="44">
      <c r="A470" s="25"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2.75" customHeight="1" s="44">
      <c r="A471" s="25"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2.75" customHeight="1" s="44">
      <c r="A472" s="25"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2.75" customHeight="1" s="44">
      <c r="A473" s="25"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2.75" customHeight="1" s="44">
      <c r="A474" s="25"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2.75" customHeight="1" s="44">
      <c r="A475" s="25"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2.75" customHeight="1" s="44">
      <c r="A476" s="25"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2.75" customHeight="1" s="44">
      <c r="A477" s="25"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2.75" customHeight="1" s="44">
      <c r="A478" s="25"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2.75" customHeight="1" s="44">
      <c r="A479" s="25"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2.75" customHeight="1" s="44">
      <c r="A480" s="25"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2.75" customHeight="1" s="44">
      <c r="A481" s="25"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2.75" customHeight="1" s="44">
      <c r="A482" s="25"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2.75" customHeight="1" s="44">
      <c r="A483" s="25"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2.75" customHeight="1" s="44">
      <c r="A484" s="25"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2.75" customHeight="1" s="44">
      <c r="A485" s="25"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2.75" customHeight="1" s="44">
      <c r="A486" s="25"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2.75" customHeight="1" s="44">
      <c r="A487" s="25"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2.75" customHeight="1" s="44">
      <c r="A488" s="25"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2.75" customHeight="1" s="44">
      <c r="A489" s="25"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2.75" customHeight="1" s="44">
      <c r="A490" s="25"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2.75" customHeight="1" s="44">
      <c r="A491" s="25"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2.75" customHeight="1" s="44">
      <c r="A492" s="25"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2.75" customHeight="1" s="44">
      <c r="A493" s="25"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2.75" customHeight="1" s="44">
      <c r="A494" s="25"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2.75" customHeight="1" s="44">
      <c r="A495" s="25"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2.75" customHeight="1" s="44">
      <c r="A496" s="25"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2.75" customHeight="1" s="44">
      <c r="A497" s="25"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2.75" customHeight="1" s="44">
      <c r="A498" s="25"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2.75" customHeight="1" s="44">
      <c r="A499" s="25"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2.75" customHeight="1" s="44">
      <c r="A500" s="25"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2.75" customHeight="1" s="44">
      <c r="A501" s="25"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2.75" customHeight="1" s="44">
      <c r="A502" s="25"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2.75" customHeight="1" s="44">
      <c r="A503" s="25"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2.75" customHeight="1" s="44">
      <c r="A504" s="25"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2.75" customHeight="1" s="44">
      <c r="A505" s="25"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2.75" customHeight="1" s="44">
      <c r="A506" s="25"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2.75" customHeight="1" s="44">
      <c r="A507" s="25"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2.75" customHeight="1" s="44">
      <c r="A508" s="25"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2.75" customHeight="1" s="44">
      <c r="A509" s="25"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2.75" customHeight="1" s="44">
      <c r="A510" s="25"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2.75" customHeight="1" s="44">
      <c r="A511" s="25"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2.75" customHeight="1" s="44">
      <c r="A512" s="25"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2.75" customHeight="1" s="44">
      <c r="A513" s="25"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2.75" customHeight="1" s="44">
      <c r="A514" s="25"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2.75" customHeight="1" s="44">
      <c r="A515" s="25"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2.75" customHeight="1" s="44">
      <c r="A516" s="25"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2.75" customHeight="1" s="44">
      <c r="A517" s="25"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2.75" customHeight="1" s="44">
      <c r="A518" s="25"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2.75" customHeight="1" s="44">
      <c r="A519" s="25"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2.75" customHeight="1" s="44">
      <c r="A520" s="25"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2.75" customHeight="1" s="44">
      <c r="A521" s="25"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2.75" customHeight="1" s="44">
      <c r="A522" s="25"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2.75" customHeight="1" s="44">
      <c r="A523" s="25"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2.75" customHeight="1" s="44">
      <c r="A524" s="25"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2.75" customHeight="1" s="44">
      <c r="A525" s="25"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2.75" customHeight="1" s="44">
      <c r="A526" s="25"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2.75" customHeight="1" s="44">
      <c r="A527" s="25"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2.75" customHeight="1" s="44">
      <c r="A528" s="25"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2.75" customHeight="1" s="44">
      <c r="A529" s="25"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2.75" customHeight="1" s="44">
      <c r="A530" s="25"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2.75" customHeight="1" s="44">
      <c r="A531" s="25"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2.75" customHeight="1" s="44">
      <c r="A532" s="25"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2.75" customHeight="1" s="44">
      <c r="A533" s="25"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2.75" customHeight="1" s="44">
      <c r="A534" s="25"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2.75" customHeight="1" s="44">
      <c r="A535" s="25"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2.75" customHeight="1" s="44">
      <c r="A536" s="25"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2.75" customHeight="1" s="44">
      <c r="A537" s="25"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2.75" customHeight="1" s="44">
      <c r="A538" s="25"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2.75" customHeight="1" s="44">
      <c r="A539" s="25"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2.75" customHeight="1" s="44">
      <c r="A540" s="25"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2.75" customHeight="1" s="44">
      <c r="A541" s="25"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2.75" customHeight="1" s="44">
      <c r="A542" s="25"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2.75" customHeight="1" s="44">
      <c r="A543" s="25"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2.75" customHeight="1" s="44">
      <c r="A544" s="25"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2.75" customHeight="1" s="44">
      <c r="A545" s="25"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2.75" customHeight="1" s="44">
      <c r="A546" s="25"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2.75" customHeight="1" s="44">
      <c r="A547" s="25"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2.75" customHeight="1" s="44">
      <c r="A548" s="25"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2.75" customHeight="1" s="44">
      <c r="A549" s="25"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2.75" customHeight="1" s="44">
      <c r="A550" s="25"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2.75" customHeight="1" s="44">
      <c r="A551" s="25"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2.75" customHeight="1" s="44">
      <c r="A552" s="25"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2.75" customHeight="1" s="44">
      <c r="A553" s="25"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2.75" customHeight="1" s="44">
      <c r="A554" s="25"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2.75" customHeight="1" s="44">
      <c r="A555" s="25"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2.75" customHeight="1" s="44">
      <c r="A556" s="25"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2.75" customHeight="1" s="44">
      <c r="A557" s="25"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2.75" customHeight="1" s="44">
      <c r="A558" s="25"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2.75" customHeight="1" s="44">
      <c r="A559" s="25"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2.75" customHeight="1" s="44">
      <c r="A560" s="25"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2.75" customHeight="1" s="44">
      <c r="A561" s="25"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2.75" customHeight="1" s="44">
      <c r="A562" s="25"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2.75" customHeight="1" s="44">
      <c r="A563" s="25"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2.75" customHeight="1" s="44">
      <c r="A564" s="25"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2.75" customHeight="1" s="44">
      <c r="A565" s="25"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2.75" customHeight="1" s="44">
      <c r="A566" s="25"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2.75" customHeight="1" s="44">
      <c r="A567" s="25"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2.75" customHeight="1" s="44">
      <c r="A568" s="25"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2.75" customHeight="1" s="44">
      <c r="A569" s="25"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2.75" customHeight="1" s="44">
      <c r="A570" s="25"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2.75" customHeight="1" s="44">
      <c r="A571" s="25"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2.75" customHeight="1" s="44">
      <c r="A572" s="25"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2.75" customHeight="1" s="44">
      <c r="A573" s="25"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2.75" customHeight="1" s="44">
      <c r="A574" s="25"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2.75" customHeight="1" s="44">
      <c r="A575" s="25"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2.75" customHeight="1" s="44">
      <c r="A576" s="25"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2.75" customHeight="1" s="44">
      <c r="A577" s="25"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2.75" customHeight="1" s="44">
      <c r="A578" s="25"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2.75" customHeight="1" s="44">
      <c r="A579" s="25"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2.75" customHeight="1" s="44">
      <c r="A580" s="25"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2.75" customHeight="1" s="44">
      <c r="A581" s="25"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2.75" customHeight="1" s="44">
      <c r="A582" s="25"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2.75" customHeight="1" s="44">
      <c r="A583" s="25"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2.75" customHeight="1" s="44">
      <c r="A584" s="25"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2.75" customHeight="1" s="44">
      <c r="A585" s="25"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2.75" customHeight="1" s="44">
      <c r="A586" s="25"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2.75" customHeight="1" s="44">
      <c r="A587" s="25"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2.75" customHeight="1" s="44">
      <c r="A588" s="25"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2.75" customHeight="1" s="44">
      <c r="A589" s="25"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2.75" customHeight="1" s="44">
      <c r="A590" s="25"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2.75" customHeight="1" s="44">
      <c r="A591" s="25"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2.75" customHeight="1" s="44">
      <c r="A592" s="25"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2.75" customHeight="1" s="44">
      <c r="A593" s="25"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2.75" customHeight="1" s="44">
      <c r="A594" s="25"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2.75" customHeight="1" s="44">
      <c r="A595" s="25"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2.75" customHeight="1" s="44">
      <c r="A596" s="25"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2.75" customHeight="1" s="44">
      <c r="A597" s="25"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2.75" customHeight="1" s="44">
      <c r="A598" s="25"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2.75" customHeight="1" s="44">
      <c r="A599" s="25"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2.75" customHeight="1" s="44">
      <c r="A600" s="25"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2.75" customHeight="1" s="44">
      <c r="A601" s="25"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2.75" customHeight="1" s="44">
      <c r="A602" s="25"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2.75" customHeight="1" s="44">
      <c r="A603" s="25"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2.75" customHeight="1" s="44">
      <c r="A604" s="25"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2.75" customHeight="1" s="44">
      <c r="A605" s="25"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2.75" customHeight="1" s="44">
      <c r="A606" s="25"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2.75" customHeight="1" s="44">
      <c r="A607" s="25"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2.75" customHeight="1" s="44">
      <c r="A608" s="25"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2.75" customHeight="1" s="44">
      <c r="A609" s="25"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2.75" customHeight="1" s="44">
      <c r="A610" s="25"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2.75" customHeight="1" s="44">
      <c r="A611" s="25"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2.75" customHeight="1" s="44">
      <c r="A612" s="25"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2.75" customHeight="1" s="44">
      <c r="A613" s="25"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2.75" customHeight="1" s="44">
      <c r="A614" s="25"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2.75" customHeight="1" s="44">
      <c r="A615" s="25"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2.75" customHeight="1" s="44">
      <c r="A616" s="25"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2.75" customHeight="1" s="44">
      <c r="A617" s="25"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2.75" customHeight="1" s="44">
      <c r="A618" s="25"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2.75" customHeight="1" s="44">
      <c r="A619" s="25"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2.75" customHeight="1" s="44">
      <c r="A620" s="25"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2.75" customHeight="1" s="44">
      <c r="A621" s="25"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2.75" customHeight="1" s="44">
      <c r="A622" s="25"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2.75" customHeight="1" s="44">
      <c r="A623" s="25"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2.75" customHeight="1" s="44">
      <c r="A624" s="25"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2.75" customHeight="1" s="44">
      <c r="A625" s="25"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2.75" customHeight="1" s="44">
      <c r="A626" s="25"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2.75" customHeight="1" s="44">
      <c r="A627" s="25"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2.75" customHeight="1" s="44">
      <c r="A628" s="25"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2.75" customHeight="1" s="44">
      <c r="A629" s="25"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2.75" customHeight="1" s="44">
      <c r="A630" s="25"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2.75" customHeight="1" s="44">
      <c r="A631" s="25"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2.75" customHeight="1" s="44">
      <c r="A632" s="25"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2.75" customHeight="1" s="44">
      <c r="A633" s="25"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2.75" customHeight="1" s="44">
      <c r="A634" s="25"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2.75" customHeight="1" s="44">
      <c r="A635" s="25"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2.75" customHeight="1" s="44">
      <c r="A636" s="25"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2.75" customHeight="1" s="44">
      <c r="A637" s="25"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2.75" customHeight="1" s="44">
      <c r="A638" s="25"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2.75" customHeight="1" s="44">
      <c r="A639" s="25"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2.75" customHeight="1" s="44">
      <c r="A640" s="25"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2.75" customHeight="1" s="44">
      <c r="A641" s="25"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2.75" customHeight="1" s="44">
      <c r="A642" s="25"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2.75" customHeight="1" s="44">
      <c r="A643" s="25"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2.75" customHeight="1" s="44">
      <c r="A644" s="25"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2.75" customHeight="1" s="44">
      <c r="A645" s="25"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2.75" customHeight="1" s="44">
      <c r="A646" s="25"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2.75" customHeight="1" s="44">
      <c r="A647" s="25"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2.75" customHeight="1" s="44">
      <c r="A648" s="25"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2.75" customHeight="1" s="44">
      <c r="A649" s="25"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2.75" customHeight="1" s="44">
      <c r="A650" s="25"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2.75" customHeight="1" s="44">
      <c r="A651" s="25"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2.75" customHeight="1" s="44">
      <c r="A652" s="25"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2.75" customHeight="1" s="44">
      <c r="A653" s="25"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2.75" customHeight="1" s="44">
      <c r="A654" s="25"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2.75" customHeight="1" s="44">
      <c r="A655" s="25"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2.75" customHeight="1" s="44">
      <c r="A656" s="25"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2.75" customHeight="1" s="44">
      <c r="A657" s="25"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2.75" customHeight="1" s="44">
      <c r="A658" s="25"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2.75" customHeight="1" s="44">
      <c r="A659" s="25"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2.75" customHeight="1" s="44">
      <c r="A660" s="25"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2.75" customHeight="1" s="44">
      <c r="A661" s="25"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2.75" customHeight="1" s="44">
      <c r="A662" s="25"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2.75" customHeight="1" s="44">
      <c r="A663" s="25"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2.75" customHeight="1" s="44">
      <c r="A664" s="25"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2.75" customHeight="1" s="44">
      <c r="A665" s="25"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2.75" customHeight="1" s="44">
      <c r="A666" s="25"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2.75" customHeight="1" s="44">
      <c r="A667" s="25"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2.75" customHeight="1" s="44">
      <c r="A668" s="25"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2.75" customHeight="1" s="44">
      <c r="A669" s="25"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2.75" customHeight="1" s="44">
      <c r="A670" s="25"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2.75" customHeight="1" s="44">
      <c r="A671" s="25"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2.75" customHeight="1" s="44">
      <c r="A672" s="25"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2.75" customHeight="1" s="44">
      <c r="A673" s="25"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2.75" customHeight="1" s="44">
      <c r="A674" s="25"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2.75" customHeight="1" s="44">
      <c r="A675" s="25"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2.75" customHeight="1" s="44">
      <c r="A676" s="25"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2.75" customHeight="1" s="44">
      <c r="A677" s="25"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2.75" customHeight="1" s="44">
      <c r="A678" s="25"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2.75" customHeight="1" s="44">
      <c r="A679" s="25"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2.75" customHeight="1" s="44">
      <c r="A680" s="25"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2.75" customHeight="1" s="44">
      <c r="A681" s="25"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2.75" customHeight="1" s="44">
      <c r="A682" s="25"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2.75" customHeight="1" s="44">
      <c r="A683" s="25"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2.75" customHeight="1" s="44">
      <c r="A684" s="25"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2.75" customHeight="1" s="44">
      <c r="A685" s="25"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2.75" customHeight="1" s="44">
      <c r="A686" s="25"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2.75" customHeight="1" s="44">
      <c r="A687" s="25"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2.75" customHeight="1" s="44">
      <c r="A688" s="25"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2.75" customHeight="1" s="44">
      <c r="A689" s="25"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2.75" customHeight="1" s="44">
      <c r="A690" s="25"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2.75" customHeight="1" s="44">
      <c r="A691" s="25"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2.75" customHeight="1" s="44">
      <c r="A692" s="25"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2.75" customHeight="1" s="44">
      <c r="A693" s="25"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2.75" customHeight="1" s="44">
      <c r="A694" s="25"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2.75" customHeight="1" s="44">
      <c r="A695" s="25"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2.75" customHeight="1" s="44">
      <c r="A696" s="25"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2.75" customHeight="1" s="44">
      <c r="A697" s="25"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2.75" customHeight="1" s="44">
      <c r="A698" s="25"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2.75" customHeight="1" s="44">
      <c r="A699" s="25"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2.75" customHeight="1" s="44">
      <c r="A700" s="25"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2.75" customHeight="1" s="44">
      <c r="A701" s="25"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2.75" customHeight="1" s="44">
      <c r="A702" s="25"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2.75" customHeight="1" s="44">
      <c r="A703" s="25"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2.75" customHeight="1" s="44">
      <c r="A704" s="25"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2.75" customHeight="1" s="44">
      <c r="A705" s="25"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2.75" customHeight="1" s="44">
      <c r="A706" s="25"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2.75" customHeight="1" s="44">
      <c r="A707" s="25"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2.75" customHeight="1" s="44">
      <c r="A708" s="25"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2.75" customHeight="1" s="44">
      <c r="A709" s="25"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2.75" customHeight="1" s="44">
      <c r="A710" s="25"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2.75" customHeight="1" s="44">
      <c r="A711" s="25"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2.75" customHeight="1" s="44">
      <c r="A712" s="25"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2.75" customHeight="1" s="44">
      <c r="A713" s="25"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2.75" customHeight="1" s="44">
      <c r="A714" s="25"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2.75" customHeight="1" s="44">
      <c r="A715" s="25"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2.75" customHeight="1" s="44">
      <c r="A716" s="25"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2.75" customHeight="1" s="44">
      <c r="A717" s="25"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2.75" customHeight="1" s="44">
      <c r="A718" s="25"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2.75" customHeight="1" s="44">
      <c r="A719" s="25"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2.75" customHeight="1" s="44">
      <c r="A720" s="25"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2.75" customHeight="1" s="44">
      <c r="A721" s="25"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2.75" customHeight="1" s="44">
      <c r="A722" s="25"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2.75" customHeight="1" s="44">
      <c r="A723" s="25"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2.75" customHeight="1" s="44">
      <c r="A724" s="25"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2.75" customHeight="1" s="44">
      <c r="A725" s="25"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2.75" customHeight="1" s="44">
      <c r="A726" s="25"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2.75" customHeight="1" s="44">
      <c r="A727" s="25"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2.75" customHeight="1" s="44">
      <c r="A728" s="25"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2.75" customHeight="1" s="44">
      <c r="A729" s="25"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2.75" customHeight="1" s="44">
      <c r="A730" s="25"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2.75" customHeight="1" s="44">
      <c r="A731" s="25"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2.75" customHeight="1" s="44">
      <c r="A732" s="25"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2.75" customHeight="1" s="44">
      <c r="A733" s="25"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2.75" customHeight="1" s="44">
      <c r="A734" s="25"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2.75" customHeight="1" s="44">
      <c r="A735" s="25"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2.75" customHeight="1" s="44">
      <c r="A736" s="25"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2.75" customHeight="1" s="44">
      <c r="A737" s="25"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2.75" customHeight="1" s="44">
      <c r="A738" s="25"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2.75" customHeight="1" s="44">
      <c r="A739" s="25"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2.75" customHeight="1" s="44">
      <c r="A740" s="25"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2.75" customHeight="1" s="44">
      <c r="A741" s="25"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2.75" customHeight="1" s="44">
      <c r="A742" s="25"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2.75" customHeight="1" s="44">
      <c r="A743" s="25"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2.75" customHeight="1" s="44">
      <c r="A744" s="25"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2.75" customHeight="1" s="44">
      <c r="A745" s="25"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2.75" customHeight="1" s="44">
      <c r="A746" s="25"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2.75" customHeight="1" s="44">
      <c r="A747" s="25"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2.75" customHeight="1" s="44">
      <c r="A748" s="25"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2.75" customHeight="1" s="44">
      <c r="A749" s="25"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2.75" customHeight="1" s="44">
      <c r="A750" s="25"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2.75" customHeight="1" s="44">
      <c r="A751" s="25"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2.75" customHeight="1" s="44">
      <c r="A752" s="25"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2.75" customHeight="1" s="44">
      <c r="A753" s="25"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2.75" customHeight="1" s="44">
      <c r="A754" s="25"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2.75" customHeight="1" s="44">
      <c r="A755" s="25"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2.75" customHeight="1" s="44">
      <c r="A756" s="25"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2.75" customHeight="1" s="44">
      <c r="A757" s="25"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2.75" customHeight="1" s="44">
      <c r="A758" s="25"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2.75" customHeight="1" s="44">
      <c r="A759" s="25"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2.75" customHeight="1" s="44">
      <c r="A760" s="25"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2.75" customHeight="1" s="44">
      <c r="A761" s="25"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2.75" customHeight="1" s="44">
      <c r="A762" s="25"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2.75" customHeight="1" s="44">
      <c r="A763" s="25"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2.75" customHeight="1" s="44">
      <c r="A764" s="25"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2.75" customHeight="1" s="44">
      <c r="A765" s="25"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2.75" customHeight="1" s="44">
      <c r="A766" s="25"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2.75" customHeight="1" s="44">
      <c r="A767" s="25"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2.75" customHeight="1" s="44">
      <c r="A768" s="25"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2.75" customHeight="1" s="44">
      <c r="A769" s="25"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2.75" customHeight="1" s="44">
      <c r="A770" s="25"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2.75" customHeight="1" s="44">
      <c r="A771" s="25"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2.75" customHeight="1" s="44">
      <c r="A772" s="25"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2.75" customHeight="1" s="44">
      <c r="A773" s="25"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2.75" customHeight="1" s="44">
      <c r="A774" s="25"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2.75" customHeight="1" s="44">
      <c r="A775" s="25"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2.75" customHeight="1" s="44">
      <c r="A776" s="25"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2.75" customHeight="1" s="44">
      <c r="A777" s="25"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2.75" customHeight="1" s="44">
      <c r="A778" s="25"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2.75" customHeight="1" s="44">
      <c r="A779" s="25"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2.75" customHeight="1" s="44">
      <c r="A780" s="25"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2.75" customHeight="1" s="44">
      <c r="A781" s="25"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2.75" customHeight="1" s="44">
      <c r="A782" s="25"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2.75" customHeight="1" s="44">
      <c r="A783" s="25"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2.75" customHeight="1" s="44">
      <c r="A784" s="25"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2.75" customHeight="1" s="44">
      <c r="A785" s="25"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2.75" customHeight="1" s="44">
      <c r="A786" s="25"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2.75" customHeight="1" s="44">
      <c r="A787" s="25"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2.75" customHeight="1" s="44">
      <c r="A788" s="25"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2.75" customHeight="1" s="44">
      <c r="A789" s="25"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2.75" customHeight="1" s="44">
      <c r="A790" s="25"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2.75" customHeight="1" s="44">
      <c r="A791" s="25"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2.75" customHeight="1" s="44">
      <c r="A792" s="25"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2.75" customHeight="1" s="44">
      <c r="A793" s="25"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2.75" customHeight="1" s="44">
      <c r="A794" s="25"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2.75" customHeight="1" s="44">
      <c r="A795" s="25"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2.75" customHeight="1" s="44">
      <c r="A796" s="25"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2.75" customHeight="1" s="44">
      <c r="A797" s="25"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2.75" customHeight="1" s="44">
      <c r="A798" s="25"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2.75" customHeight="1" s="44">
      <c r="A799" s="25"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2.75" customHeight="1" s="44">
      <c r="A800" s="25"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2.75" customHeight="1" s="44">
      <c r="A801" s="25"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2.75" customHeight="1" s="44">
      <c r="A802" s="25"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2.75" customHeight="1" s="44">
      <c r="A803" s="25"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2.75" customHeight="1" s="44">
      <c r="A804" s="25"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2.75" customHeight="1" s="44">
      <c r="A805" s="25"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2.75" customHeight="1" s="44">
      <c r="A806" s="25"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2.75" customHeight="1" s="44">
      <c r="A807" s="25"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2.75" customHeight="1" s="44">
      <c r="A808" s="25"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2.75" customHeight="1" s="44">
      <c r="A809" s="25"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2.75" customHeight="1" s="44">
      <c r="A810" s="25"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2.75" customHeight="1" s="44">
      <c r="A811" s="25"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2.75" customHeight="1" s="44">
      <c r="A812" s="25"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2.75" customHeight="1" s="44">
      <c r="A813" s="25"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2.75" customHeight="1" s="44">
      <c r="A814" s="25"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2.75" customHeight="1" s="44">
      <c r="A815" s="25"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2.75" customHeight="1" s="44">
      <c r="A816" s="25"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2.75" customHeight="1" s="44">
      <c r="A817" s="25"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2.75" customHeight="1" s="44">
      <c r="A818" s="25"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2.75" customHeight="1" s="44">
      <c r="A819" s="25"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2.75" customHeight="1" s="44">
      <c r="A820" s="25"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2.75" customHeight="1" s="44">
      <c r="A821" s="25"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2.75" customHeight="1" s="44">
      <c r="A822" s="25"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2.75" customHeight="1" s="44">
      <c r="A823" s="25"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2.75" customHeight="1" s="44">
      <c r="A824" s="25"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2.75" customHeight="1" s="44">
      <c r="A825" s="25"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2.75" customHeight="1" s="44">
      <c r="A826" s="25"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2.75" customHeight="1" s="44">
      <c r="A827" s="25"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2.75" customHeight="1" s="44">
      <c r="A828" s="25"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2.75" customHeight="1" s="44">
      <c r="A829" s="25"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2.75" customHeight="1" s="44">
      <c r="A830" s="25"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2.75" customHeight="1" s="44">
      <c r="A831" s="25"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2.75" customHeight="1" s="44">
      <c r="A832" s="25"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2.75" customHeight="1" s="44">
      <c r="A833" s="25"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2.75" customHeight="1" s="44">
      <c r="A834" s="25"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2.75" customHeight="1" s="44">
      <c r="A835" s="25"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2.75" customHeight="1" s="44">
      <c r="A836" s="25"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2.75" customHeight="1" s="44">
      <c r="A837" s="25"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2.75" customHeight="1" s="44">
      <c r="A838" s="25"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2.75" customHeight="1" s="44">
      <c r="A839" s="25"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2.75" customHeight="1" s="44">
      <c r="A840" s="25"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2.75" customHeight="1" s="44">
      <c r="A841" s="25"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2.75" customHeight="1" s="44">
      <c r="A842" s="25"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2.75" customHeight="1" s="44">
      <c r="A843" s="25"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2.75" customHeight="1" s="44">
      <c r="A844" s="25"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2.75" customHeight="1" s="44">
      <c r="A845" s="25"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2.75" customHeight="1" s="44">
      <c r="A846" s="25"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2.75" customHeight="1" s="44">
      <c r="A847" s="25"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2.75" customHeight="1" s="44">
      <c r="A848" s="25"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2.75" customHeight="1" s="44">
      <c r="A849" s="25"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2.75" customHeight="1" s="44">
      <c r="A850" s="25"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2.75" customHeight="1" s="44">
      <c r="A851" s="25"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2.75" customHeight="1" s="44">
      <c r="A852" s="25"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2.75" customHeight="1" s="44">
      <c r="A853" s="25"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2.75" customHeight="1" s="44">
      <c r="A854" s="25"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2.75" customHeight="1" s="44">
      <c r="A855" s="25"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2.75" customHeight="1" s="44">
      <c r="A856" s="25"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2.75" customHeight="1" s="44">
      <c r="A857" s="25"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2.75" customHeight="1" s="44">
      <c r="A858" s="25"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2.75" customHeight="1" s="44">
      <c r="A859" s="25"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2.75" customHeight="1" s="44">
      <c r="A860" s="25"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2.75" customHeight="1" s="44">
      <c r="A861" s="25"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2.75" customHeight="1" s="44">
      <c r="A862" s="25"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2.75" customHeight="1" s="44">
      <c r="A863" s="25"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2.75" customHeight="1" s="44">
      <c r="A864" s="25"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2.75" customHeight="1" s="44">
      <c r="A865" s="25"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2.75" customHeight="1" s="44">
      <c r="A866" s="25"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2.75" customHeight="1" s="44">
      <c r="A867" s="25"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2.75" customHeight="1" s="44">
      <c r="A868" s="25"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2.75" customHeight="1" s="44">
      <c r="A869" s="25"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2.75" customHeight="1" s="44">
      <c r="A870" s="25"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2.75" customHeight="1" s="44">
      <c r="A871" s="25"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2.75" customHeight="1" s="44">
      <c r="A872" s="25"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2.75" customHeight="1" s="44">
      <c r="A873" s="25"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2.75" customHeight="1" s="44">
      <c r="A874" s="25"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2.75" customHeight="1" s="44">
      <c r="A875" s="25"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2.75" customHeight="1" s="44">
      <c r="A876" s="25"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2.75" customHeight="1" s="44">
      <c r="A877" s="25"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2.75" customHeight="1" s="44">
      <c r="A878" s="25"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2.75" customHeight="1" s="44">
      <c r="A879" s="25"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2.75" customHeight="1" s="44">
      <c r="A880" s="25"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2.75" customHeight="1" s="44">
      <c r="A881" s="25"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2.75" customHeight="1" s="44">
      <c r="A882" s="25"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2.75" customHeight="1" s="44">
      <c r="A883" s="25"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2.75" customHeight="1" s="44">
      <c r="A884" s="25"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2.75" customHeight="1" s="44">
      <c r="A885" s="25"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2.75" customHeight="1" s="44">
      <c r="A886" s="25"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2.75" customHeight="1" s="44">
      <c r="A887" s="25"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2.75" customHeight="1" s="44">
      <c r="A888" s="25"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2.75" customHeight="1" s="44">
      <c r="A889" s="25"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2.75" customHeight="1" s="44">
      <c r="A890" s="25"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2.75" customHeight="1" s="44">
      <c r="A891" s="25"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2.75" customHeight="1" s="44">
      <c r="A892" s="25"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2.75" customHeight="1" s="44">
      <c r="A893" s="25"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2.75" customHeight="1" s="44">
      <c r="A894" s="25"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2.75" customHeight="1" s="44">
      <c r="A895" s="25"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2.75" customHeight="1" s="44">
      <c r="A896" s="25"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2.75" customHeight="1" s="44">
      <c r="A897" s="25"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2.75" customHeight="1" s="44">
      <c r="A898" s="25"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2.75" customHeight="1" s="44">
      <c r="A899" s="25"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2.75" customHeight="1" s="44">
      <c r="A900" s="25"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2.75" customHeight="1" s="44">
      <c r="A901" s="25"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2.75" customHeight="1" s="44">
      <c r="A902" s="25"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2.75" customHeight="1" s="44">
      <c r="A903" s="25"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2.75" customHeight="1" s="44">
      <c r="A904" s="25"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2.75" customHeight="1" s="44">
      <c r="A905" s="25"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2.75" customHeight="1" s="44">
      <c r="A906" s="25"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2.75" customHeight="1" s="44">
      <c r="A907" s="25"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2.75" customHeight="1" s="44">
      <c r="A908" s="25"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2.75" customHeight="1" s="44">
      <c r="A909" s="25"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2.75" customHeight="1" s="44">
      <c r="A910" s="25"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2.75" customHeight="1" s="44">
      <c r="A911" s="25"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2.75" customHeight="1" s="44">
      <c r="A912" s="25"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2.75" customHeight="1" s="44">
      <c r="A913" s="25"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2.75" customHeight="1" s="44">
      <c r="A914" s="25"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2.75" customHeight="1" s="44">
      <c r="A915" s="25"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2.75" customHeight="1" s="44">
      <c r="A916" s="25"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2.75" customHeight="1" s="44">
      <c r="A917" s="25"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2.75" customHeight="1" s="44">
      <c r="A918" s="25"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2.75" customHeight="1" s="44">
      <c r="A919" s="25"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2.75" customHeight="1" s="44">
      <c r="A920" s="25"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2.75" customHeight="1" s="44">
      <c r="A921" s="25"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2.75" customHeight="1" s="44">
      <c r="A922" s="25"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2.75" customHeight="1" s="44">
      <c r="A923" s="25"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2.75" customHeight="1" s="44">
      <c r="A924" s="25"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2.75" customHeight="1" s="44">
      <c r="A925" s="25"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2.75" customHeight="1" s="44">
      <c r="A926" s="25"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2.75" customHeight="1" s="44">
      <c r="A927" s="25"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2.75" customHeight="1" s="44">
      <c r="A928" s="25"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2.75" customHeight="1" s="44">
      <c r="A929" s="25"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2.75" customHeight="1" s="44">
      <c r="A930" s="25"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2.75" customHeight="1" s="44">
      <c r="A931" s="25"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2.75" customHeight="1" s="44">
      <c r="A932" s="25"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2.75" customHeight="1" s="44">
      <c r="A933" s="25"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2.75" customHeight="1" s="44">
      <c r="A934" s="25"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2.75" customHeight="1" s="44">
      <c r="A935" s="25"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2.75" customHeight="1" s="44">
      <c r="A936" s="25"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2.75" customHeight="1" s="44">
      <c r="A937" s="25"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2.75" customHeight="1" s="44">
      <c r="A938" s="25"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2.75" customHeight="1" s="44">
      <c r="A939" s="25"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2.75" customHeight="1" s="44">
      <c r="A940" s="25"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2.75" customHeight="1" s="44">
      <c r="A941" s="25"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2.75" customHeight="1" s="44">
      <c r="A942" s="25"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2.75" customHeight="1" s="44">
      <c r="A943" s="25"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2.75" customHeight="1" s="44">
      <c r="A944" s="25"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2.75" customHeight="1" s="44">
      <c r="A945" s="25"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2.75" customHeight="1" s="44">
      <c r="A946" s="25"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2.75" customHeight="1" s="44">
      <c r="A947" s="25"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2.75" customHeight="1" s="44">
      <c r="A948" s="25"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2.75" customHeight="1" s="44">
      <c r="A949" s="25"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2.75" customHeight="1" s="44">
      <c r="A950" s="25"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2.75" customHeight="1" s="44">
      <c r="A951" s="25"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2.75" customHeight="1" s="44">
      <c r="A952" s="25"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2.75" customHeight="1" s="44">
      <c r="A953" s="25"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2.75" customHeight="1" s="44">
      <c r="A954" s="25"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2.75" customHeight="1" s="44">
      <c r="A955" s="25"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2.75" customHeight="1" s="44">
      <c r="A956" s="25"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2.75" customHeight="1" s="44">
      <c r="A957" s="25"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2.75" customHeight="1" s="44">
      <c r="A958" s="25"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2.75" customHeight="1" s="44">
      <c r="A959" s="25"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2.75" customHeight="1" s="44">
      <c r="A960" s="25"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2.75" customHeight="1" s="44">
      <c r="A961" s="25"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2.75" customHeight="1" s="44">
      <c r="A962" s="25"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2.75" customHeight="1" s="44">
      <c r="A963" s="25"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2.75" customHeight="1" s="44">
      <c r="A964" s="25"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2.75" customHeight="1" s="44">
      <c r="A965" s="25"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2.75" customHeight="1" s="44">
      <c r="A966" s="25"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2.75" customHeight="1" s="44">
      <c r="A967" s="25"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2.75" customHeight="1" s="44">
      <c r="A968" s="25"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2.75" customHeight="1" s="44">
      <c r="A969" s="25"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2.75" customHeight="1" s="44">
      <c r="A970" s="25"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2.75" customHeight="1" s="44">
      <c r="A971" s="25"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2.75" customHeight="1" s="44">
      <c r="A972" s="25"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2.75" customHeight="1" s="44">
      <c r="A973" s="25"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2.75" customHeight="1" s="44">
      <c r="A974" s="25"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2.75" customHeight="1" s="44">
      <c r="A975" s="25"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2.75" customHeight="1" s="44">
      <c r="A976" s="25"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2.75" customHeight="1" s="44">
      <c r="A977" s="25"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2.75" customHeight="1" s="44">
      <c r="A978" s="25"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2.75" customHeight="1" s="44">
      <c r="A979" s="25"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2.75" customHeight="1" s="44">
      <c r="A980" s="25"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2.75" customHeight="1" s="44">
      <c r="A981" s="25"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2.75" customHeight="1" s="44">
      <c r="A982" s="25"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2.75" customHeight="1" s="44">
      <c r="A983" s="25"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2.75" customHeight="1" s="44">
      <c r="A984" s="25"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2.75" customHeight="1" s="44">
      <c r="A985" s="25"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2.75" customHeight="1" s="44">
      <c r="A986" s="25"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2.75" customHeight="1" s="44">
      <c r="A987" s="25"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2.75" customHeight="1" s="44">
      <c r="A988" s="25"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2.75" customHeight="1" s="44">
      <c r="A989" s="25"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2.75" customHeight="1" s="44">
      <c r="A990" s="25"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2.75" customHeight="1" s="44">
      <c r="A991" s="25"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2.75" customHeight="1" s="44">
      <c r="A992" s="25"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2.75" customHeight="1" s="44">
      <c r="A993" s="25"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2.75" customHeight="1" s="44">
      <c r="A994" s="25"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2.75" customHeight="1" s="44">
      <c r="A995" s="25"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2.75" customHeight="1" s="44">
      <c r="A996" s="25"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2.75" customHeight="1" s="44">
      <c r="A997" s="25"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2.75" customHeight="1" s="44">
      <c r="A998" s="25"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2.75" customHeight="1" s="44">
      <c r="A999" s="25"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2.75" customHeight="1" s="44">
      <c r="A1000" s="25"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row r="1001" ht="12.75" customHeight="1" s="44">
      <c r="A1001" s="25" t="n"/>
      <c r="B1001" s="12" t="n"/>
      <c r="C1001" s="12" t="n"/>
      <c r="D1001" s="12" t="n"/>
      <c r="E1001" s="12" t="n"/>
      <c r="F1001" s="12" t="n"/>
      <c r="G1001" s="12" t="n"/>
      <c r="H1001" s="12" t="n"/>
      <c r="I1001" s="12" t="n"/>
      <c r="J1001" s="12" t="n"/>
      <c r="K1001" s="12" t="n"/>
      <c r="L1001" s="12" t="n"/>
      <c r="M1001" s="12" t="n"/>
      <c r="N1001" s="12" t="n"/>
      <c r="O1001" s="12" t="n"/>
      <c r="P1001" s="12" t="n"/>
      <c r="Q1001" s="12" t="n"/>
      <c r="R1001" s="12" t="n"/>
      <c r="S1001" s="12" t="n"/>
      <c r="T1001" s="12" t="n"/>
      <c r="U1001" s="12" t="n"/>
      <c r="V1001" s="12" t="n"/>
      <c r="W1001" s="12" t="n"/>
      <c r="X1001" s="12" t="n"/>
      <c r="Y1001" s="12" t="n"/>
      <c r="Z1001" s="12" t="n"/>
    </row>
    <row r="1002" ht="12.75" customHeight="1" s="44">
      <c r="A1002" s="25" t="n"/>
      <c r="B1002" s="12" t="n"/>
      <c r="C1002" s="12" t="n"/>
      <c r="D1002" s="12" t="n"/>
      <c r="E1002" s="12" t="n"/>
      <c r="F1002" s="12" t="n"/>
      <c r="G1002" s="12" t="n"/>
      <c r="H1002" s="12" t="n"/>
      <c r="I1002" s="12" t="n"/>
      <c r="J1002" s="12" t="n"/>
      <c r="K1002" s="12" t="n"/>
      <c r="L1002" s="12" t="n"/>
      <c r="M1002" s="12" t="n"/>
      <c r="N1002" s="12" t="n"/>
      <c r="O1002" s="12" t="n"/>
      <c r="P1002" s="12" t="n"/>
      <c r="Q1002" s="12" t="n"/>
      <c r="R1002" s="12" t="n"/>
      <c r="S1002" s="12" t="n"/>
      <c r="T1002" s="12" t="n"/>
      <c r="U1002" s="12" t="n"/>
      <c r="V1002" s="12" t="n"/>
      <c r="W1002" s="12" t="n"/>
      <c r="X1002" s="12" t="n"/>
      <c r="Y1002" s="12" t="n"/>
      <c r="Z1002" s="12" t="n"/>
    </row>
    <row r="1003" ht="12.75" customHeight="1" s="44">
      <c r="A1003" s="25" t="n"/>
      <c r="B1003" s="12" t="n"/>
      <c r="C1003" s="12" t="n"/>
      <c r="D1003" s="12" t="n"/>
      <c r="E1003" s="12" t="n"/>
      <c r="F1003" s="12" t="n"/>
      <c r="G1003" s="12" t="n"/>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row>
    <row r="1004" ht="12.75" customHeight="1" s="44">
      <c r="A1004" s="25" t="n"/>
      <c r="B1004" s="12" t="n"/>
      <c r="C1004" s="12" t="n"/>
      <c r="D1004" s="12" t="n"/>
      <c r="E1004" s="12" t="n"/>
      <c r="F1004" s="12" t="n"/>
      <c r="G1004" s="12" t="n"/>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row>
    <row r="1005" ht="12.75" customHeight="1" s="44">
      <c r="A1005" s="25" t="n"/>
      <c r="B1005" s="12" t="n"/>
      <c r="C1005" s="12" t="n"/>
      <c r="D1005" s="12" t="n"/>
      <c r="E1005" s="12" t="n"/>
      <c r="F1005" s="12" t="n"/>
      <c r="G1005" s="12" t="n"/>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row>
    <row r="1006" ht="12.75" customHeight="1" s="44">
      <c r="A1006" s="25" t="n"/>
      <c r="B1006" s="12" t="n"/>
      <c r="C1006" s="12" t="n"/>
      <c r="D1006" s="12" t="n"/>
      <c r="E1006" s="12" t="n"/>
      <c r="F1006" s="12" t="n"/>
      <c r="G1006" s="12" t="n"/>
      <c r="H1006" s="12" t="n"/>
      <c r="I1006" s="12" t="n"/>
      <c r="J1006" s="12" t="n"/>
      <c r="K1006" s="12" t="n"/>
      <c r="L1006" s="12" t="n"/>
      <c r="M1006" s="12" t="n"/>
      <c r="N1006" s="12" t="n"/>
      <c r="O1006" s="12" t="n"/>
      <c r="P1006" s="12" t="n"/>
      <c r="Q1006" s="12" t="n"/>
      <c r="R1006" s="12" t="n"/>
      <c r="S1006" s="12" t="n"/>
      <c r="T1006" s="12" t="n"/>
      <c r="U1006" s="12" t="n"/>
      <c r="V1006" s="12" t="n"/>
      <c r="W1006" s="12" t="n"/>
      <c r="X1006" s="12" t="n"/>
      <c r="Y1006" s="12" t="n"/>
      <c r="Z1006" s="12" t="n"/>
    </row>
    <row r="1007" ht="12.75" customHeight="1" s="44">
      <c r="A1007" s="25" t="n"/>
      <c r="B1007" s="12" t="n"/>
      <c r="C1007" s="12" t="n"/>
      <c r="D1007" s="12" t="n"/>
      <c r="E1007" s="12" t="n"/>
      <c r="F1007" s="12" t="n"/>
      <c r="G1007" s="12" t="n"/>
      <c r="H1007" s="12" t="n"/>
      <c r="I1007" s="12" t="n"/>
      <c r="J1007" s="12" t="n"/>
      <c r="K1007" s="12" t="n"/>
      <c r="L1007" s="12" t="n"/>
      <c r="M1007" s="12" t="n"/>
      <c r="N1007" s="12" t="n"/>
      <c r="O1007" s="12" t="n"/>
      <c r="P1007" s="12" t="n"/>
      <c r="Q1007" s="12" t="n"/>
      <c r="R1007" s="12" t="n"/>
      <c r="S1007" s="12" t="n"/>
      <c r="T1007" s="12" t="n"/>
      <c r="U1007" s="12" t="n"/>
      <c r="V1007" s="12" t="n"/>
      <c r="W1007" s="12" t="n"/>
      <c r="X1007" s="12" t="n"/>
      <c r="Y1007" s="12" t="n"/>
      <c r="Z1007" s="12" t="n"/>
    </row>
  </sheetData>
  <hyperlinks>
    <hyperlink xmlns:r="http://schemas.openxmlformats.org/officeDocument/2006/relationships" ref="A6" r:id="rId1"/>
  </hyperlinks>
  <pageMargins left="0.75" right="0.75" top="1" bottom="1" header="0" footer="0"/>
  <pageSetup orientation="portrait" scale="75"/>
  <headerFooter>
    <oddHeader>&amp;CCommon Data Set 2023-2024</oddHeader>
    <oddFooter>&amp;C&amp;A&amp;RPage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L1083"/>
  <sheetViews>
    <sheetView topLeftCell="A236" workbookViewId="0">
      <selection activeCell="C255" sqref="C255"/>
    </sheetView>
  </sheetViews>
  <sheetFormatPr baseColWidth="8" defaultRowHeight="15"/>
  <cols>
    <col width="52.5703125" customWidth="1" style="44" min="2" max="2"/>
    <col width="31.5703125" customWidth="1" style="44" min="3" max="3"/>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c r="A2" t="inlineStr">
        <is>
          <t>A01</t>
        </is>
      </c>
      <c r="B2" t="inlineStr">
        <is>
          <t>Name:</t>
        </is>
      </c>
      <c r="C2">
        <f>IFERROR(IF(VLOOKUP($A2,'CDS-A'!$A:$L,3,FALSE)="","",(VLOOKUP($A2,'CDS-A'!$A:$L,3,FALSE))),"")</f>
        <v/>
      </c>
      <c r="D2" t="inlineStr">
        <is>
          <t>General Information</t>
        </is>
      </c>
      <c r="E2" t="inlineStr">
        <is>
          <t>Respondent Information</t>
        </is>
      </c>
      <c r="F2" t="inlineStr">
        <is>
          <t>All</t>
        </is>
      </c>
      <c r="G2" t="inlineStr">
        <is>
          <t>All</t>
        </is>
      </c>
      <c r="H2" t="inlineStr">
        <is>
          <t>All</t>
        </is>
      </c>
      <c r="I2" t="inlineStr">
        <is>
          <t>All</t>
        </is>
      </c>
      <c r="J2" t="inlineStr">
        <is>
          <t>All</t>
        </is>
      </c>
      <c r="K2" t="inlineStr">
        <is>
          <t>All</t>
        </is>
      </c>
      <c r="L2" t="inlineStr">
        <is>
          <t>Text</t>
        </is>
      </c>
    </row>
    <row r="3">
      <c r="A3" t="inlineStr">
        <is>
          <t>A02</t>
        </is>
      </c>
      <c r="B3" t="inlineStr">
        <is>
          <t>Title:</t>
        </is>
      </c>
      <c r="C3">
        <f>IFERROR(IF(VLOOKUP($A3,'CDS-A'!$A:$L,3,FALSE)="","",(VLOOKUP($A3,'CDS-A'!$A:$L,3,FALSE))),"")</f>
        <v/>
      </c>
      <c r="D3" t="inlineStr">
        <is>
          <t>General Information</t>
        </is>
      </c>
      <c r="E3" t="inlineStr">
        <is>
          <t>Respondent Information</t>
        </is>
      </c>
      <c r="F3" t="inlineStr">
        <is>
          <t>All</t>
        </is>
      </c>
      <c r="G3" t="inlineStr">
        <is>
          <t>All</t>
        </is>
      </c>
      <c r="H3" t="inlineStr">
        <is>
          <t>All</t>
        </is>
      </c>
      <c r="I3" t="inlineStr">
        <is>
          <t>All</t>
        </is>
      </c>
      <c r="J3" t="inlineStr">
        <is>
          <t>All</t>
        </is>
      </c>
      <c r="K3" t="inlineStr">
        <is>
          <t>All</t>
        </is>
      </c>
      <c r="L3" t="inlineStr">
        <is>
          <t>Text</t>
        </is>
      </c>
    </row>
    <row r="4">
      <c r="A4" t="inlineStr">
        <is>
          <t>A03</t>
        </is>
      </c>
      <c r="B4" t="inlineStr">
        <is>
          <t>Office:</t>
        </is>
      </c>
      <c r="C4">
        <f>IFERROR(IF(VLOOKUP($A4,'CDS-A'!$A:$L,3,FALSE)="","",(VLOOKUP($A4,'CDS-A'!$A:$L,3,FALSE))),"")</f>
        <v/>
      </c>
      <c r="D4" t="inlineStr">
        <is>
          <t>General Information</t>
        </is>
      </c>
      <c r="E4" t="inlineStr">
        <is>
          <t>Respondent Information</t>
        </is>
      </c>
      <c r="F4" t="inlineStr">
        <is>
          <t>All</t>
        </is>
      </c>
      <c r="G4" t="inlineStr">
        <is>
          <t>All</t>
        </is>
      </c>
      <c r="H4" t="inlineStr">
        <is>
          <t>All</t>
        </is>
      </c>
      <c r="I4" t="inlineStr">
        <is>
          <t>All</t>
        </is>
      </c>
      <c r="J4" t="inlineStr">
        <is>
          <t>All</t>
        </is>
      </c>
      <c r="K4" t="inlineStr">
        <is>
          <t>All</t>
        </is>
      </c>
      <c r="L4" t="inlineStr">
        <is>
          <t>Text</t>
        </is>
      </c>
    </row>
    <row r="5">
      <c r="A5" t="inlineStr">
        <is>
          <t>A04</t>
        </is>
      </c>
      <c r="B5" t="inlineStr">
        <is>
          <t>Mailing Address:</t>
        </is>
      </c>
      <c r="C5">
        <f>IFERROR(IF(VLOOKUP($A5,'CDS-A'!$A:$L,3,FALSE)="","",(VLOOKUP($A5,'CDS-A'!$A:$L,3,FALSE))),"")</f>
        <v/>
      </c>
      <c r="D5" t="inlineStr">
        <is>
          <t>General Information</t>
        </is>
      </c>
      <c r="E5" t="inlineStr">
        <is>
          <t>Respondent Information</t>
        </is>
      </c>
      <c r="F5" t="inlineStr">
        <is>
          <t>All</t>
        </is>
      </c>
      <c r="G5" t="inlineStr">
        <is>
          <t>All</t>
        </is>
      </c>
      <c r="H5" t="inlineStr">
        <is>
          <t>All</t>
        </is>
      </c>
      <c r="I5" t="inlineStr">
        <is>
          <t>All</t>
        </is>
      </c>
      <c r="J5" t="inlineStr">
        <is>
          <t>All</t>
        </is>
      </c>
      <c r="K5" t="inlineStr">
        <is>
          <t>All</t>
        </is>
      </c>
      <c r="L5" t="inlineStr">
        <is>
          <t>Text</t>
        </is>
      </c>
    </row>
    <row r="6">
      <c r="A6" t="inlineStr">
        <is>
          <t>A05</t>
        </is>
      </c>
      <c r="B6" t="inlineStr">
        <is>
          <t>City/State/Zip/Country:</t>
        </is>
      </c>
      <c r="C6">
        <f>IFERROR(IF(VLOOKUP($A6,'CDS-A'!$A:$L,3,FALSE)="","",(VLOOKUP($A6,'CDS-A'!$A:$L,3,FALSE))),"")</f>
        <v/>
      </c>
      <c r="D6" t="inlineStr">
        <is>
          <t>General Information</t>
        </is>
      </c>
      <c r="E6" t="inlineStr">
        <is>
          <t>Respondent Information</t>
        </is>
      </c>
      <c r="F6" t="inlineStr">
        <is>
          <t>All</t>
        </is>
      </c>
      <c r="G6" t="inlineStr">
        <is>
          <t>All</t>
        </is>
      </c>
      <c r="H6" t="inlineStr">
        <is>
          <t>All</t>
        </is>
      </c>
      <c r="I6" t="inlineStr">
        <is>
          <t>All</t>
        </is>
      </c>
      <c r="J6" t="inlineStr">
        <is>
          <t>All</t>
        </is>
      </c>
      <c r="K6" t="inlineStr">
        <is>
          <t>All</t>
        </is>
      </c>
      <c r="L6" t="inlineStr">
        <is>
          <t>Text</t>
        </is>
      </c>
    </row>
    <row r="7">
      <c r="A7" t="inlineStr">
        <is>
          <t>A06</t>
        </is>
      </c>
      <c r="B7" t="inlineStr">
        <is>
          <t>Phone:</t>
        </is>
      </c>
      <c r="C7">
        <f>IFERROR(IF(VLOOKUP($A7,'CDS-A'!$A:$L,3,FALSE)="","",(VLOOKUP($A7,'CDS-A'!$A:$L,3,FALSE))),"")</f>
        <v/>
      </c>
      <c r="D7" t="inlineStr">
        <is>
          <t>General Information</t>
        </is>
      </c>
      <c r="E7" t="inlineStr">
        <is>
          <t>Respondent Information</t>
        </is>
      </c>
      <c r="F7" t="inlineStr">
        <is>
          <t>All</t>
        </is>
      </c>
      <c r="G7" t="inlineStr">
        <is>
          <t>All</t>
        </is>
      </c>
      <c r="H7" t="inlineStr">
        <is>
          <t>All</t>
        </is>
      </c>
      <c r="I7" t="inlineStr">
        <is>
          <t>All</t>
        </is>
      </c>
      <c r="J7" t="inlineStr">
        <is>
          <t>All</t>
        </is>
      </c>
      <c r="K7" t="inlineStr">
        <is>
          <t>All</t>
        </is>
      </c>
      <c r="L7" t="inlineStr">
        <is>
          <t>Text</t>
        </is>
      </c>
    </row>
    <row r="8">
      <c r="A8" t="inlineStr">
        <is>
          <t>A07</t>
        </is>
      </c>
      <c r="B8" t="inlineStr">
        <is>
          <t>Fax:</t>
        </is>
      </c>
      <c r="C8">
        <f>IFERROR(IF(VLOOKUP($A8,'CDS-A'!$A:$L,3,FALSE)="","",(VLOOKUP($A8,'CDS-A'!$A:$L,3,FALSE))),"")</f>
        <v/>
      </c>
      <c r="D8" t="inlineStr">
        <is>
          <t>General Information</t>
        </is>
      </c>
      <c r="E8" t="inlineStr">
        <is>
          <t>Respondent Information</t>
        </is>
      </c>
      <c r="F8" t="inlineStr">
        <is>
          <t>All</t>
        </is>
      </c>
      <c r="G8" t="inlineStr">
        <is>
          <t>All</t>
        </is>
      </c>
      <c r="H8" t="inlineStr">
        <is>
          <t>All</t>
        </is>
      </c>
      <c r="I8" t="inlineStr">
        <is>
          <t>All</t>
        </is>
      </c>
      <c r="J8" t="inlineStr">
        <is>
          <t>All</t>
        </is>
      </c>
      <c r="K8" t="inlineStr">
        <is>
          <t>All</t>
        </is>
      </c>
      <c r="L8" t="inlineStr">
        <is>
          <t>Text</t>
        </is>
      </c>
    </row>
    <row r="9">
      <c r="A9" t="inlineStr">
        <is>
          <t>A08</t>
        </is>
      </c>
      <c r="B9" t="inlineStr">
        <is>
          <t>E-mail Address:</t>
        </is>
      </c>
      <c r="C9">
        <f>IFERROR(IF(VLOOKUP($A9,'CDS-A'!$A:$L,3,FALSE)="","",(VLOOKUP($A9,'CDS-A'!$A:$L,3,FALSE))),"")</f>
        <v/>
      </c>
      <c r="D9" t="inlineStr">
        <is>
          <t>General Information</t>
        </is>
      </c>
      <c r="E9" t="inlineStr">
        <is>
          <t>Respondent Information</t>
        </is>
      </c>
      <c r="F9" t="inlineStr">
        <is>
          <t>All</t>
        </is>
      </c>
      <c r="G9" t="inlineStr">
        <is>
          <t>All</t>
        </is>
      </c>
      <c r="H9" t="inlineStr">
        <is>
          <t>All</t>
        </is>
      </c>
      <c r="I9" t="inlineStr">
        <is>
          <t>All</t>
        </is>
      </c>
      <c r="J9" t="inlineStr">
        <is>
          <t>All</t>
        </is>
      </c>
      <c r="K9" t="inlineStr">
        <is>
          <t>All</t>
        </is>
      </c>
      <c r="L9" t="inlineStr">
        <is>
          <t>Email Address</t>
        </is>
      </c>
    </row>
    <row r="10">
      <c r="A10" t="inlineStr">
        <is>
          <t>A09</t>
        </is>
      </c>
      <c r="B10" t="inlineStr">
        <is>
          <t>Are your responses to the CDS posted for reference on your institution's Web site?</t>
        </is>
      </c>
      <c r="C10">
        <f>IFERROR(IF(VLOOKUP($A10,'CDS-A'!$A:$L,3,FALSE)="","",(VLOOKUP($A10,'CDS-A'!$A:$L,3,FALSE))),"")</f>
        <v/>
      </c>
      <c r="D10" t="inlineStr">
        <is>
          <t>General Information</t>
        </is>
      </c>
      <c r="E10" t="inlineStr">
        <is>
          <t>Respondent Information</t>
        </is>
      </c>
      <c r="F10" t="inlineStr">
        <is>
          <t>All</t>
        </is>
      </c>
      <c r="G10" t="inlineStr">
        <is>
          <t>All</t>
        </is>
      </c>
      <c r="H10" t="inlineStr">
        <is>
          <t>All</t>
        </is>
      </c>
      <c r="I10" t="inlineStr">
        <is>
          <t>All</t>
        </is>
      </c>
      <c r="J10" t="inlineStr">
        <is>
          <t>All</t>
        </is>
      </c>
      <c r="K10" t="inlineStr">
        <is>
          <t>All</t>
        </is>
      </c>
      <c r="L10" t="inlineStr">
        <is>
          <t>YN</t>
        </is>
      </c>
    </row>
    <row r="11">
      <c r="A11" t="inlineStr">
        <is>
          <t>A010</t>
        </is>
      </c>
      <c r="B11" t="inlineStr">
        <is>
          <t>If yes, please provide the URL of the corresponding Web page:</t>
        </is>
      </c>
      <c r="C11">
        <f>IFERROR(IF(VLOOKUP($A11,'CDS-A'!$A:$L,3,FALSE)="","",(VLOOKUP($A11,'CDS-A'!$A:$L,3,FALSE))),"")</f>
        <v/>
      </c>
      <c r="D11" t="inlineStr">
        <is>
          <t>General Information</t>
        </is>
      </c>
      <c r="E11" t="inlineStr">
        <is>
          <t>Respondent Information</t>
        </is>
      </c>
      <c r="F11" t="inlineStr">
        <is>
          <t>All</t>
        </is>
      </c>
      <c r="G11" t="inlineStr">
        <is>
          <t>All</t>
        </is>
      </c>
      <c r="H11" t="inlineStr">
        <is>
          <t>All</t>
        </is>
      </c>
      <c r="I11" t="inlineStr">
        <is>
          <t>All</t>
        </is>
      </c>
      <c r="J11" t="inlineStr">
        <is>
          <t>All</t>
        </is>
      </c>
      <c r="K11" t="inlineStr">
        <is>
          <t>All</t>
        </is>
      </c>
      <c r="L11" t="inlineStr">
        <is>
          <t>URL</t>
        </is>
      </c>
    </row>
    <row r="12">
      <c r="A12" t="inlineStr">
        <is>
          <t>A0A</t>
        </is>
      </c>
      <c r="B12" t="inlineStr">
        <is>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is>
      </c>
      <c r="C12">
        <f>IFERROR(IF(VLOOKUP($A12,'CDS-A'!$A:$L,3,FALSE)="","",(VLOOKUP($A12,'CDS-A'!$A:$L,3,FALSE))),"")</f>
        <v/>
      </c>
      <c r="D12" t="inlineStr">
        <is>
          <t>General Information</t>
        </is>
      </c>
      <c r="E12" t="inlineStr">
        <is>
          <t>Respondent Information</t>
        </is>
      </c>
      <c r="F12" t="inlineStr">
        <is>
          <t>All</t>
        </is>
      </c>
      <c r="G12" t="inlineStr">
        <is>
          <t>All</t>
        </is>
      </c>
      <c r="H12" t="inlineStr">
        <is>
          <t>All</t>
        </is>
      </c>
      <c r="I12" t="inlineStr">
        <is>
          <t>All</t>
        </is>
      </c>
      <c r="J12" t="inlineStr">
        <is>
          <t>All</t>
        </is>
      </c>
      <c r="K12" t="inlineStr">
        <is>
          <t>All</t>
        </is>
      </c>
      <c r="L12" t="inlineStr">
        <is>
          <t>Text</t>
        </is>
      </c>
    </row>
    <row r="13">
      <c r="A13" t="inlineStr">
        <is>
          <t>A101</t>
        </is>
      </c>
      <c r="B13" t="inlineStr">
        <is>
          <t>Name of College/University:</t>
        </is>
      </c>
      <c r="C13">
        <f>IFERROR(IF(VLOOKUP($A13,'CDS-A'!$A:$L,3,FALSE)="","",(VLOOKUP($A13,'CDS-A'!$A:$L,3,FALSE))),"")</f>
        <v/>
      </c>
      <c r="D13" t="inlineStr">
        <is>
          <t>General Information</t>
        </is>
      </c>
      <c r="E13" t="inlineStr">
        <is>
          <t>Address Information</t>
        </is>
      </c>
      <c r="F13" t="inlineStr">
        <is>
          <t>All</t>
        </is>
      </c>
      <c r="G13" t="inlineStr">
        <is>
          <t>All</t>
        </is>
      </c>
      <c r="H13" t="inlineStr">
        <is>
          <t>All</t>
        </is>
      </c>
      <c r="I13" t="inlineStr">
        <is>
          <t>All</t>
        </is>
      </c>
      <c r="J13" t="inlineStr">
        <is>
          <t>All</t>
        </is>
      </c>
      <c r="K13" t="inlineStr">
        <is>
          <t>All</t>
        </is>
      </c>
      <c r="L13" t="inlineStr">
        <is>
          <t>Text</t>
        </is>
      </c>
    </row>
    <row r="14">
      <c r="A14" t="inlineStr">
        <is>
          <t>A102</t>
        </is>
      </c>
      <c r="B14" t="inlineStr">
        <is>
          <t>Mailing Address:</t>
        </is>
      </c>
      <c r="C14">
        <f>IFERROR(IF(VLOOKUP($A14,'CDS-A'!$A:$L,3,FALSE)="","",(VLOOKUP($A14,'CDS-A'!$A:$L,3,FALSE))),"")</f>
        <v/>
      </c>
      <c r="D14" t="inlineStr">
        <is>
          <t>General Information</t>
        </is>
      </c>
      <c r="E14" t="inlineStr">
        <is>
          <t>Address Information</t>
        </is>
      </c>
      <c r="F14" t="inlineStr">
        <is>
          <t>All</t>
        </is>
      </c>
      <c r="G14" t="inlineStr">
        <is>
          <t>All</t>
        </is>
      </c>
      <c r="H14" t="inlineStr">
        <is>
          <t>All</t>
        </is>
      </c>
      <c r="I14" t="inlineStr">
        <is>
          <t>All</t>
        </is>
      </c>
      <c r="J14" t="inlineStr">
        <is>
          <t>All</t>
        </is>
      </c>
      <c r="K14" t="inlineStr">
        <is>
          <t>All</t>
        </is>
      </c>
      <c r="L14" t="inlineStr">
        <is>
          <t>Text</t>
        </is>
      </c>
    </row>
    <row r="15">
      <c r="A15" t="inlineStr">
        <is>
          <t>A103</t>
        </is>
      </c>
      <c r="B15" t="inlineStr">
        <is>
          <t>City/State/Zip/Country:</t>
        </is>
      </c>
      <c r="C15">
        <f>IFERROR(IF(VLOOKUP($A15,'CDS-A'!$A:$L,3,FALSE)="","",(VLOOKUP($A15,'CDS-A'!$A:$L,3,FALSE))),"")</f>
        <v/>
      </c>
      <c r="D15" t="inlineStr">
        <is>
          <t>General Information</t>
        </is>
      </c>
      <c r="E15" t="inlineStr">
        <is>
          <t>Address Information</t>
        </is>
      </c>
      <c r="F15" t="inlineStr">
        <is>
          <t>All</t>
        </is>
      </c>
      <c r="G15" t="inlineStr">
        <is>
          <t>All</t>
        </is>
      </c>
      <c r="H15" t="inlineStr">
        <is>
          <t>All</t>
        </is>
      </c>
      <c r="I15" t="inlineStr">
        <is>
          <t>All</t>
        </is>
      </c>
      <c r="J15" t="inlineStr">
        <is>
          <t>All</t>
        </is>
      </c>
      <c r="K15" t="inlineStr">
        <is>
          <t>All</t>
        </is>
      </c>
      <c r="L15" t="inlineStr">
        <is>
          <t>Text</t>
        </is>
      </c>
    </row>
    <row r="16">
      <c r="A16" t="inlineStr">
        <is>
          <t>A104</t>
        </is>
      </c>
      <c r="B16" t="inlineStr">
        <is>
          <t>Street Address (if different):</t>
        </is>
      </c>
      <c r="C16">
        <f>IFERROR(IF(VLOOKUP($A16,'CDS-A'!$A:$L,3,FALSE)="","",(VLOOKUP($A16,'CDS-A'!$A:$L,3,FALSE))),"")</f>
        <v/>
      </c>
      <c r="D16" t="inlineStr">
        <is>
          <t>General Information</t>
        </is>
      </c>
      <c r="E16" t="inlineStr">
        <is>
          <t>Address Information</t>
        </is>
      </c>
      <c r="F16" t="inlineStr">
        <is>
          <t>All</t>
        </is>
      </c>
      <c r="G16" t="inlineStr">
        <is>
          <t>All</t>
        </is>
      </c>
      <c r="H16" t="inlineStr">
        <is>
          <t>All</t>
        </is>
      </c>
      <c r="I16" t="inlineStr">
        <is>
          <t>All</t>
        </is>
      </c>
      <c r="J16" t="inlineStr">
        <is>
          <t>All</t>
        </is>
      </c>
      <c r="K16" t="inlineStr">
        <is>
          <t>All</t>
        </is>
      </c>
      <c r="L16" t="inlineStr">
        <is>
          <t>Text</t>
        </is>
      </c>
    </row>
    <row r="17">
      <c r="A17" t="inlineStr">
        <is>
          <t>A105</t>
        </is>
      </c>
      <c r="B17" t="inlineStr">
        <is>
          <t>City/State/Zip/Country:</t>
        </is>
      </c>
      <c r="C17">
        <f>IFERROR(IF(VLOOKUP($A17,'CDS-A'!$A:$L,3,FALSE)="","",(VLOOKUP($A17,'CDS-A'!$A:$L,3,FALSE))),"")</f>
        <v/>
      </c>
      <c r="D17" t="inlineStr">
        <is>
          <t>General Information</t>
        </is>
      </c>
      <c r="E17" t="inlineStr">
        <is>
          <t>Address Information</t>
        </is>
      </c>
      <c r="F17" t="inlineStr">
        <is>
          <t>All</t>
        </is>
      </c>
      <c r="G17" t="inlineStr">
        <is>
          <t>All</t>
        </is>
      </c>
      <c r="H17" t="inlineStr">
        <is>
          <t>All</t>
        </is>
      </c>
      <c r="I17" t="inlineStr">
        <is>
          <t>All</t>
        </is>
      </c>
      <c r="J17" t="inlineStr">
        <is>
          <t>All</t>
        </is>
      </c>
      <c r="K17" t="inlineStr">
        <is>
          <t>All</t>
        </is>
      </c>
      <c r="L17" t="inlineStr">
        <is>
          <t>Text</t>
        </is>
      </c>
    </row>
    <row r="18">
      <c r="A18" t="inlineStr">
        <is>
          <t>A106</t>
        </is>
      </c>
      <c r="B18" t="inlineStr">
        <is>
          <t>Main Phone Number:</t>
        </is>
      </c>
      <c r="C18">
        <f>IFERROR(IF(VLOOKUP($A18,'CDS-A'!$A:$L,3,FALSE)="","",(VLOOKUP($A18,'CDS-A'!$A:$L,3,FALSE))),"")</f>
        <v/>
      </c>
      <c r="D18" t="inlineStr">
        <is>
          <t>General Information</t>
        </is>
      </c>
      <c r="E18" t="inlineStr">
        <is>
          <t>Address Information</t>
        </is>
      </c>
      <c r="F18" t="inlineStr">
        <is>
          <t>All</t>
        </is>
      </c>
      <c r="G18" t="inlineStr">
        <is>
          <t>All</t>
        </is>
      </c>
      <c r="H18" t="inlineStr">
        <is>
          <t>All</t>
        </is>
      </c>
      <c r="I18" t="inlineStr">
        <is>
          <t>All</t>
        </is>
      </c>
      <c r="J18" t="inlineStr">
        <is>
          <t>All</t>
        </is>
      </c>
      <c r="K18" t="inlineStr">
        <is>
          <t>All</t>
        </is>
      </c>
      <c r="L18" t="inlineStr">
        <is>
          <t>Text</t>
        </is>
      </c>
    </row>
    <row r="19">
      <c r="A19" t="inlineStr">
        <is>
          <t>A107</t>
        </is>
      </c>
      <c r="B19" t="inlineStr">
        <is>
          <t>WWW Home Page Address:</t>
        </is>
      </c>
      <c r="C19">
        <f>IFERROR(IF(VLOOKUP($A19,'CDS-A'!$A:$L,3,FALSE)="","",(VLOOKUP($A19,'CDS-A'!$A:$L,3,FALSE))),"")</f>
        <v/>
      </c>
      <c r="D19" t="inlineStr">
        <is>
          <t>General Information</t>
        </is>
      </c>
      <c r="E19" t="inlineStr">
        <is>
          <t>Address Information</t>
        </is>
      </c>
      <c r="F19" t="inlineStr">
        <is>
          <t>All</t>
        </is>
      </c>
      <c r="G19" t="inlineStr">
        <is>
          <t>All</t>
        </is>
      </c>
      <c r="H19" t="inlineStr">
        <is>
          <t>All</t>
        </is>
      </c>
      <c r="I19" t="inlineStr">
        <is>
          <t>All</t>
        </is>
      </c>
      <c r="J19" t="inlineStr">
        <is>
          <t>All</t>
        </is>
      </c>
      <c r="K19" t="inlineStr">
        <is>
          <t>All</t>
        </is>
      </c>
      <c r="L19" t="inlineStr">
        <is>
          <t>Text</t>
        </is>
      </c>
    </row>
    <row r="20">
      <c r="A20" t="inlineStr">
        <is>
          <t>A108</t>
        </is>
      </c>
      <c r="B20" t="inlineStr">
        <is>
          <t>Admissions Phone Number:</t>
        </is>
      </c>
      <c r="C20">
        <f>IFERROR(IF(VLOOKUP($A20,'CDS-A'!$A:$L,3,FALSE)="","",(VLOOKUP($A20,'CDS-A'!$A:$L,3,FALSE))),"")</f>
        <v/>
      </c>
      <c r="D20" t="inlineStr">
        <is>
          <t>General Information</t>
        </is>
      </c>
      <c r="E20" t="inlineStr">
        <is>
          <t>Address Information</t>
        </is>
      </c>
      <c r="F20" t="inlineStr">
        <is>
          <t>All</t>
        </is>
      </c>
      <c r="G20" t="inlineStr">
        <is>
          <t>All</t>
        </is>
      </c>
      <c r="H20" t="inlineStr">
        <is>
          <t>All</t>
        </is>
      </c>
      <c r="I20" t="inlineStr">
        <is>
          <t>All</t>
        </is>
      </c>
      <c r="J20" t="inlineStr">
        <is>
          <t>All</t>
        </is>
      </c>
      <c r="K20" t="inlineStr">
        <is>
          <t>All</t>
        </is>
      </c>
      <c r="L20" t="inlineStr">
        <is>
          <t>Text</t>
        </is>
      </c>
    </row>
    <row r="21">
      <c r="A21" t="inlineStr">
        <is>
          <t>A109</t>
        </is>
      </c>
      <c r="B21" t="inlineStr">
        <is>
          <t>Admissions Toll-Free Phone Number:</t>
        </is>
      </c>
      <c r="C21">
        <f>IFERROR(IF(VLOOKUP($A21,'CDS-A'!$A:$L,3,FALSE)="","",(VLOOKUP($A21,'CDS-A'!$A:$L,3,FALSE))),"")</f>
        <v/>
      </c>
      <c r="D21" t="inlineStr">
        <is>
          <t>General Information</t>
        </is>
      </c>
      <c r="E21" t="inlineStr">
        <is>
          <t>Address Information</t>
        </is>
      </c>
      <c r="F21" t="inlineStr">
        <is>
          <t>All</t>
        </is>
      </c>
      <c r="G21" t="inlineStr">
        <is>
          <t>All</t>
        </is>
      </c>
      <c r="H21" t="inlineStr">
        <is>
          <t>All</t>
        </is>
      </c>
      <c r="I21" t="inlineStr">
        <is>
          <t>All</t>
        </is>
      </c>
      <c r="J21" t="inlineStr">
        <is>
          <t>All</t>
        </is>
      </c>
      <c r="K21" t="inlineStr">
        <is>
          <t>All</t>
        </is>
      </c>
      <c r="L21" t="inlineStr">
        <is>
          <t>Text</t>
        </is>
      </c>
    </row>
    <row r="22">
      <c r="A22" t="inlineStr">
        <is>
          <t>A110</t>
        </is>
      </c>
      <c r="B22" t="inlineStr">
        <is>
          <t>Admissions Office Mailing Address:</t>
        </is>
      </c>
      <c r="C22">
        <f>IFERROR(IF(VLOOKUP($A22,'CDS-A'!$A:$L,3,FALSE)="","",(VLOOKUP($A22,'CDS-A'!$A:$L,3,FALSE))),"")</f>
        <v/>
      </c>
      <c r="D22" t="inlineStr">
        <is>
          <t>General Information</t>
        </is>
      </c>
      <c r="E22" t="inlineStr">
        <is>
          <t>Address Information</t>
        </is>
      </c>
      <c r="F22" t="inlineStr">
        <is>
          <t>All</t>
        </is>
      </c>
      <c r="G22" t="inlineStr">
        <is>
          <t>All</t>
        </is>
      </c>
      <c r="H22" t="inlineStr">
        <is>
          <t>All</t>
        </is>
      </c>
      <c r="I22" t="inlineStr">
        <is>
          <t>All</t>
        </is>
      </c>
      <c r="J22" t="inlineStr">
        <is>
          <t>All</t>
        </is>
      </c>
      <c r="K22" t="inlineStr">
        <is>
          <t>All</t>
        </is>
      </c>
      <c r="L22" t="inlineStr">
        <is>
          <t>Text</t>
        </is>
      </c>
    </row>
    <row r="23">
      <c r="A23" t="inlineStr">
        <is>
          <t>A111</t>
        </is>
      </c>
      <c r="B23" t="inlineStr">
        <is>
          <t>City/State/Zip/Country:</t>
        </is>
      </c>
      <c r="C23">
        <f>IFERROR(IF(VLOOKUP($A23,'CDS-A'!$A:$L,3,FALSE)="","",(VLOOKUP($A23,'CDS-A'!$A:$L,3,FALSE))),"")</f>
        <v/>
      </c>
      <c r="D23" t="inlineStr">
        <is>
          <t>General Information</t>
        </is>
      </c>
      <c r="E23" t="inlineStr">
        <is>
          <t>Address Information</t>
        </is>
      </c>
      <c r="F23" t="inlineStr">
        <is>
          <t>All</t>
        </is>
      </c>
      <c r="G23" t="inlineStr">
        <is>
          <t>All</t>
        </is>
      </c>
      <c r="H23" t="inlineStr">
        <is>
          <t>All</t>
        </is>
      </c>
      <c r="I23" t="inlineStr">
        <is>
          <t>All</t>
        </is>
      </c>
      <c r="J23" t="inlineStr">
        <is>
          <t>All</t>
        </is>
      </c>
      <c r="K23" t="inlineStr">
        <is>
          <t>All</t>
        </is>
      </c>
      <c r="L23" t="inlineStr">
        <is>
          <t>Text</t>
        </is>
      </c>
    </row>
    <row r="24">
      <c r="A24" t="inlineStr">
        <is>
          <t>A112</t>
        </is>
      </c>
      <c r="B24" t="inlineStr">
        <is>
          <t>Admissions E-mail Address:</t>
        </is>
      </c>
      <c r="C24">
        <f>IFERROR(IF(VLOOKUP($A24,'CDS-A'!$A:$L,3,FALSE)="","",(VLOOKUP($A24,'CDS-A'!$A:$L,3,FALSE))),"")</f>
        <v/>
      </c>
      <c r="D24" t="inlineStr">
        <is>
          <t>General Information</t>
        </is>
      </c>
      <c r="E24" t="inlineStr">
        <is>
          <t>Address Information</t>
        </is>
      </c>
      <c r="F24" t="inlineStr">
        <is>
          <t>All</t>
        </is>
      </c>
      <c r="G24" t="inlineStr">
        <is>
          <t>All</t>
        </is>
      </c>
      <c r="H24" t="inlineStr">
        <is>
          <t>All</t>
        </is>
      </c>
      <c r="I24" t="inlineStr">
        <is>
          <t>All</t>
        </is>
      </c>
      <c r="J24" t="inlineStr">
        <is>
          <t>All</t>
        </is>
      </c>
      <c r="K24" t="inlineStr">
        <is>
          <t>All</t>
        </is>
      </c>
      <c r="L24" t="inlineStr">
        <is>
          <t>Email Address</t>
        </is>
      </c>
    </row>
    <row r="25">
      <c r="A25" t="inlineStr">
        <is>
          <t>A113</t>
        </is>
      </c>
      <c r="B25" t="inlineStr">
        <is>
          <t>If there is a separate URL for your school’s online application, please specify:</t>
        </is>
      </c>
      <c r="C25">
        <f>IFERROR(IF(VLOOKUP($A25,'CDS-A'!$A:$L,3,FALSE)="","",(VLOOKUP($A25,'CDS-A'!$A:$L,3,FALSE))),"")</f>
        <v/>
      </c>
      <c r="D25" t="inlineStr">
        <is>
          <t>General Information</t>
        </is>
      </c>
      <c r="E25" t="inlineStr">
        <is>
          <t>Address Information</t>
        </is>
      </c>
      <c r="F25" t="inlineStr">
        <is>
          <t>All</t>
        </is>
      </c>
      <c r="G25" t="inlineStr">
        <is>
          <t>All</t>
        </is>
      </c>
      <c r="H25" t="inlineStr">
        <is>
          <t>All</t>
        </is>
      </c>
      <c r="I25" t="inlineStr">
        <is>
          <t>All</t>
        </is>
      </c>
      <c r="J25" t="inlineStr">
        <is>
          <t>All</t>
        </is>
      </c>
      <c r="K25" t="inlineStr">
        <is>
          <t>All</t>
        </is>
      </c>
      <c r="L25" t="inlineStr">
        <is>
          <t>URL</t>
        </is>
      </c>
    </row>
    <row r="26">
      <c r="A26" t="inlineStr">
        <is>
          <t>A114</t>
        </is>
      </c>
      <c r="B26" t="inlineStr">
        <is>
          <t>If you have a mailing address other than the above to which applications should be sent, please provide:</t>
        </is>
      </c>
      <c r="C26">
        <f>IFERROR(IF(VLOOKUP($A26,'CDS-A'!$A:$L,3,FALSE)="","",(VLOOKUP($A26,'CDS-A'!$A:$L,3,FALSE))),"")</f>
        <v/>
      </c>
      <c r="D26" t="inlineStr">
        <is>
          <t>General Information</t>
        </is>
      </c>
      <c r="E26" t="inlineStr">
        <is>
          <t>Address Information</t>
        </is>
      </c>
      <c r="F26" t="inlineStr">
        <is>
          <t>All</t>
        </is>
      </c>
      <c r="G26" t="inlineStr">
        <is>
          <t>All</t>
        </is>
      </c>
      <c r="H26" t="inlineStr">
        <is>
          <t>All</t>
        </is>
      </c>
      <c r="I26" t="inlineStr">
        <is>
          <t>All</t>
        </is>
      </c>
      <c r="J26" t="inlineStr">
        <is>
          <t>All</t>
        </is>
      </c>
      <c r="K26" t="inlineStr">
        <is>
          <t>All</t>
        </is>
      </c>
      <c r="L26" t="inlineStr">
        <is>
          <t>Text</t>
        </is>
      </c>
    </row>
    <row r="27">
      <c r="A27" t="inlineStr">
        <is>
          <t>A201</t>
        </is>
      </c>
      <c r="B27" t="inlineStr">
        <is>
          <t>Public</t>
        </is>
      </c>
      <c r="C27">
        <f>IFERROR(IF(VLOOKUP($A27,'CDS-A'!$A:$L,3,FALSE)="","",(VLOOKUP($A27,'CDS-A'!$A:$L,3,FALSE))),"")</f>
        <v/>
      </c>
      <c r="D27" t="inlineStr">
        <is>
          <t>General Information</t>
        </is>
      </c>
      <c r="E27" t="inlineStr">
        <is>
          <t>Institutional Control</t>
        </is>
      </c>
      <c r="F27" t="inlineStr">
        <is>
          <t>All</t>
        </is>
      </c>
      <c r="G27" t="inlineStr">
        <is>
          <t>All</t>
        </is>
      </c>
      <c r="H27" t="inlineStr">
        <is>
          <t>All</t>
        </is>
      </c>
      <c r="I27" t="inlineStr">
        <is>
          <t>All</t>
        </is>
      </c>
      <c r="J27" t="inlineStr">
        <is>
          <t>All</t>
        </is>
      </c>
      <c r="K27" t="inlineStr">
        <is>
          <t>All</t>
        </is>
      </c>
      <c r="L27" t="inlineStr">
        <is>
          <t>x</t>
        </is>
      </c>
    </row>
    <row r="28">
      <c r="A28" t="inlineStr">
        <is>
          <t>A202</t>
        </is>
      </c>
      <c r="B28" t="inlineStr">
        <is>
          <t>Private (nonprofit)</t>
        </is>
      </c>
      <c r="C28">
        <f>IFERROR(IF(VLOOKUP($A28,'CDS-A'!$A:$L,3,FALSE)="","",(VLOOKUP($A28,'CDS-A'!$A:$L,3,FALSE))),"")</f>
        <v/>
      </c>
      <c r="D28" t="inlineStr">
        <is>
          <t>General Information</t>
        </is>
      </c>
      <c r="E28" t="inlineStr">
        <is>
          <t>Institutional Control</t>
        </is>
      </c>
      <c r="F28" t="inlineStr">
        <is>
          <t>All</t>
        </is>
      </c>
      <c r="G28" t="inlineStr">
        <is>
          <t>All</t>
        </is>
      </c>
      <c r="H28" t="inlineStr">
        <is>
          <t>All</t>
        </is>
      </c>
      <c r="I28" t="inlineStr">
        <is>
          <t>All</t>
        </is>
      </c>
      <c r="J28" t="inlineStr">
        <is>
          <t>All</t>
        </is>
      </c>
      <c r="K28" t="inlineStr">
        <is>
          <t>All</t>
        </is>
      </c>
      <c r="L28" t="inlineStr">
        <is>
          <t>x</t>
        </is>
      </c>
    </row>
    <row r="29">
      <c r="A29" t="inlineStr">
        <is>
          <t>A203</t>
        </is>
      </c>
      <c r="B29" t="inlineStr">
        <is>
          <t>Proprietary</t>
        </is>
      </c>
      <c r="C29">
        <f>IFERROR(IF(VLOOKUP($A29,'CDS-A'!$A:$L,3,FALSE)="","",(VLOOKUP($A29,'CDS-A'!$A:$L,3,FALSE))),"")</f>
        <v/>
      </c>
      <c r="D29" t="inlineStr">
        <is>
          <t>General Information</t>
        </is>
      </c>
      <c r="E29" t="inlineStr">
        <is>
          <t>Institutional Control</t>
        </is>
      </c>
      <c r="F29" t="inlineStr">
        <is>
          <t>All</t>
        </is>
      </c>
      <c r="G29" t="inlineStr">
        <is>
          <t>All</t>
        </is>
      </c>
      <c r="H29" t="inlineStr">
        <is>
          <t>All</t>
        </is>
      </c>
      <c r="I29" t="inlineStr">
        <is>
          <t>All</t>
        </is>
      </c>
      <c r="J29" t="inlineStr">
        <is>
          <t>All</t>
        </is>
      </c>
      <c r="K29" t="inlineStr">
        <is>
          <t>All</t>
        </is>
      </c>
      <c r="L29" t="inlineStr">
        <is>
          <t>x</t>
        </is>
      </c>
    </row>
    <row r="30">
      <c r="A30" t="inlineStr">
        <is>
          <t>A301</t>
        </is>
      </c>
      <c r="B30" t="inlineStr">
        <is>
          <t>Coeducational college</t>
        </is>
      </c>
      <c r="C30">
        <f>IFERROR(IF(VLOOKUP($A30,'CDS-A'!$A:$L,3,FALSE)="","",(VLOOKUP($A30,'CDS-A'!$A:$L,3,FALSE))),"")</f>
        <v/>
      </c>
      <c r="D30" t="inlineStr">
        <is>
          <t>General Information</t>
        </is>
      </c>
      <c r="E30" t="inlineStr">
        <is>
          <t>Classification</t>
        </is>
      </c>
      <c r="F30" t="inlineStr">
        <is>
          <t>All</t>
        </is>
      </c>
      <c r="G30" t="inlineStr">
        <is>
          <t>All</t>
        </is>
      </c>
      <c r="H30" t="inlineStr">
        <is>
          <t>All</t>
        </is>
      </c>
      <c r="I30" t="inlineStr">
        <is>
          <t>All</t>
        </is>
      </c>
      <c r="J30" t="inlineStr">
        <is>
          <t>All</t>
        </is>
      </c>
      <c r="K30" t="inlineStr">
        <is>
          <t>All</t>
        </is>
      </c>
      <c r="L30" t="inlineStr">
        <is>
          <t>x</t>
        </is>
      </c>
    </row>
    <row r="31">
      <c r="A31" t="inlineStr">
        <is>
          <t>A302</t>
        </is>
      </c>
      <c r="B31" t="inlineStr">
        <is>
          <t>Men's college</t>
        </is>
      </c>
      <c r="C31">
        <f>IFERROR(IF(VLOOKUP($A31,'CDS-A'!$A:$L,3,FALSE)="","",(VLOOKUP($A31,'CDS-A'!$A:$L,3,FALSE))),"")</f>
        <v/>
      </c>
      <c r="D31" t="inlineStr">
        <is>
          <t>General Information</t>
        </is>
      </c>
      <c r="E31" t="inlineStr">
        <is>
          <t>Classification</t>
        </is>
      </c>
      <c r="F31" t="inlineStr">
        <is>
          <t>All</t>
        </is>
      </c>
      <c r="G31" t="inlineStr">
        <is>
          <t>All</t>
        </is>
      </c>
      <c r="H31" t="inlineStr">
        <is>
          <t>All</t>
        </is>
      </c>
      <c r="I31" t="inlineStr">
        <is>
          <t>All</t>
        </is>
      </c>
      <c r="J31" t="inlineStr">
        <is>
          <t>All</t>
        </is>
      </c>
      <c r="K31" t="inlineStr">
        <is>
          <t>All</t>
        </is>
      </c>
      <c r="L31" t="inlineStr">
        <is>
          <t>x</t>
        </is>
      </c>
    </row>
    <row r="32">
      <c r="A32" t="inlineStr">
        <is>
          <t>A303</t>
        </is>
      </c>
      <c r="B32" t="inlineStr">
        <is>
          <t>Women's college</t>
        </is>
      </c>
      <c r="C32">
        <f>IFERROR(IF(VLOOKUP($A32,'CDS-A'!$A:$L,3,FALSE)="","",(VLOOKUP($A32,'CDS-A'!$A:$L,3,FALSE))),"")</f>
        <v/>
      </c>
      <c r="D32" t="inlineStr">
        <is>
          <t>General Information</t>
        </is>
      </c>
      <c r="E32" t="inlineStr">
        <is>
          <t>Classification</t>
        </is>
      </c>
      <c r="F32" t="inlineStr">
        <is>
          <t>All</t>
        </is>
      </c>
      <c r="G32" t="inlineStr">
        <is>
          <t>All</t>
        </is>
      </c>
      <c r="H32" t="inlineStr">
        <is>
          <t>All</t>
        </is>
      </c>
      <c r="I32" t="inlineStr">
        <is>
          <t>All</t>
        </is>
      </c>
      <c r="J32" t="inlineStr">
        <is>
          <t>All</t>
        </is>
      </c>
      <c r="K32" t="inlineStr">
        <is>
          <t>All</t>
        </is>
      </c>
      <c r="L32" t="inlineStr">
        <is>
          <t>x</t>
        </is>
      </c>
    </row>
    <row r="33">
      <c r="A33" t="inlineStr">
        <is>
          <t>A401</t>
        </is>
      </c>
      <c r="B33" t="inlineStr">
        <is>
          <t>Semester</t>
        </is>
      </c>
      <c r="C33">
        <f>IFERROR(IF(VLOOKUP($A33,'CDS-A'!$A:$L,3,FALSE)="","",(VLOOKUP($A33,'CDS-A'!$A:$L,3,FALSE))),"")</f>
        <v/>
      </c>
      <c r="D33" t="inlineStr">
        <is>
          <t>General Information</t>
        </is>
      </c>
      <c r="E33" t="inlineStr">
        <is>
          <t>Academic Year</t>
        </is>
      </c>
      <c r="F33" t="inlineStr">
        <is>
          <t>All</t>
        </is>
      </c>
      <c r="G33" t="inlineStr">
        <is>
          <t>All</t>
        </is>
      </c>
      <c r="H33" t="inlineStr">
        <is>
          <t>All</t>
        </is>
      </c>
      <c r="I33" t="inlineStr">
        <is>
          <t>All</t>
        </is>
      </c>
      <c r="J33" t="inlineStr">
        <is>
          <t>All</t>
        </is>
      </c>
      <c r="K33" t="inlineStr">
        <is>
          <t>All</t>
        </is>
      </c>
      <c r="L33" t="inlineStr">
        <is>
          <t>x</t>
        </is>
      </c>
    </row>
    <row r="34">
      <c r="A34" t="inlineStr">
        <is>
          <t>A402</t>
        </is>
      </c>
      <c r="B34" t="inlineStr">
        <is>
          <t>Quarter</t>
        </is>
      </c>
      <c r="C34">
        <f>IFERROR(IF(VLOOKUP($A34,'CDS-A'!$A:$L,3,FALSE)="","",(VLOOKUP($A34,'CDS-A'!$A:$L,3,FALSE))),"")</f>
        <v/>
      </c>
      <c r="D34" t="inlineStr">
        <is>
          <t>General Information</t>
        </is>
      </c>
      <c r="E34" t="inlineStr">
        <is>
          <t>Academic Year</t>
        </is>
      </c>
      <c r="F34" t="inlineStr">
        <is>
          <t>All</t>
        </is>
      </c>
      <c r="G34" t="inlineStr">
        <is>
          <t>All</t>
        </is>
      </c>
      <c r="H34" t="inlineStr">
        <is>
          <t>All</t>
        </is>
      </c>
      <c r="I34" t="inlineStr">
        <is>
          <t>All</t>
        </is>
      </c>
      <c r="J34" t="inlineStr">
        <is>
          <t>All</t>
        </is>
      </c>
      <c r="K34" t="inlineStr">
        <is>
          <t>All</t>
        </is>
      </c>
      <c r="L34" t="inlineStr">
        <is>
          <t>x</t>
        </is>
      </c>
    </row>
    <row r="35">
      <c r="A35" t="inlineStr">
        <is>
          <t>A403</t>
        </is>
      </c>
      <c r="B35" t="inlineStr">
        <is>
          <t>Trimester</t>
        </is>
      </c>
      <c r="C35">
        <f>IFERROR(IF(VLOOKUP($A35,'CDS-A'!$A:$L,3,FALSE)="","",(VLOOKUP($A35,'CDS-A'!$A:$L,3,FALSE))),"")</f>
        <v/>
      </c>
      <c r="D35" t="inlineStr">
        <is>
          <t>General Information</t>
        </is>
      </c>
      <c r="E35" t="inlineStr">
        <is>
          <t>Academic Year</t>
        </is>
      </c>
      <c r="F35" t="inlineStr">
        <is>
          <t>All</t>
        </is>
      </c>
      <c r="G35" t="inlineStr">
        <is>
          <t>All</t>
        </is>
      </c>
      <c r="H35" t="inlineStr">
        <is>
          <t>All</t>
        </is>
      </c>
      <c r="I35" t="inlineStr">
        <is>
          <t>All</t>
        </is>
      </c>
      <c r="J35" t="inlineStr">
        <is>
          <t>All</t>
        </is>
      </c>
      <c r="K35" t="inlineStr">
        <is>
          <t>All</t>
        </is>
      </c>
      <c r="L35" t="inlineStr">
        <is>
          <t>x</t>
        </is>
      </c>
    </row>
    <row r="36">
      <c r="A36" t="inlineStr">
        <is>
          <t>A404</t>
        </is>
      </c>
      <c r="B36" t="inlineStr">
        <is>
          <t>4-1-4</t>
        </is>
      </c>
      <c r="C36">
        <f>IFERROR(IF(VLOOKUP($A36,'CDS-A'!$A:$L,3,FALSE)="","",(VLOOKUP($A36,'CDS-A'!$A:$L,3,FALSE))),"")</f>
        <v/>
      </c>
      <c r="D36" t="inlineStr">
        <is>
          <t>General Information</t>
        </is>
      </c>
      <c r="E36" t="inlineStr">
        <is>
          <t>Academic Year</t>
        </is>
      </c>
      <c r="F36" t="inlineStr">
        <is>
          <t>All</t>
        </is>
      </c>
      <c r="G36" t="inlineStr">
        <is>
          <t>All</t>
        </is>
      </c>
      <c r="H36" t="inlineStr">
        <is>
          <t>All</t>
        </is>
      </c>
      <c r="I36" t="inlineStr">
        <is>
          <t>All</t>
        </is>
      </c>
      <c r="J36" t="inlineStr">
        <is>
          <t>All</t>
        </is>
      </c>
      <c r="K36" t="inlineStr">
        <is>
          <t>All</t>
        </is>
      </c>
      <c r="L36" t="inlineStr">
        <is>
          <t>x</t>
        </is>
      </c>
    </row>
    <row r="37">
      <c r="A37" t="inlineStr">
        <is>
          <t>A405</t>
        </is>
      </c>
      <c r="B37" t="inlineStr">
        <is>
          <t>Continuous</t>
        </is>
      </c>
      <c r="C37">
        <f>IFERROR(IF(VLOOKUP($A37,'CDS-A'!$A:$L,3,FALSE)="","",(VLOOKUP($A37,'CDS-A'!$A:$L,3,FALSE))),"")</f>
        <v/>
      </c>
      <c r="D37" t="inlineStr">
        <is>
          <t>General Information</t>
        </is>
      </c>
      <c r="E37" t="inlineStr">
        <is>
          <t>Academic Year</t>
        </is>
      </c>
      <c r="F37" t="inlineStr">
        <is>
          <t>All</t>
        </is>
      </c>
      <c r="G37" t="inlineStr">
        <is>
          <t>All</t>
        </is>
      </c>
      <c r="H37" t="inlineStr">
        <is>
          <t>All</t>
        </is>
      </c>
      <c r="I37" t="inlineStr">
        <is>
          <t>All</t>
        </is>
      </c>
      <c r="J37" t="inlineStr">
        <is>
          <t>All</t>
        </is>
      </c>
      <c r="K37" t="inlineStr">
        <is>
          <t>All</t>
        </is>
      </c>
      <c r="L37" t="inlineStr">
        <is>
          <t>x</t>
        </is>
      </c>
    </row>
    <row r="38">
      <c r="A38" t="inlineStr">
        <is>
          <t>A406</t>
        </is>
      </c>
      <c r="B38" t="inlineStr">
        <is>
          <t>Differs by program (describe):</t>
        </is>
      </c>
      <c r="C38">
        <f>IFERROR(IF(VLOOKUP($A38,'CDS-A'!$A:$L,3,FALSE)="","",(VLOOKUP($A38,'CDS-A'!$A:$L,3,FALSE))),"")</f>
        <v/>
      </c>
      <c r="D38" t="inlineStr">
        <is>
          <t>General Information</t>
        </is>
      </c>
      <c r="E38" t="inlineStr">
        <is>
          <t>Academic Year</t>
        </is>
      </c>
      <c r="F38" t="inlineStr">
        <is>
          <t>All</t>
        </is>
      </c>
      <c r="G38" t="inlineStr">
        <is>
          <t>All</t>
        </is>
      </c>
      <c r="H38" t="inlineStr">
        <is>
          <t>All</t>
        </is>
      </c>
      <c r="I38" t="inlineStr">
        <is>
          <t>All</t>
        </is>
      </c>
      <c r="J38" t="inlineStr">
        <is>
          <t>All</t>
        </is>
      </c>
      <c r="K38" t="inlineStr">
        <is>
          <t>All</t>
        </is>
      </c>
      <c r="L38" t="inlineStr">
        <is>
          <t>Text</t>
        </is>
      </c>
    </row>
    <row r="39">
      <c r="A39" t="inlineStr">
        <is>
          <t>A407</t>
        </is>
      </c>
      <c r="B39" t="inlineStr">
        <is>
          <t>Other (describe)</t>
        </is>
      </c>
      <c r="C39">
        <f>IFERROR(IF(VLOOKUP($A39,'CDS-A'!$A:$L,3,FALSE)="","",(VLOOKUP($A39,'CDS-A'!$A:$L,3,FALSE))),"")</f>
        <v/>
      </c>
      <c r="D39" t="inlineStr">
        <is>
          <t>General Information</t>
        </is>
      </c>
      <c r="E39" t="inlineStr">
        <is>
          <t>Academic Year</t>
        </is>
      </c>
      <c r="F39" t="inlineStr">
        <is>
          <t>All</t>
        </is>
      </c>
      <c r="G39" t="inlineStr">
        <is>
          <t>All</t>
        </is>
      </c>
      <c r="H39" t="inlineStr">
        <is>
          <t>All</t>
        </is>
      </c>
      <c r="I39" t="inlineStr">
        <is>
          <t>All</t>
        </is>
      </c>
      <c r="J39" t="inlineStr">
        <is>
          <t>All</t>
        </is>
      </c>
      <c r="K39" t="inlineStr">
        <is>
          <t>All</t>
        </is>
      </c>
      <c r="L39" t="inlineStr">
        <is>
          <t>Text</t>
        </is>
      </c>
    </row>
    <row r="40">
      <c r="A40" t="inlineStr">
        <is>
          <t>A501</t>
        </is>
      </c>
      <c r="B40" t="inlineStr">
        <is>
          <t>Certificate</t>
        </is>
      </c>
      <c r="C40">
        <f>IFERROR(IF(VLOOKUP($A40,'CDS-A'!$A:$L,3,FALSE)="","",(VLOOKUP($A40,'CDS-A'!$A:$L,3,FALSE))),"")</f>
        <v/>
      </c>
      <c r="D40" t="inlineStr">
        <is>
          <t>General Information</t>
        </is>
      </c>
      <c r="E40" t="inlineStr">
        <is>
          <t>Degrees Offered</t>
        </is>
      </c>
      <c r="F40" t="inlineStr">
        <is>
          <t>All</t>
        </is>
      </c>
      <c r="G40" t="inlineStr">
        <is>
          <t>All</t>
        </is>
      </c>
      <c r="H40" t="inlineStr">
        <is>
          <t>All</t>
        </is>
      </c>
      <c r="I40" t="inlineStr">
        <is>
          <t>All</t>
        </is>
      </c>
      <c r="J40" t="inlineStr">
        <is>
          <t>All</t>
        </is>
      </c>
      <c r="K40" t="inlineStr">
        <is>
          <t>All</t>
        </is>
      </c>
      <c r="L40" t="inlineStr">
        <is>
          <t>x</t>
        </is>
      </c>
    </row>
    <row r="41">
      <c r="A41" t="inlineStr">
        <is>
          <t>A502</t>
        </is>
      </c>
      <c r="B41" t="inlineStr">
        <is>
          <t>Diploma</t>
        </is>
      </c>
      <c r="C41">
        <f>IFERROR(IF(VLOOKUP($A41,'CDS-A'!$A:$L,3,FALSE)="","",(VLOOKUP($A41,'CDS-A'!$A:$L,3,FALSE))),"")</f>
        <v/>
      </c>
      <c r="D41" t="inlineStr">
        <is>
          <t>General Information</t>
        </is>
      </c>
      <c r="E41" t="inlineStr">
        <is>
          <t>Degrees Offered</t>
        </is>
      </c>
      <c r="F41" t="inlineStr">
        <is>
          <t>All</t>
        </is>
      </c>
      <c r="G41" t="inlineStr">
        <is>
          <t>All</t>
        </is>
      </c>
      <c r="H41" t="inlineStr">
        <is>
          <t>All</t>
        </is>
      </c>
      <c r="I41" t="inlineStr">
        <is>
          <t>All</t>
        </is>
      </c>
      <c r="J41" t="inlineStr">
        <is>
          <t>All</t>
        </is>
      </c>
      <c r="K41" t="inlineStr">
        <is>
          <t>All</t>
        </is>
      </c>
      <c r="L41" t="inlineStr">
        <is>
          <t>x</t>
        </is>
      </c>
    </row>
    <row r="42">
      <c r="A42" t="inlineStr">
        <is>
          <t>A503</t>
        </is>
      </c>
      <c r="B42" t="inlineStr">
        <is>
          <t>Associate</t>
        </is>
      </c>
      <c r="C42">
        <f>IFERROR(IF(VLOOKUP($A42,'CDS-A'!$A:$L,3,FALSE)="","",(VLOOKUP($A42,'CDS-A'!$A:$L,3,FALSE))),"")</f>
        <v/>
      </c>
      <c r="D42" t="inlineStr">
        <is>
          <t>General Information</t>
        </is>
      </c>
      <c r="E42" t="inlineStr">
        <is>
          <t>Degrees Offered</t>
        </is>
      </c>
      <c r="F42" t="inlineStr">
        <is>
          <t>All</t>
        </is>
      </c>
      <c r="G42" t="inlineStr">
        <is>
          <t>All</t>
        </is>
      </c>
      <c r="H42" t="inlineStr">
        <is>
          <t>All</t>
        </is>
      </c>
      <c r="I42" t="inlineStr">
        <is>
          <t>All</t>
        </is>
      </c>
      <c r="J42" t="inlineStr">
        <is>
          <t>All</t>
        </is>
      </c>
      <c r="K42" t="inlineStr">
        <is>
          <t>All</t>
        </is>
      </c>
      <c r="L42" t="inlineStr">
        <is>
          <t>x</t>
        </is>
      </c>
    </row>
    <row r="43">
      <c r="A43" t="inlineStr">
        <is>
          <t>A504</t>
        </is>
      </c>
      <c r="B43" t="inlineStr">
        <is>
          <t>Transfer Associate</t>
        </is>
      </c>
      <c r="C43">
        <f>IFERROR(IF(VLOOKUP($A43,'CDS-A'!$A:$L,3,FALSE)="","",(VLOOKUP($A43,'CDS-A'!$A:$L,3,FALSE))),"")</f>
        <v/>
      </c>
      <c r="D43" t="inlineStr">
        <is>
          <t>General Information</t>
        </is>
      </c>
      <c r="E43" t="inlineStr">
        <is>
          <t>Degrees Offered</t>
        </is>
      </c>
      <c r="F43" t="inlineStr">
        <is>
          <t>All</t>
        </is>
      </c>
      <c r="G43" t="inlineStr">
        <is>
          <t>All</t>
        </is>
      </c>
      <c r="H43" t="inlineStr">
        <is>
          <t>All</t>
        </is>
      </c>
      <c r="I43" t="inlineStr">
        <is>
          <t>All</t>
        </is>
      </c>
      <c r="J43" t="inlineStr">
        <is>
          <t>All</t>
        </is>
      </c>
      <c r="K43" t="inlineStr">
        <is>
          <t>All</t>
        </is>
      </c>
      <c r="L43" t="inlineStr">
        <is>
          <t>x</t>
        </is>
      </c>
    </row>
    <row r="44">
      <c r="A44" t="inlineStr">
        <is>
          <t>A505</t>
        </is>
      </c>
      <c r="B44" t="inlineStr">
        <is>
          <t>Terminal Associate</t>
        </is>
      </c>
      <c r="C44">
        <f>IFERROR(IF(VLOOKUP($A44,'CDS-A'!$A:$L,3,FALSE)="","",(VLOOKUP($A44,'CDS-A'!$A:$L,3,FALSE))),"")</f>
        <v/>
      </c>
      <c r="D44" t="inlineStr">
        <is>
          <t>General Information</t>
        </is>
      </c>
      <c r="E44" t="inlineStr">
        <is>
          <t>Degrees Offered</t>
        </is>
      </c>
      <c r="F44" t="inlineStr">
        <is>
          <t>All</t>
        </is>
      </c>
      <c r="G44" t="inlineStr">
        <is>
          <t>All</t>
        </is>
      </c>
      <c r="H44" t="inlineStr">
        <is>
          <t>All</t>
        </is>
      </c>
      <c r="I44" t="inlineStr">
        <is>
          <t>All</t>
        </is>
      </c>
      <c r="J44" t="inlineStr">
        <is>
          <t>All</t>
        </is>
      </c>
      <c r="K44" t="inlineStr">
        <is>
          <t>All</t>
        </is>
      </c>
      <c r="L44" t="inlineStr">
        <is>
          <t>x</t>
        </is>
      </c>
    </row>
    <row r="45">
      <c r="A45" t="inlineStr">
        <is>
          <t>A506</t>
        </is>
      </c>
      <c r="B45" t="inlineStr">
        <is>
          <t>Bachelor's</t>
        </is>
      </c>
      <c r="C45">
        <f>IFERROR(IF(VLOOKUP($A45,'CDS-A'!$A:$L,3,FALSE)="","",(VLOOKUP($A45,'CDS-A'!$A:$L,3,FALSE))),"")</f>
        <v/>
      </c>
      <c r="D45" t="inlineStr">
        <is>
          <t>General Information</t>
        </is>
      </c>
      <c r="E45" t="inlineStr">
        <is>
          <t>Degrees Offered</t>
        </is>
      </c>
      <c r="F45" t="inlineStr">
        <is>
          <t>All</t>
        </is>
      </c>
      <c r="G45" t="inlineStr">
        <is>
          <t>All</t>
        </is>
      </c>
      <c r="H45" t="inlineStr">
        <is>
          <t>All</t>
        </is>
      </c>
      <c r="I45" t="inlineStr">
        <is>
          <t>All</t>
        </is>
      </c>
      <c r="J45" t="inlineStr">
        <is>
          <t>All</t>
        </is>
      </c>
      <c r="K45" t="inlineStr">
        <is>
          <t>All</t>
        </is>
      </c>
      <c r="L45" t="inlineStr">
        <is>
          <t>x</t>
        </is>
      </c>
    </row>
    <row r="46">
      <c r="A46" t="inlineStr">
        <is>
          <t>A507</t>
        </is>
      </c>
      <c r="B46" t="inlineStr">
        <is>
          <t>Postbachelor's certificate</t>
        </is>
      </c>
      <c r="C46">
        <f>IFERROR(IF(VLOOKUP($A46,'CDS-A'!$A:$L,3,FALSE)="","",(VLOOKUP($A46,'CDS-A'!$A:$L,3,FALSE))),"")</f>
        <v/>
      </c>
      <c r="D46" t="inlineStr">
        <is>
          <t>General Information</t>
        </is>
      </c>
      <c r="E46" t="inlineStr">
        <is>
          <t>Degrees Offered</t>
        </is>
      </c>
      <c r="F46" t="inlineStr">
        <is>
          <t>All</t>
        </is>
      </c>
      <c r="G46" t="inlineStr">
        <is>
          <t>All</t>
        </is>
      </c>
      <c r="H46" t="inlineStr">
        <is>
          <t>All</t>
        </is>
      </c>
      <c r="I46" t="inlineStr">
        <is>
          <t>All</t>
        </is>
      </c>
      <c r="J46" t="inlineStr">
        <is>
          <t>All</t>
        </is>
      </c>
      <c r="K46" t="inlineStr">
        <is>
          <t>All</t>
        </is>
      </c>
      <c r="L46" t="inlineStr">
        <is>
          <t>x</t>
        </is>
      </c>
    </row>
    <row r="47">
      <c r="A47" t="inlineStr">
        <is>
          <t>A508</t>
        </is>
      </c>
      <c r="B47" t="inlineStr">
        <is>
          <t>Master's</t>
        </is>
      </c>
      <c r="C47">
        <f>IFERROR(IF(VLOOKUP($A47,'CDS-A'!$A:$L,3,FALSE)="","",(VLOOKUP($A47,'CDS-A'!$A:$L,3,FALSE))),"")</f>
        <v/>
      </c>
      <c r="D47" t="inlineStr">
        <is>
          <t>General Information</t>
        </is>
      </c>
      <c r="E47" t="inlineStr">
        <is>
          <t>Degrees Offered</t>
        </is>
      </c>
      <c r="F47" t="inlineStr">
        <is>
          <t>All</t>
        </is>
      </c>
      <c r="G47" t="inlineStr">
        <is>
          <t>All</t>
        </is>
      </c>
      <c r="H47" t="inlineStr">
        <is>
          <t>All</t>
        </is>
      </c>
      <c r="I47" t="inlineStr">
        <is>
          <t>All</t>
        </is>
      </c>
      <c r="J47" t="inlineStr">
        <is>
          <t>All</t>
        </is>
      </c>
      <c r="K47" t="inlineStr">
        <is>
          <t>All</t>
        </is>
      </c>
      <c r="L47" t="inlineStr">
        <is>
          <t>x</t>
        </is>
      </c>
    </row>
    <row r="48">
      <c r="A48" t="inlineStr">
        <is>
          <t>A509</t>
        </is>
      </c>
      <c r="B48" t="inlineStr">
        <is>
          <t>Post-master's certificate</t>
        </is>
      </c>
      <c r="C48">
        <f>IFERROR(IF(VLOOKUP($A48,'CDS-A'!$A:$L,3,FALSE)="","",(VLOOKUP($A48,'CDS-A'!$A:$L,3,FALSE))),"")</f>
        <v/>
      </c>
      <c r="D48" t="inlineStr">
        <is>
          <t>General Information</t>
        </is>
      </c>
      <c r="E48" t="inlineStr">
        <is>
          <t>Degrees Offered</t>
        </is>
      </c>
      <c r="F48" t="inlineStr">
        <is>
          <t>All</t>
        </is>
      </c>
      <c r="G48" t="inlineStr">
        <is>
          <t>All</t>
        </is>
      </c>
      <c r="H48" t="inlineStr">
        <is>
          <t>All</t>
        </is>
      </c>
      <c r="I48" t="inlineStr">
        <is>
          <t>All</t>
        </is>
      </c>
      <c r="J48" t="inlineStr">
        <is>
          <t>All</t>
        </is>
      </c>
      <c r="K48" t="inlineStr">
        <is>
          <t>All</t>
        </is>
      </c>
      <c r="L48" t="inlineStr">
        <is>
          <t>x</t>
        </is>
      </c>
    </row>
    <row r="49">
      <c r="A49" t="inlineStr">
        <is>
          <t>A510</t>
        </is>
      </c>
      <c r="B49" t="inlineStr">
        <is>
          <t>Doctoral degree research/scholarship</t>
        </is>
      </c>
      <c r="C49">
        <f>IFERROR(IF(VLOOKUP($A49,'CDS-A'!$A:$L,3,FALSE)="","",(VLOOKUP($A49,'CDS-A'!$A:$L,3,FALSE))),"")</f>
        <v/>
      </c>
      <c r="D49" t="inlineStr">
        <is>
          <t>General Information</t>
        </is>
      </c>
      <c r="E49" t="inlineStr">
        <is>
          <t>Degrees Offered</t>
        </is>
      </c>
      <c r="F49" t="inlineStr">
        <is>
          <t>All</t>
        </is>
      </c>
      <c r="G49" t="inlineStr">
        <is>
          <t>All</t>
        </is>
      </c>
      <c r="H49" t="inlineStr">
        <is>
          <t>All</t>
        </is>
      </c>
      <c r="I49" t="inlineStr">
        <is>
          <t>All</t>
        </is>
      </c>
      <c r="J49" t="inlineStr">
        <is>
          <t>All</t>
        </is>
      </c>
      <c r="K49" t="inlineStr">
        <is>
          <t>All</t>
        </is>
      </c>
      <c r="L49" t="inlineStr">
        <is>
          <t>x</t>
        </is>
      </c>
    </row>
    <row r="50">
      <c r="A50" t="inlineStr">
        <is>
          <t>A511</t>
        </is>
      </c>
      <c r="B50" t="inlineStr">
        <is>
          <t>Doctoral degree – professional practice</t>
        </is>
      </c>
      <c r="C50">
        <f>IFERROR(IF(VLOOKUP($A50,'CDS-A'!$A:$L,3,FALSE)="","",(VLOOKUP($A50,'CDS-A'!$A:$L,3,FALSE))),"")</f>
        <v/>
      </c>
      <c r="D50" t="inlineStr">
        <is>
          <t>General Information</t>
        </is>
      </c>
      <c r="E50" t="inlineStr">
        <is>
          <t>Degrees Offered</t>
        </is>
      </c>
      <c r="F50" t="inlineStr">
        <is>
          <t>All</t>
        </is>
      </c>
      <c r="G50" t="inlineStr">
        <is>
          <t>All</t>
        </is>
      </c>
      <c r="H50" t="inlineStr">
        <is>
          <t>All</t>
        </is>
      </c>
      <c r="I50" t="inlineStr">
        <is>
          <t>All</t>
        </is>
      </c>
      <c r="J50" t="inlineStr">
        <is>
          <t>All</t>
        </is>
      </c>
      <c r="K50" t="inlineStr">
        <is>
          <t>All</t>
        </is>
      </c>
      <c r="L50" t="inlineStr">
        <is>
          <t>x</t>
        </is>
      </c>
    </row>
    <row r="51">
      <c r="A51" t="inlineStr">
        <is>
          <t>A512</t>
        </is>
      </c>
      <c r="B51" t="inlineStr">
        <is>
          <t>Doctoral degree -- other</t>
        </is>
      </c>
      <c r="C51">
        <f>IFERROR(IF(VLOOKUP($A51,'CDS-A'!$A:$L,3,FALSE)="","",(VLOOKUP($A51,'CDS-A'!$A:$L,3,FALSE))),"")</f>
        <v/>
      </c>
      <c r="D51" t="inlineStr">
        <is>
          <t>General Information</t>
        </is>
      </c>
      <c r="E51" t="inlineStr">
        <is>
          <t>Degrees Offered</t>
        </is>
      </c>
      <c r="F51" t="inlineStr">
        <is>
          <t>All</t>
        </is>
      </c>
      <c r="G51" t="inlineStr">
        <is>
          <t>All</t>
        </is>
      </c>
      <c r="H51" t="inlineStr">
        <is>
          <t>All</t>
        </is>
      </c>
      <c r="I51" t="inlineStr">
        <is>
          <t>All</t>
        </is>
      </c>
      <c r="J51" t="inlineStr">
        <is>
          <t>All</t>
        </is>
      </c>
      <c r="K51" t="inlineStr">
        <is>
          <t>All</t>
        </is>
      </c>
      <c r="L51" t="inlineStr">
        <is>
          <t>x</t>
        </is>
      </c>
    </row>
    <row r="52">
      <c r="A52" t="inlineStr">
        <is>
          <t>A601</t>
        </is>
      </c>
      <c r="B52" t="inlineStr">
        <is>
          <t>If you have a diversity, equity, and inclusion office or department, please provide the URL of the corresponding Web page:</t>
        </is>
      </c>
      <c r="C52">
        <f>IFERROR(IF(VLOOKUP($A52,'CDS-A'!$A:$L,3,FALSE)="","",(VLOOKUP($A52,'CDS-A'!$A:$L,3,FALSE))),"")</f>
        <v/>
      </c>
      <c r="D52" t="inlineStr">
        <is>
          <t>General Information</t>
        </is>
      </c>
      <c r="E52" t="inlineStr">
        <is>
          <t>DEI</t>
        </is>
      </c>
      <c r="F52" t="inlineStr">
        <is>
          <t>All</t>
        </is>
      </c>
      <c r="G52" t="inlineStr">
        <is>
          <t>All</t>
        </is>
      </c>
      <c r="H52" t="inlineStr">
        <is>
          <t>All</t>
        </is>
      </c>
      <c r="I52" t="inlineStr">
        <is>
          <t>All</t>
        </is>
      </c>
      <c r="J52" t="inlineStr">
        <is>
          <t>All</t>
        </is>
      </c>
      <c r="K52" t="inlineStr">
        <is>
          <t>All</t>
        </is>
      </c>
      <c r="L52" t="inlineStr">
        <is>
          <t>URL</t>
        </is>
      </c>
    </row>
    <row r="53">
      <c r="A53" t="inlineStr">
        <is>
          <t>B101</t>
        </is>
      </c>
      <c r="B53" t="inlineStr">
        <is>
          <t>Degree-seeking, first-time first-year students: men</t>
        </is>
      </c>
      <c r="C53">
        <f>IFERROR(IF(VLOOKUP($A53,'CDS-B'!$A:$L,3,FALSE)="","",(VLOOKUP($A53,'CDS-B'!$A:$L,3,FALSE))),"")</f>
        <v/>
      </c>
      <c r="D53" t="inlineStr">
        <is>
          <t>Enrollment And Persistence</t>
        </is>
      </c>
      <c r="E53" t="inlineStr">
        <is>
          <t>Institutional Enrollment</t>
        </is>
      </c>
      <c r="F53" t="inlineStr">
        <is>
          <t>Degree-seeking</t>
        </is>
      </c>
      <c r="G53" t="inlineStr">
        <is>
          <t>Undergraduates</t>
        </is>
      </c>
      <c r="H53" t="inlineStr">
        <is>
          <t>First-time, first-year</t>
        </is>
      </c>
      <c r="I53" t="inlineStr">
        <is>
          <t>All</t>
        </is>
      </c>
      <c r="J53" t="inlineStr">
        <is>
          <t>FT</t>
        </is>
      </c>
      <c r="K53" t="inlineStr">
        <is>
          <t>Men</t>
        </is>
      </c>
      <c r="L53" t="inlineStr">
        <is>
          <t>Number</t>
        </is>
      </c>
    </row>
    <row r="54">
      <c r="A54" t="inlineStr">
        <is>
          <t>B102</t>
        </is>
      </c>
      <c r="B54" t="inlineStr">
        <is>
          <t>Degree-seeking, first-time first-year students: women</t>
        </is>
      </c>
      <c r="C54">
        <f>IFERROR(IF(VLOOKUP($A54,'CDS-B'!$A:$L,3,FALSE)="","",(VLOOKUP($A54,'CDS-B'!$A:$L,3,FALSE))),"")</f>
        <v/>
      </c>
      <c r="D54" t="inlineStr">
        <is>
          <t>Enrollment And Persistence</t>
        </is>
      </c>
      <c r="E54" t="inlineStr">
        <is>
          <t>Institutional Enrollment</t>
        </is>
      </c>
      <c r="F54" t="inlineStr">
        <is>
          <t>Degree-seeking</t>
        </is>
      </c>
      <c r="G54" t="inlineStr">
        <is>
          <t>Undergraduates</t>
        </is>
      </c>
      <c r="H54" t="inlineStr">
        <is>
          <t>First-time, first-year</t>
        </is>
      </c>
      <c r="I54" t="inlineStr">
        <is>
          <t>All</t>
        </is>
      </c>
      <c r="J54" t="inlineStr">
        <is>
          <t>FT</t>
        </is>
      </c>
      <c r="K54" t="inlineStr">
        <is>
          <t>Women</t>
        </is>
      </c>
      <c r="L54" t="inlineStr">
        <is>
          <t>Number</t>
        </is>
      </c>
    </row>
    <row r="55">
      <c r="A55" t="inlineStr">
        <is>
          <t>B103</t>
        </is>
      </c>
      <c r="B55" t="inlineStr">
        <is>
          <t>Degree-seeking, first-time first-year students: another gender</t>
        </is>
      </c>
      <c r="C55">
        <f>IFERROR(IF(VLOOKUP($A55,'CDS-B'!$A:$L,3,FALSE)="","",(VLOOKUP($A55,'CDS-B'!$A:$L,3,FALSE))),"")</f>
        <v/>
      </c>
      <c r="D55" t="inlineStr">
        <is>
          <t>Enrollment And Persistence</t>
        </is>
      </c>
      <c r="E55" t="inlineStr">
        <is>
          <t>Institutional Enrollment</t>
        </is>
      </c>
      <c r="F55" t="inlineStr">
        <is>
          <t>Degree-seeking</t>
        </is>
      </c>
      <c r="G55" t="inlineStr">
        <is>
          <t>Undergraduates</t>
        </is>
      </c>
      <c r="H55" t="inlineStr">
        <is>
          <t>First-time, first-year</t>
        </is>
      </c>
      <c r="I55" t="inlineStr">
        <is>
          <t>All</t>
        </is>
      </c>
      <c r="J55" t="inlineStr">
        <is>
          <t>FT</t>
        </is>
      </c>
      <c r="K55" t="inlineStr">
        <is>
          <t>Another Gender</t>
        </is>
      </c>
      <c r="L55" t="inlineStr">
        <is>
          <t>Number</t>
        </is>
      </c>
    </row>
    <row r="56">
      <c r="A56" t="inlineStr">
        <is>
          <t>B104</t>
        </is>
      </c>
      <c r="B56" t="inlineStr">
        <is>
          <t>Degree-seeking, first-time first-year students: unknown</t>
        </is>
      </c>
      <c r="C56">
        <f>IFERROR(IF(VLOOKUP($A56,'CDS-B'!$A:$L,3,FALSE)="","",(VLOOKUP($A56,'CDS-B'!$A:$L,3,FALSE))),"")</f>
        <v/>
      </c>
      <c r="D56" t="inlineStr">
        <is>
          <t>Enrollment And Persistence</t>
        </is>
      </c>
      <c r="E56" t="inlineStr">
        <is>
          <t>Institutional Enrollment</t>
        </is>
      </c>
      <c r="F56" t="inlineStr">
        <is>
          <t>Degree-seeking</t>
        </is>
      </c>
      <c r="G56" t="inlineStr">
        <is>
          <t>Undergraduates</t>
        </is>
      </c>
      <c r="H56" t="inlineStr">
        <is>
          <t>First-time, first-year</t>
        </is>
      </c>
      <c r="I56" t="inlineStr">
        <is>
          <t>All</t>
        </is>
      </c>
      <c r="J56" t="inlineStr">
        <is>
          <t>FT</t>
        </is>
      </c>
      <c r="K56" t="inlineStr">
        <is>
          <t>Unknown</t>
        </is>
      </c>
      <c r="L56" t="inlineStr">
        <is>
          <t>Number</t>
        </is>
      </c>
    </row>
    <row r="57">
      <c r="A57" t="inlineStr">
        <is>
          <t>B105</t>
        </is>
      </c>
      <c r="B57" t="inlineStr">
        <is>
          <t>Other first-year, degree-seeking: men</t>
        </is>
      </c>
      <c r="C57">
        <f>IFERROR(IF(VLOOKUP($A57,'CDS-B'!$A:$L,3,FALSE)="","",(VLOOKUP($A57,'CDS-B'!$A:$L,3,FALSE))),"")</f>
        <v/>
      </c>
      <c r="D57" t="inlineStr">
        <is>
          <t>Enrollment And Persistence</t>
        </is>
      </c>
      <c r="E57" t="inlineStr">
        <is>
          <t>Institutional Enrollment</t>
        </is>
      </c>
      <c r="F57" t="inlineStr">
        <is>
          <t>Degree-seeking</t>
        </is>
      </c>
      <c r="G57" t="inlineStr">
        <is>
          <t>Undergraduates</t>
        </is>
      </c>
      <c r="H57" t="inlineStr">
        <is>
          <t>Other first-year</t>
        </is>
      </c>
      <c r="I57" t="inlineStr">
        <is>
          <t>All</t>
        </is>
      </c>
      <c r="J57" t="inlineStr">
        <is>
          <t>FT</t>
        </is>
      </c>
      <c r="K57" t="inlineStr">
        <is>
          <t>Men</t>
        </is>
      </c>
      <c r="L57" t="inlineStr">
        <is>
          <t>Number</t>
        </is>
      </c>
    </row>
    <row r="58">
      <c r="A58" t="inlineStr">
        <is>
          <t>B106</t>
        </is>
      </c>
      <c r="B58" t="inlineStr">
        <is>
          <t>Other first-year, degree-seeking: women</t>
        </is>
      </c>
      <c r="C58">
        <f>IFERROR(IF(VLOOKUP($A58,'CDS-B'!$A:$L,3,FALSE)="","",(VLOOKUP($A58,'CDS-B'!$A:$L,3,FALSE))),"")</f>
        <v/>
      </c>
      <c r="D58" t="inlineStr">
        <is>
          <t>Enrollment And Persistence</t>
        </is>
      </c>
      <c r="E58" t="inlineStr">
        <is>
          <t>Institutional Enrollment</t>
        </is>
      </c>
      <c r="F58" t="inlineStr">
        <is>
          <t>Degree-seeking</t>
        </is>
      </c>
      <c r="G58" t="inlineStr">
        <is>
          <t>Undergraduates</t>
        </is>
      </c>
      <c r="H58" t="inlineStr">
        <is>
          <t>Other first-year</t>
        </is>
      </c>
      <c r="I58" t="inlineStr">
        <is>
          <t>All</t>
        </is>
      </c>
      <c r="J58" t="inlineStr">
        <is>
          <t>FT</t>
        </is>
      </c>
      <c r="K58" t="inlineStr">
        <is>
          <t>Women</t>
        </is>
      </c>
      <c r="L58" t="inlineStr">
        <is>
          <t>Number</t>
        </is>
      </c>
    </row>
    <row r="59">
      <c r="A59" t="inlineStr">
        <is>
          <t>B107</t>
        </is>
      </c>
      <c r="B59" t="inlineStr">
        <is>
          <t>Other first-year, degree-seeking: another gender</t>
        </is>
      </c>
      <c r="C59">
        <f>IFERROR(IF(VLOOKUP($A59,'CDS-B'!$A:$L,3,FALSE)="","",(VLOOKUP($A59,'CDS-B'!$A:$L,3,FALSE))),"")</f>
        <v/>
      </c>
      <c r="D59" t="inlineStr">
        <is>
          <t>Enrollment And Persistence</t>
        </is>
      </c>
      <c r="E59" t="inlineStr">
        <is>
          <t>Institutional Enrollment</t>
        </is>
      </c>
      <c r="F59" t="inlineStr">
        <is>
          <t>Degree-seeking</t>
        </is>
      </c>
      <c r="G59" t="inlineStr">
        <is>
          <t>Undergraduates</t>
        </is>
      </c>
      <c r="H59" t="inlineStr">
        <is>
          <t>Other first-year</t>
        </is>
      </c>
      <c r="I59" t="inlineStr">
        <is>
          <t>All</t>
        </is>
      </c>
      <c r="J59" t="inlineStr">
        <is>
          <t>FT</t>
        </is>
      </c>
      <c r="K59" t="inlineStr">
        <is>
          <t>Another Gender</t>
        </is>
      </c>
      <c r="L59" t="inlineStr">
        <is>
          <t>Number</t>
        </is>
      </c>
    </row>
    <row r="60">
      <c r="A60" t="inlineStr">
        <is>
          <t>B108</t>
        </is>
      </c>
      <c r="B60" t="inlineStr">
        <is>
          <t>Other first-year, degree-seeking:  unknown</t>
        </is>
      </c>
      <c r="C60">
        <f>IFERROR(IF(VLOOKUP($A60,'CDS-B'!$A:$L,3,FALSE)="","",(VLOOKUP($A60,'CDS-B'!$A:$L,3,FALSE))),"")</f>
        <v/>
      </c>
      <c r="D60" t="inlineStr">
        <is>
          <t>Enrollment And Persistence</t>
        </is>
      </c>
      <c r="E60" t="inlineStr">
        <is>
          <t>Institutional Enrollment</t>
        </is>
      </c>
      <c r="F60" t="inlineStr">
        <is>
          <t>Degree-seeking</t>
        </is>
      </c>
      <c r="G60" t="inlineStr">
        <is>
          <t>Undergraduates</t>
        </is>
      </c>
      <c r="H60" t="inlineStr">
        <is>
          <t>Other first-year</t>
        </is>
      </c>
      <c r="I60" t="inlineStr">
        <is>
          <t>All</t>
        </is>
      </c>
      <c r="J60" t="inlineStr">
        <is>
          <t>FT</t>
        </is>
      </c>
      <c r="K60" t="inlineStr">
        <is>
          <t>Unknown</t>
        </is>
      </c>
      <c r="L60" t="inlineStr">
        <is>
          <t>Number</t>
        </is>
      </c>
    </row>
    <row r="61">
      <c r="A61" t="inlineStr">
        <is>
          <t>B109</t>
        </is>
      </c>
      <c r="B61" t="inlineStr">
        <is>
          <t>All other degree-seeking: men</t>
        </is>
      </c>
      <c r="C61">
        <f>IFERROR(IF(VLOOKUP($A61,'CDS-B'!$A:$L,3,FALSE)="","",(VLOOKUP($A61,'CDS-B'!$A:$L,3,FALSE))),"")</f>
        <v/>
      </c>
      <c r="D61" t="inlineStr">
        <is>
          <t>Enrollment And Persistence</t>
        </is>
      </c>
      <c r="E61" t="inlineStr">
        <is>
          <t>Institutional Enrollment</t>
        </is>
      </c>
      <c r="F61" t="inlineStr">
        <is>
          <t>Degree-seeking</t>
        </is>
      </c>
      <c r="G61" t="inlineStr">
        <is>
          <t>Undergraduates</t>
        </is>
      </c>
      <c r="H61" t="inlineStr">
        <is>
          <t>All other</t>
        </is>
      </c>
      <c r="I61" t="inlineStr">
        <is>
          <t>All</t>
        </is>
      </c>
      <c r="J61" t="inlineStr">
        <is>
          <t>FT</t>
        </is>
      </c>
      <c r="K61" t="inlineStr">
        <is>
          <t>Men</t>
        </is>
      </c>
      <c r="L61" t="inlineStr">
        <is>
          <t>Number</t>
        </is>
      </c>
    </row>
    <row r="62">
      <c r="A62" t="inlineStr">
        <is>
          <t>B110</t>
        </is>
      </c>
      <c r="B62" t="inlineStr">
        <is>
          <t>All other degree-seeking: women</t>
        </is>
      </c>
      <c r="C62">
        <f>IFERROR(IF(VLOOKUP($A62,'CDS-B'!$A:$L,3,FALSE)="","",(VLOOKUP($A62,'CDS-B'!$A:$L,3,FALSE))),"")</f>
        <v/>
      </c>
      <c r="D62" t="inlineStr">
        <is>
          <t>Enrollment And Persistence</t>
        </is>
      </c>
      <c r="E62" t="inlineStr">
        <is>
          <t>Institutional Enrollment</t>
        </is>
      </c>
      <c r="F62" t="inlineStr">
        <is>
          <t>Degree-seeking</t>
        </is>
      </c>
      <c r="G62" t="inlineStr">
        <is>
          <t>Undergraduates</t>
        </is>
      </c>
      <c r="H62" t="inlineStr">
        <is>
          <t>All other</t>
        </is>
      </c>
      <c r="I62" t="inlineStr">
        <is>
          <t>All</t>
        </is>
      </c>
      <c r="J62" t="inlineStr">
        <is>
          <t>FT</t>
        </is>
      </c>
      <c r="K62" t="inlineStr">
        <is>
          <t>Women</t>
        </is>
      </c>
      <c r="L62" t="inlineStr">
        <is>
          <t>Number</t>
        </is>
      </c>
    </row>
    <row r="63">
      <c r="A63" t="inlineStr">
        <is>
          <t>B111</t>
        </is>
      </c>
      <c r="B63" t="inlineStr">
        <is>
          <t>All other degree-seeking: another gender</t>
        </is>
      </c>
      <c r="C63">
        <f>IFERROR(IF(VLOOKUP($A63,'CDS-B'!$A:$L,3,FALSE)="","",(VLOOKUP($A63,'CDS-B'!$A:$L,3,FALSE))),"")</f>
        <v/>
      </c>
      <c r="D63" t="inlineStr">
        <is>
          <t>Enrollment And Persistence</t>
        </is>
      </c>
      <c r="E63" t="inlineStr">
        <is>
          <t>Institutional Enrollment</t>
        </is>
      </c>
      <c r="F63" t="inlineStr">
        <is>
          <t>Degree-seeking</t>
        </is>
      </c>
      <c r="G63" t="inlineStr">
        <is>
          <t>Undergraduates</t>
        </is>
      </c>
      <c r="H63" t="inlineStr">
        <is>
          <t>All other</t>
        </is>
      </c>
      <c r="I63" t="inlineStr">
        <is>
          <t>All</t>
        </is>
      </c>
      <c r="J63" t="inlineStr">
        <is>
          <t>FT</t>
        </is>
      </c>
      <c r="K63" t="inlineStr">
        <is>
          <t>Another Gender</t>
        </is>
      </c>
      <c r="L63" t="inlineStr">
        <is>
          <t>Number</t>
        </is>
      </c>
    </row>
    <row r="64">
      <c r="A64" t="inlineStr">
        <is>
          <t>B112</t>
        </is>
      </c>
      <c r="B64" t="inlineStr">
        <is>
          <t>All other degree-seeking: unknown</t>
        </is>
      </c>
      <c r="C64">
        <f>IFERROR(IF(VLOOKUP($A64,'CDS-B'!$A:$L,3,FALSE)="","",(VLOOKUP($A64,'CDS-B'!$A:$L,3,FALSE))),"")</f>
        <v/>
      </c>
      <c r="D64" t="inlineStr">
        <is>
          <t>Enrollment And Persistence</t>
        </is>
      </c>
      <c r="E64" t="inlineStr">
        <is>
          <t>Institutional Enrollment</t>
        </is>
      </c>
      <c r="F64" t="inlineStr">
        <is>
          <t>Degree-seeking</t>
        </is>
      </c>
      <c r="G64" t="inlineStr">
        <is>
          <t>Undergraduates</t>
        </is>
      </c>
      <c r="H64" t="inlineStr">
        <is>
          <t>All other</t>
        </is>
      </c>
      <c r="I64" t="inlineStr">
        <is>
          <t>All</t>
        </is>
      </c>
      <c r="J64" t="inlineStr">
        <is>
          <t>FT</t>
        </is>
      </c>
      <c r="K64" t="inlineStr">
        <is>
          <t>Unknown</t>
        </is>
      </c>
      <c r="L64" t="inlineStr">
        <is>
          <t>Number</t>
        </is>
      </c>
    </row>
    <row r="65">
      <c r="A65" t="inlineStr">
        <is>
          <t>B113</t>
        </is>
      </c>
      <c r="B65" t="inlineStr">
        <is>
          <t>Total degree-seeking: men</t>
        </is>
      </c>
      <c r="C65">
        <f>IFERROR(IF(VLOOKUP($A65,'CDS-B'!$A:$L,3,FALSE)="","",(VLOOKUP($A65,'CDS-B'!$A:$L,3,FALSE))),"")</f>
        <v/>
      </c>
      <c r="D65" t="inlineStr">
        <is>
          <t>Enrollment And Persistence</t>
        </is>
      </c>
      <c r="E65" t="inlineStr">
        <is>
          <t>Institutional Enrollment</t>
        </is>
      </c>
      <c r="F65" t="inlineStr">
        <is>
          <t>Degree-seeking</t>
        </is>
      </c>
      <c r="G65" t="inlineStr">
        <is>
          <t>Undergraduates</t>
        </is>
      </c>
      <c r="H65" t="inlineStr">
        <is>
          <t>Total</t>
        </is>
      </c>
      <c r="I65" t="inlineStr">
        <is>
          <t>All</t>
        </is>
      </c>
      <c r="J65" t="inlineStr">
        <is>
          <t>FT</t>
        </is>
      </c>
      <c r="K65" t="inlineStr">
        <is>
          <t>Men</t>
        </is>
      </c>
      <c r="L65" t="inlineStr">
        <is>
          <t>Number</t>
        </is>
      </c>
    </row>
    <row r="66">
      <c r="A66" t="inlineStr">
        <is>
          <t>B114</t>
        </is>
      </c>
      <c r="B66" t="inlineStr">
        <is>
          <t>Total degree-seeking: women</t>
        </is>
      </c>
      <c r="C66">
        <f>IFERROR(IF(VLOOKUP($A66,'CDS-B'!$A:$L,3,FALSE)="","",(VLOOKUP($A66,'CDS-B'!$A:$L,3,FALSE))),"")</f>
        <v/>
      </c>
      <c r="D66" t="inlineStr">
        <is>
          <t>Enrollment And Persistence</t>
        </is>
      </c>
      <c r="E66" t="inlineStr">
        <is>
          <t>Institutional Enrollment</t>
        </is>
      </c>
      <c r="F66" t="inlineStr">
        <is>
          <t>Degree-seeking</t>
        </is>
      </c>
      <c r="G66" t="inlineStr">
        <is>
          <t>Undergraduates</t>
        </is>
      </c>
      <c r="H66" t="inlineStr">
        <is>
          <t>Total</t>
        </is>
      </c>
      <c r="I66" t="inlineStr">
        <is>
          <t>All</t>
        </is>
      </c>
      <c r="J66" t="inlineStr">
        <is>
          <t>FT</t>
        </is>
      </c>
      <c r="K66" t="inlineStr">
        <is>
          <t>Women</t>
        </is>
      </c>
      <c r="L66" t="inlineStr">
        <is>
          <t>Number</t>
        </is>
      </c>
    </row>
    <row r="67">
      <c r="A67" t="inlineStr">
        <is>
          <t>B115</t>
        </is>
      </c>
      <c r="B67" t="inlineStr">
        <is>
          <t>Total degree-seeking: another gender</t>
        </is>
      </c>
      <c r="C67">
        <f>IFERROR(IF(VLOOKUP($A67,'CDS-B'!$A:$L,3,FALSE)="","",(VLOOKUP($A67,'CDS-B'!$A:$L,3,FALSE))),"")</f>
        <v/>
      </c>
      <c r="D67" t="inlineStr">
        <is>
          <t>Enrollment And Persistence</t>
        </is>
      </c>
      <c r="E67" t="inlineStr">
        <is>
          <t>Institutional Enrollment</t>
        </is>
      </c>
      <c r="F67" t="inlineStr">
        <is>
          <t>Degree-seeking</t>
        </is>
      </c>
      <c r="G67" t="inlineStr">
        <is>
          <t>Undergraduates</t>
        </is>
      </c>
      <c r="H67" t="inlineStr">
        <is>
          <t>Total</t>
        </is>
      </c>
      <c r="I67" t="inlineStr">
        <is>
          <t>All</t>
        </is>
      </c>
      <c r="J67" t="inlineStr">
        <is>
          <t>FT</t>
        </is>
      </c>
      <c r="K67" t="inlineStr">
        <is>
          <t>Another Gender</t>
        </is>
      </c>
      <c r="L67" t="inlineStr">
        <is>
          <t>Number</t>
        </is>
      </c>
    </row>
    <row r="68">
      <c r="A68" t="inlineStr">
        <is>
          <t>B116</t>
        </is>
      </c>
      <c r="B68" t="inlineStr">
        <is>
          <t>Total degree-seeking: unknown</t>
        </is>
      </c>
      <c r="C68">
        <f>IFERROR(IF(VLOOKUP($A68,'CDS-B'!$A:$L,3,FALSE)="","",(VLOOKUP($A68,'CDS-B'!$A:$L,3,FALSE))),"")</f>
        <v/>
      </c>
      <c r="D68" t="inlineStr">
        <is>
          <t>Enrollment And Persistence</t>
        </is>
      </c>
      <c r="E68" t="inlineStr">
        <is>
          <t>Institutional Enrollment</t>
        </is>
      </c>
      <c r="F68" t="inlineStr">
        <is>
          <t>Degree-seeking</t>
        </is>
      </c>
      <c r="G68" t="inlineStr">
        <is>
          <t>Undergraduates</t>
        </is>
      </c>
      <c r="H68" t="inlineStr">
        <is>
          <t>Total</t>
        </is>
      </c>
      <c r="I68" t="inlineStr">
        <is>
          <t>All</t>
        </is>
      </c>
      <c r="J68" t="inlineStr">
        <is>
          <t>FT</t>
        </is>
      </c>
      <c r="K68" t="inlineStr">
        <is>
          <t>Unknown</t>
        </is>
      </c>
      <c r="L68" t="inlineStr">
        <is>
          <t>Number</t>
        </is>
      </c>
    </row>
    <row r="69">
      <c r="A69" t="inlineStr">
        <is>
          <t>B117</t>
        </is>
      </c>
      <c r="B69" t="inlineStr">
        <is>
          <t>All other undergraduates enrolled in credit courses: men</t>
        </is>
      </c>
      <c r="C69">
        <f>IFERROR(IF(VLOOKUP($A69,'CDS-B'!$A:$L,3,FALSE)="","",(VLOOKUP($A69,'CDS-B'!$A:$L,3,FALSE))),"")</f>
        <v/>
      </c>
      <c r="D69" t="inlineStr">
        <is>
          <t>Enrollment And Persistence</t>
        </is>
      </c>
      <c r="E69" t="inlineStr">
        <is>
          <t>Institutional Enrollment</t>
        </is>
      </c>
      <c r="F69" t="inlineStr">
        <is>
          <t>Enrolled in Credit Courses</t>
        </is>
      </c>
      <c r="G69" t="inlineStr">
        <is>
          <t>Undergraduates</t>
        </is>
      </c>
      <c r="H69" t="inlineStr">
        <is>
          <t>All other</t>
        </is>
      </c>
      <c r="I69" t="inlineStr">
        <is>
          <t>All</t>
        </is>
      </c>
      <c r="J69" t="inlineStr">
        <is>
          <t>FT</t>
        </is>
      </c>
      <c r="K69" t="inlineStr">
        <is>
          <t>Men</t>
        </is>
      </c>
      <c r="L69" t="inlineStr">
        <is>
          <t>Number</t>
        </is>
      </c>
    </row>
    <row r="70">
      <c r="A70" t="inlineStr">
        <is>
          <t>B118</t>
        </is>
      </c>
      <c r="B70" t="inlineStr">
        <is>
          <t>All other undergraduates enrolled in credit courses: women</t>
        </is>
      </c>
      <c r="C70">
        <f>IFERROR(IF(VLOOKUP($A70,'CDS-B'!$A:$L,3,FALSE)="","",(VLOOKUP($A70,'CDS-B'!$A:$L,3,FALSE))),"")</f>
        <v/>
      </c>
      <c r="D70" t="inlineStr">
        <is>
          <t>Enrollment And Persistence</t>
        </is>
      </c>
      <c r="E70" t="inlineStr">
        <is>
          <t>Institutional Enrollment</t>
        </is>
      </c>
      <c r="F70" t="inlineStr">
        <is>
          <t>Enrolled in Credit Courses</t>
        </is>
      </c>
      <c r="G70" t="inlineStr">
        <is>
          <t>Undergraduates</t>
        </is>
      </c>
      <c r="H70" t="inlineStr">
        <is>
          <t>All other</t>
        </is>
      </c>
      <c r="I70" t="inlineStr">
        <is>
          <t>All</t>
        </is>
      </c>
      <c r="J70" t="inlineStr">
        <is>
          <t>FT</t>
        </is>
      </c>
      <c r="K70" t="inlineStr">
        <is>
          <t>Women</t>
        </is>
      </c>
      <c r="L70" t="inlineStr">
        <is>
          <t>Number</t>
        </is>
      </c>
    </row>
    <row r="71">
      <c r="A71" t="inlineStr">
        <is>
          <t>B119</t>
        </is>
      </c>
      <c r="B71" t="inlineStr">
        <is>
          <t>All other undergraduates enrolled in credit courses: another gender</t>
        </is>
      </c>
      <c r="C71">
        <f>IFERROR(IF(VLOOKUP($A71,'CDS-B'!$A:$L,3,FALSE)="","",(VLOOKUP($A71,'CDS-B'!$A:$L,3,FALSE))),"")</f>
        <v/>
      </c>
      <c r="D71" t="inlineStr">
        <is>
          <t>Enrollment And Persistence</t>
        </is>
      </c>
      <c r="E71" t="inlineStr">
        <is>
          <t>Institutional Enrollment</t>
        </is>
      </c>
      <c r="F71" t="inlineStr">
        <is>
          <t>Enrolled in Credit Courses</t>
        </is>
      </c>
      <c r="G71" t="inlineStr">
        <is>
          <t>Undergraduates</t>
        </is>
      </c>
      <c r="H71" t="inlineStr">
        <is>
          <t>All other</t>
        </is>
      </c>
      <c r="I71" t="inlineStr">
        <is>
          <t>All</t>
        </is>
      </c>
      <c r="J71" t="inlineStr">
        <is>
          <t>FT</t>
        </is>
      </c>
      <c r="K71" t="inlineStr">
        <is>
          <t>Another Gender</t>
        </is>
      </c>
      <c r="L71" t="inlineStr">
        <is>
          <t>Number</t>
        </is>
      </c>
    </row>
    <row r="72">
      <c r="A72" t="inlineStr">
        <is>
          <t>B120</t>
        </is>
      </c>
      <c r="B72" t="inlineStr">
        <is>
          <t>All other undergraduates enrolled in credit courses: unknown</t>
        </is>
      </c>
      <c r="C72">
        <f>IFERROR(IF(VLOOKUP($A72,'CDS-B'!$A:$L,3,FALSE)="","",(VLOOKUP($A72,'CDS-B'!$A:$L,3,FALSE))),"")</f>
        <v/>
      </c>
      <c r="D72" t="inlineStr">
        <is>
          <t>Enrollment And Persistence</t>
        </is>
      </c>
      <c r="E72" t="inlineStr">
        <is>
          <t>Institutional Enrollment</t>
        </is>
      </c>
      <c r="F72" t="inlineStr">
        <is>
          <t>Enrolled in Credit Courses</t>
        </is>
      </c>
      <c r="G72" t="inlineStr">
        <is>
          <t>Undergraduates</t>
        </is>
      </c>
      <c r="H72" t="inlineStr">
        <is>
          <t>All other</t>
        </is>
      </c>
      <c r="I72" t="inlineStr">
        <is>
          <t>All</t>
        </is>
      </c>
      <c r="J72" t="inlineStr">
        <is>
          <t>FT</t>
        </is>
      </c>
      <c r="K72" t="inlineStr">
        <is>
          <t>Unknown</t>
        </is>
      </c>
      <c r="L72" t="inlineStr">
        <is>
          <t>Number</t>
        </is>
      </c>
    </row>
    <row r="73">
      <c r="A73" t="inlineStr">
        <is>
          <t>B121</t>
        </is>
      </c>
      <c r="B73" t="inlineStr">
        <is>
          <t>Total undergraduate Full-Time Students: men</t>
        </is>
      </c>
      <c r="C73">
        <f>IFERROR(IF(VLOOKUP($A73,'CDS-B'!$A:$L,3,FALSE)="","",(VLOOKUP($A73,'CDS-B'!$A:$L,3,FALSE))),"")</f>
        <v/>
      </c>
      <c r="D73" t="inlineStr">
        <is>
          <t>Enrollment And Persistence</t>
        </is>
      </c>
      <c r="E73" t="inlineStr">
        <is>
          <t>Institutional Enrollment</t>
        </is>
      </c>
      <c r="F73" t="inlineStr">
        <is>
          <t>All</t>
        </is>
      </c>
      <c r="G73" t="inlineStr">
        <is>
          <t>Undergraduates</t>
        </is>
      </c>
      <c r="H73" t="inlineStr">
        <is>
          <t>Total</t>
        </is>
      </c>
      <c r="I73" t="inlineStr">
        <is>
          <t>All</t>
        </is>
      </c>
      <c r="J73" t="inlineStr">
        <is>
          <t>FT</t>
        </is>
      </c>
      <c r="K73" t="inlineStr">
        <is>
          <t>Men</t>
        </is>
      </c>
      <c r="L73" t="inlineStr">
        <is>
          <t>Number</t>
        </is>
      </c>
    </row>
    <row r="74">
      <c r="A74" t="inlineStr">
        <is>
          <t>B122</t>
        </is>
      </c>
      <c r="B74" t="inlineStr">
        <is>
          <t>Total undergraduate Full-Time Students: women</t>
        </is>
      </c>
      <c r="C74">
        <f>IFERROR(IF(VLOOKUP($A74,'CDS-B'!$A:$L,3,FALSE)="","",(VLOOKUP($A74,'CDS-B'!$A:$L,3,FALSE))),"")</f>
        <v/>
      </c>
      <c r="D74" t="inlineStr">
        <is>
          <t>Enrollment And Persistence</t>
        </is>
      </c>
      <c r="E74" t="inlineStr">
        <is>
          <t>Institutional Enrollment</t>
        </is>
      </c>
      <c r="F74" t="inlineStr">
        <is>
          <t>All</t>
        </is>
      </c>
      <c r="G74" t="inlineStr">
        <is>
          <t>Undergraduates</t>
        </is>
      </c>
      <c r="H74" t="inlineStr">
        <is>
          <t>Total</t>
        </is>
      </c>
      <c r="I74" t="inlineStr">
        <is>
          <t>All</t>
        </is>
      </c>
      <c r="J74" t="inlineStr">
        <is>
          <t>FT</t>
        </is>
      </c>
      <c r="K74" t="inlineStr">
        <is>
          <t>Women</t>
        </is>
      </c>
      <c r="L74" t="inlineStr">
        <is>
          <t>Number</t>
        </is>
      </c>
    </row>
    <row r="75">
      <c r="A75" t="inlineStr">
        <is>
          <t>B123</t>
        </is>
      </c>
      <c r="B75" t="inlineStr">
        <is>
          <t>Total undergraduate Full-Time Students: another gender</t>
        </is>
      </c>
      <c r="C75">
        <f>IFERROR(IF(VLOOKUP($A75,'CDS-B'!$A:$L,3,FALSE)="","",(VLOOKUP($A75,'CDS-B'!$A:$L,3,FALSE))),"")</f>
        <v/>
      </c>
      <c r="D75" t="inlineStr">
        <is>
          <t>Enrollment And Persistence</t>
        </is>
      </c>
      <c r="E75" t="inlineStr">
        <is>
          <t>Institutional Enrollment</t>
        </is>
      </c>
      <c r="F75" t="inlineStr">
        <is>
          <t>All</t>
        </is>
      </c>
      <c r="G75" t="inlineStr">
        <is>
          <t>Undergraduates</t>
        </is>
      </c>
      <c r="H75" t="inlineStr">
        <is>
          <t>Total</t>
        </is>
      </c>
      <c r="I75" t="inlineStr">
        <is>
          <t>All</t>
        </is>
      </c>
      <c r="J75" t="inlineStr">
        <is>
          <t>FT</t>
        </is>
      </c>
      <c r="K75" t="inlineStr">
        <is>
          <t>Another Gender</t>
        </is>
      </c>
      <c r="L75" t="inlineStr">
        <is>
          <t>Number</t>
        </is>
      </c>
    </row>
    <row r="76">
      <c r="A76" t="inlineStr">
        <is>
          <t>B124</t>
        </is>
      </c>
      <c r="B76" t="inlineStr">
        <is>
          <t>Total undergraduate Full-Time Students: unknown</t>
        </is>
      </c>
      <c r="C76">
        <f>IFERROR(IF(VLOOKUP($A76,'CDS-B'!$A:$L,3,FALSE)="","",(VLOOKUP($A76,'CDS-B'!$A:$L,3,FALSE))),"")</f>
        <v/>
      </c>
      <c r="D76" t="inlineStr">
        <is>
          <t>Enrollment And Persistence</t>
        </is>
      </c>
      <c r="E76" t="inlineStr">
        <is>
          <t>Institutional Enrollment</t>
        </is>
      </c>
      <c r="F76" t="inlineStr">
        <is>
          <t>All</t>
        </is>
      </c>
      <c r="G76" t="inlineStr">
        <is>
          <t>Undergraduates</t>
        </is>
      </c>
      <c r="H76" t="inlineStr">
        <is>
          <t>Total</t>
        </is>
      </c>
      <c r="I76" t="inlineStr">
        <is>
          <t>All</t>
        </is>
      </c>
      <c r="J76" t="inlineStr">
        <is>
          <t>FT</t>
        </is>
      </c>
      <c r="K76" t="inlineStr">
        <is>
          <t>Unknown</t>
        </is>
      </c>
      <c r="L76" t="inlineStr">
        <is>
          <t>Number</t>
        </is>
      </c>
    </row>
    <row r="77">
      <c r="A77" t="inlineStr">
        <is>
          <t>B125</t>
        </is>
      </c>
      <c r="B77" t="inlineStr">
        <is>
          <t>Degree-seeking, first-time first-year students: men</t>
        </is>
      </c>
      <c r="C77">
        <f>IFERROR(IF(VLOOKUP($A77,'CDS-B'!$A:$L,3,FALSE)="","",(VLOOKUP($A77,'CDS-B'!$A:$L,3,FALSE))),"")</f>
        <v/>
      </c>
      <c r="D77" t="inlineStr">
        <is>
          <t>Enrollment And Persistence</t>
        </is>
      </c>
      <c r="E77" t="inlineStr">
        <is>
          <t>Institutional Enrollment</t>
        </is>
      </c>
      <c r="F77" t="inlineStr">
        <is>
          <t>Degree-seeking</t>
        </is>
      </c>
      <c r="G77" t="inlineStr">
        <is>
          <t>Undergraduates</t>
        </is>
      </c>
      <c r="H77" t="inlineStr">
        <is>
          <t>First-time, first-year</t>
        </is>
      </c>
      <c r="I77" t="inlineStr">
        <is>
          <t>All</t>
        </is>
      </c>
      <c r="J77" t="inlineStr">
        <is>
          <t>PT</t>
        </is>
      </c>
      <c r="K77" t="inlineStr">
        <is>
          <t>Men</t>
        </is>
      </c>
      <c r="L77" t="inlineStr">
        <is>
          <t>Number</t>
        </is>
      </c>
    </row>
    <row r="78">
      <c r="A78" t="inlineStr">
        <is>
          <t>B126</t>
        </is>
      </c>
      <c r="B78" t="inlineStr">
        <is>
          <t>Degree-seeking, first-time first-year students: women</t>
        </is>
      </c>
      <c r="C78">
        <f>IFERROR(IF(VLOOKUP($A78,'CDS-B'!$A:$L,3,FALSE)="","",(VLOOKUP($A78,'CDS-B'!$A:$L,3,FALSE))),"")</f>
        <v/>
      </c>
      <c r="D78" t="inlineStr">
        <is>
          <t>Enrollment And Persistence</t>
        </is>
      </c>
      <c r="E78" t="inlineStr">
        <is>
          <t>Institutional Enrollment</t>
        </is>
      </c>
      <c r="F78" t="inlineStr">
        <is>
          <t>Degree-seeking</t>
        </is>
      </c>
      <c r="G78" t="inlineStr">
        <is>
          <t>Undergraduates</t>
        </is>
      </c>
      <c r="H78" t="inlineStr">
        <is>
          <t>First-time, first-year</t>
        </is>
      </c>
      <c r="I78" t="inlineStr">
        <is>
          <t>All</t>
        </is>
      </c>
      <c r="J78" t="inlineStr">
        <is>
          <t>PT</t>
        </is>
      </c>
      <c r="K78" t="inlineStr">
        <is>
          <t>Women</t>
        </is>
      </c>
      <c r="L78" t="inlineStr">
        <is>
          <t>Number</t>
        </is>
      </c>
    </row>
    <row r="79">
      <c r="A79" t="inlineStr">
        <is>
          <t>B127</t>
        </is>
      </c>
      <c r="B79" t="inlineStr">
        <is>
          <t>Degree-seeking, first-time first-year students: another gender</t>
        </is>
      </c>
      <c r="C79">
        <f>IFERROR(IF(VLOOKUP($A79,'CDS-B'!$A:$L,3,FALSE)="","",(VLOOKUP($A79,'CDS-B'!$A:$L,3,FALSE))),"")</f>
        <v/>
      </c>
      <c r="D79" t="inlineStr">
        <is>
          <t>Enrollment And Persistence</t>
        </is>
      </c>
      <c r="E79" t="inlineStr">
        <is>
          <t>Institutional Enrollment</t>
        </is>
      </c>
      <c r="F79" t="inlineStr">
        <is>
          <t>Degree-seeking</t>
        </is>
      </c>
      <c r="G79" t="inlineStr">
        <is>
          <t>Undergraduates</t>
        </is>
      </c>
      <c r="H79" t="inlineStr">
        <is>
          <t>First-time, first-year</t>
        </is>
      </c>
      <c r="I79" t="inlineStr">
        <is>
          <t>All</t>
        </is>
      </c>
      <c r="J79" t="inlineStr">
        <is>
          <t>PT</t>
        </is>
      </c>
      <c r="K79" t="inlineStr">
        <is>
          <t>Another Gender</t>
        </is>
      </c>
      <c r="L79" t="inlineStr">
        <is>
          <t>Number</t>
        </is>
      </c>
    </row>
    <row r="80">
      <c r="A80" t="inlineStr">
        <is>
          <t>B128</t>
        </is>
      </c>
      <c r="B80" t="inlineStr">
        <is>
          <t>Degree-seeking, first-time first-year students: unknown</t>
        </is>
      </c>
      <c r="C80">
        <f>IFERROR(IF(VLOOKUP($A80,'CDS-B'!$A:$L,3,FALSE)="","",(VLOOKUP($A80,'CDS-B'!$A:$L,3,FALSE))),"")</f>
        <v/>
      </c>
      <c r="D80" t="inlineStr">
        <is>
          <t>Enrollment And Persistence</t>
        </is>
      </c>
      <c r="E80" t="inlineStr">
        <is>
          <t>Institutional Enrollment</t>
        </is>
      </c>
      <c r="F80" t="inlineStr">
        <is>
          <t>Degree-seeking</t>
        </is>
      </c>
      <c r="G80" t="inlineStr">
        <is>
          <t>Undergraduates</t>
        </is>
      </c>
      <c r="H80" t="inlineStr">
        <is>
          <t>First-time, first-year</t>
        </is>
      </c>
      <c r="I80" t="inlineStr">
        <is>
          <t>All</t>
        </is>
      </c>
      <c r="J80" t="inlineStr">
        <is>
          <t>PT</t>
        </is>
      </c>
      <c r="K80" t="inlineStr">
        <is>
          <t>Unknown</t>
        </is>
      </c>
      <c r="L80" t="inlineStr">
        <is>
          <t>Number</t>
        </is>
      </c>
    </row>
    <row r="81">
      <c r="A81" t="inlineStr">
        <is>
          <t>B129</t>
        </is>
      </c>
      <c r="B81" t="inlineStr">
        <is>
          <t>Other first-year, degree-seeking: men</t>
        </is>
      </c>
      <c r="C81">
        <f>IFERROR(IF(VLOOKUP($A81,'CDS-B'!$A:$L,3,FALSE)="","",(VLOOKUP($A81,'CDS-B'!$A:$L,3,FALSE))),"")</f>
        <v/>
      </c>
      <c r="D81" t="inlineStr">
        <is>
          <t>Enrollment And Persistence</t>
        </is>
      </c>
      <c r="E81" t="inlineStr">
        <is>
          <t>Institutional Enrollment</t>
        </is>
      </c>
      <c r="F81" t="inlineStr">
        <is>
          <t>Degree-seeking</t>
        </is>
      </c>
      <c r="G81" t="inlineStr">
        <is>
          <t>Undergraduates</t>
        </is>
      </c>
      <c r="H81" t="inlineStr">
        <is>
          <t>Other first-year</t>
        </is>
      </c>
      <c r="I81" t="inlineStr">
        <is>
          <t>All</t>
        </is>
      </c>
      <c r="J81" t="inlineStr">
        <is>
          <t>PT</t>
        </is>
      </c>
      <c r="K81" t="inlineStr">
        <is>
          <t>Men</t>
        </is>
      </c>
      <c r="L81" t="inlineStr">
        <is>
          <t>Number</t>
        </is>
      </c>
    </row>
    <row r="82">
      <c r="A82" t="inlineStr">
        <is>
          <t>B130</t>
        </is>
      </c>
      <c r="B82" t="inlineStr">
        <is>
          <t>Other first-year, degree-seeking: women</t>
        </is>
      </c>
      <c r="C82">
        <f>IFERROR(IF(VLOOKUP($A82,'CDS-B'!$A:$L,3,FALSE)="","",(VLOOKUP($A82,'CDS-B'!$A:$L,3,FALSE))),"")</f>
        <v/>
      </c>
      <c r="D82" t="inlineStr">
        <is>
          <t>Enrollment And Persistence</t>
        </is>
      </c>
      <c r="E82" t="inlineStr">
        <is>
          <t>Institutional Enrollment</t>
        </is>
      </c>
      <c r="F82" t="inlineStr">
        <is>
          <t>Degree-seeking</t>
        </is>
      </c>
      <c r="G82" t="inlineStr">
        <is>
          <t>Undergraduates</t>
        </is>
      </c>
      <c r="H82" t="inlineStr">
        <is>
          <t>Other first-year</t>
        </is>
      </c>
      <c r="I82" t="inlineStr">
        <is>
          <t>All</t>
        </is>
      </c>
      <c r="J82" t="inlineStr">
        <is>
          <t>PT</t>
        </is>
      </c>
      <c r="K82" t="inlineStr">
        <is>
          <t>Women</t>
        </is>
      </c>
      <c r="L82" t="inlineStr">
        <is>
          <t>Number</t>
        </is>
      </c>
    </row>
    <row r="83">
      <c r="A83" t="inlineStr">
        <is>
          <t>B131</t>
        </is>
      </c>
      <c r="B83" t="inlineStr">
        <is>
          <t>Other first-year, degree-seeking: another gender</t>
        </is>
      </c>
      <c r="C83">
        <f>IFERROR(IF(VLOOKUP($A83,'CDS-B'!$A:$L,3,FALSE)="","",(VLOOKUP($A83,'CDS-B'!$A:$L,3,FALSE))),"")</f>
        <v/>
      </c>
      <c r="D83" t="inlineStr">
        <is>
          <t>Enrollment And Persistence</t>
        </is>
      </c>
      <c r="E83" t="inlineStr">
        <is>
          <t>Institutional Enrollment</t>
        </is>
      </c>
      <c r="F83" t="inlineStr">
        <is>
          <t>Degree-seeking</t>
        </is>
      </c>
      <c r="G83" t="inlineStr">
        <is>
          <t>Undergraduates</t>
        </is>
      </c>
      <c r="H83" t="inlineStr">
        <is>
          <t>Other first-year</t>
        </is>
      </c>
      <c r="I83" t="inlineStr">
        <is>
          <t>All</t>
        </is>
      </c>
      <c r="J83" t="inlineStr">
        <is>
          <t>PT</t>
        </is>
      </c>
      <c r="K83" t="inlineStr">
        <is>
          <t>Another Gender</t>
        </is>
      </c>
      <c r="L83" t="inlineStr">
        <is>
          <t>Number</t>
        </is>
      </c>
    </row>
    <row r="84">
      <c r="A84" t="inlineStr">
        <is>
          <t>B132</t>
        </is>
      </c>
      <c r="B84" t="inlineStr">
        <is>
          <t>Other first-year, degree-seeking: unknown</t>
        </is>
      </c>
      <c r="C84">
        <f>IFERROR(IF(VLOOKUP($A84,'CDS-B'!$A:$L,3,FALSE)="","",(VLOOKUP($A84,'CDS-B'!$A:$L,3,FALSE))),"")</f>
        <v/>
      </c>
      <c r="D84" t="inlineStr">
        <is>
          <t>Enrollment And Persistence</t>
        </is>
      </c>
      <c r="E84" t="inlineStr">
        <is>
          <t>Institutional Enrollment</t>
        </is>
      </c>
      <c r="F84" t="inlineStr">
        <is>
          <t>Degree-seeking</t>
        </is>
      </c>
      <c r="G84" t="inlineStr">
        <is>
          <t>Undergraduates</t>
        </is>
      </c>
      <c r="H84" t="inlineStr">
        <is>
          <t>Other first-year</t>
        </is>
      </c>
      <c r="I84" t="inlineStr">
        <is>
          <t>All</t>
        </is>
      </c>
      <c r="J84" t="inlineStr">
        <is>
          <t>PT</t>
        </is>
      </c>
      <c r="K84" t="inlineStr">
        <is>
          <t>Unknown</t>
        </is>
      </c>
      <c r="L84" t="inlineStr">
        <is>
          <t>Number</t>
        </is>
      </c>
    </row>
    <row r="85">
      <c r="A85" t="inlineStr">
        <is>
          <t>B133</t>
        </is>
      </c>
      <c r="B85" t="inlineStr">
        <is>
          <t>All other degree-seeking: men</t>
        </is>
      </c>
      <c r="C85">
        <f>IFERROR(IF(VLOOKUP($A85,'CDS-B'!$A:$L,3,FALSE)="","",(VLOOKUP($A85,'CDS-B'!$A:$L,3,FALSE))),"")</f>
        <v/>
      </c>
      <c r="D85" t="inlineStr">
        <is>
          <t>Enrollment And Persistence</t>
        </is>
      </c>
      <c r="E85" t="inlineStr">
        <is>
          <t>Institutional Enrollment</t>
        </is>
      </c>
      <c r="F85" t="inlineStr">
        <is>
          <t>Degree-seeking</t>
        </is>
      </c>
      <c r="G85" t="inlineStr">
        <is>
          <t>Undergraduates</t>
        </is>
      </c>
      <c r="H85" t="inlineStr">
        <is>
          <t>All other</t>
        </is>
      </c>
      <c r="I85" t="inlineStr">
        <is>
          <t>All</t>
        </is>
      </c>
      <c r="J85" t="inlineStr">
        <is>
          <t>PT</t>
        </is>
      </c>
      <c r="K85" t="inlineStr">
        <is>
          <t>Men</t>
        </is>
      </c>
      <c r="L85" t="inlineStr">
        <is>
          <t>Number</t>
        </is>
      </c>
    </row>
    <row r="86">
      <c r="A86" t="inlineStr">
        <is>
          <t>B134</t>
        </is>
      </c>
      <c r="B86" t="inlineStr">
        <is>
          <t>All other degree-seeking: women</t>
        </is>
      </c>
      <c r="C86">
        <f>IFERROR(IF(VLOOKUP($A86,'CDS-B'!$A:$L,3,FALSE)="","",(VLOOKUP($A86,'CDS-B'!$A:$L,3,FALSE))),"")</f>
        <v/>
      </c>
      <c r="D86" t="inlineStr">
        <is>
          <t>Enrollment And Persistence</t>
        </is>
      </c>
      <c r="E86" t="inlineStr">
        <is>
          <t>Institutional Enrollment</t>
        </is>
      </c>
      <c r="F86" t="inlineStr">
        <is>
          <t>Degree-seeking</t>
        </is>
      </c>
      <c r="G86" t="inlineStr">
        <is>
          <t>Undergraduates</t>
        </is>
      </c>
      <c r="H86" t="inlineStr">
        <is>
          <t>All other</t>
        </is>
      </c>
      <c r="I86" t="inlineStr">
        <is>
          <t>All</t>
        </is>
      </c>
      <c r="J86" t="inlineStr">
        <is>
          <t>PT</t>
        </is>
      </c>
      <c r="K86" t="inlineStr">
        <is>
          <t>Women</t>
        </is>
      </c>
      <c r="L86" t="inlineStr">
        <is>
          <t>Number</t>
        </is>
      </c>
    </row>
    <row r="87">
      <c r="A87" t="inlineStr">
        <is>
          <t>B135</t>
        </is>
      </c>
      <c r="B87" t="inlineStr">
        <is>
          <t>All other degree-seeking: another gender</t>
        </is>
      </c>
      <c r="C87">
        <f>IFERROR(IF(VLOOKUP($A87,'CDS-B'!$A:$L,3,FALSE)="","",(VLOOKUP($A87,'CDS-B'!$A:$L,3,FALSE))),"")</f>
        <v/>
      </c>
      <c r="D87" t="inlineStr">
        <is>
          <t>Enrollment And Persistence</t>
        </is>
      </c>
      <c r="E87" t="inlineStr">
        <is>
          <t>Institutional Enrollment</t>
        </is>
      </c>
      <c r="F87" t="inlineStr">
        <is>
          <t>Degree-seeking</t>
        </is>
      </c>
      <c r="G87" t="inlineStr">
        <is>
          <t>Undergraduates</t>
        </is>
      </c>
      <c r="H87" t="inlineStr">
        <is>
          <t>All other</t>
        </is>
      </c>
      <c r="I87" t="inlineStr">
        <is>
          <t>All</t>
        </is>
      </c>
      <c r="J87" t="inlineStr">
        <is>
          <t>PT</t>
        </is>
      </c>
      <c r="K87" t="inlineStr">
        <is>
          <t>Another Gender</t>
        </is>
      </c>
      <c r="L87" t="inlineStr">
        <is>
          <t>Number</t>
        </is>
      </c>
    </row>
    <row r="88">
      <c r="A88" t="inlineStr">
        <is>
          <t>B136</t>
        </is>
      </c>
      <c r="B88" t="inlineStr">
        <is>
          <t>All other degree-seeking: unknown</t>
        </is>
      </c>
      <c r="C88">
        <f>IFERROR(IF(VLOOKUP($A88,'CDS-B'!$A:$L,3,FALSE)="","",(VLOOKUP($A88,'CDS-B'!$A:$L,3,FALSE))),"")</f>
        <v/>
      </c>
      <c r="D88" t="inlineStr">
        <is>
          <t>Enrollment And Persistence</t>
        </is>
      </c>
      <c r="E88" t="inlineStr">
        <is>
          <t>Institutional Enrollment</t>
        </is>
      </c>
      <c r="F88" t="inlineStr">
        <is>
          <t>Degree-seeking</t>
        </is>
      </c>
      <c r="G88" t="inlineStr">
        <is>
          <t>Undergraduates</t>
        </is>
      </c>
      <c r="H88" t="inlineStr">
        <is>
          <t>All other</t>
        </is>
      </c>
      <c r="I88" t="inlineStr">
        <is>
          <t>All</t>
        </is>
      </c>
      <c r="J88" t="inlineStr">
        <is>
          <t>PT</t>
        </is>
      </c>
      <c r="K88" t="inlineStr">
        <is>
          <t>Unknown</t>
        </is>
      </c>
      <c r="L88" t="inlineStr">
        <is>
          <t>Number</t>
        </is>
      </c>
    </row>
    <row r="89">
      <c r="A89" t="inlineStr">
        <is>
          <t>B137</t>
        </is>
      </c>
      <c r="B89" t="inlineStr">
        <is>
          <t>Total degree-seeking: men</t>
        </is>
      </c>
      <c r="C89">
        <f>IFERROR(IF(VLOOKUP($A89,'CDS-B'!$A:$L,3,FALSE)="","",(VLOOKUP($A89,'CDS-B'!$A:$L,3,FALSE))),"")</f>
        <v/>
      </c>
      <c r="D89" t="inlineStr">
        <is>
          <t>Enrollment And Persistence</t>
        </is>
      </c>
      <c r="E89" t="inlineStr">
        <is>
          <t>Institutional Enrollment</t>
        </is>
      </c>
      <c r="F89" t="inlineStr">
        <is>
          <t>Degree-seeking</t>
        </is>
      </c>
      <c r="G89" t="inlineStr">
        <is>
          <t>Undergraduates</t>
        </is>
      </c>
      <c r="H89" t="inlineStr">
        <is>
          <t>Total</t>
        </is>
      </c>
      <c r="I89" t="inlineStr">
        <is>
          <t>All</t>
        </is>
      </c>
      <c r="J89" t="inlineStr">
        <is>
          <t>PT</t>
        </is>
      </c>
      <c r="K89" t="inlineStr">
        <is>
          <t>Men</t>
        </is>
      </c>
      <c r="L89" t="inlineStr">
        <is>
          <t>Number</t>
        </is>
      </c>
    </row>
    <row r="90">
      <c r="A90" t="inlineStr">
        <is>
          <t>B138</t>
        </is>
      </c>
      <c r="B90" t="inlineStr">
        <is>
          <t>Total degree-seeking: women</t>
        </is>
      </c>
      <c r="C90">
        <f>IFERROR(IF(VLOOKUP($A90,'CDS-B'!$A:$L,3,FALSE)="","",(VLOOKUP($A90,'CDS-B'!$A:$L,3,FALSE))),"")</f>
        <v/>
      </c>
      <c r="D90" t="inlineStr">
        <is>
          <t>Enrollment And Persistence</t>
        </is>
      </c>
      <c r="E90" t="inlineStr">
        <is>
          <t>Institutional Enrollment</t>
        </is>
      </c>
      <c r="F90" t="inlineStr">
        <is>
          <t>Degree-seeking</t>
        </is>
      </c>
      <c r="G90" t="inlineStr">
        <is>
          <t>Undergraduates</t>
        </is>
      </c>
      <c r="H90" t="inlineStr">
        <is>
          <t>Total</t>
        </is>
      </c>
      <c r="I90" t="inlineStr">
        <is>
          <t>All</t>
        </is>
      </c>
      <c r="J90" t="inlineStr">
        <is>
          <t>PT</t>
        </is>
      </c>
      <c r="K90" t="inlineStr">
        <is>
          <t>Women</t>
        </is>
      </c>
      <c r="L90" t="inlineStr">
        <is>
          <t>Number</t>
        </is>
      </c>
    </row>
    <row r="91">
      <c r="A91" t="inlineStr">
        <is>
          <t>B139</t>
        </is>
      </c>
      <c r="B91" t="inlineStr">
        <is>
          <t>Total degree-seeking: another gender</t>
        </is>
      </c>
      <c r="C91">
        <f>IFERROR(IF(VLOOKUP($A91,'CDS-B'!$A:$L,3,FALSE)="","",(VLOOKUP($A91,'CDS-B'!$A:$L,3,FALSE))),"")</f>
        <v/>
      </c>
      <c r="D91" t="inlineStr">
        <is>
          <t>Enrollment And Persistence</t>
        </is>
      </c>
      <c r="E91" t="inlineStr">
        <is>
          <t>Institutional Enrollment</t>
        </is>
      </c>
      <c r="F91" t="inlineStr">
        <is>
          <t>Degree-seeking</t>
        </is>
      </c>
      <c r="G91" t="inlineStr">
        <is>
          <t>Undergraduates</t>
        </is>
      </c>
      <c r="H91" t="inlineStr">
        <is>
          <t>Total</t>
        </is>
      </c>
      <c r="I91" t="inlineStr">
        <is>
          <t>All</t>
        </is>
      </c>
      <c r="J91" t="inlineStr">
        <is>
          <t>PT</t>
        </is>
      </c>
      <c r="K91" t="inlineStr">
        <is>
          <t>Another Gender</t>
        </is>
      </c>
      <c r="L91" t="inlineStr">
        <is>
          <t>Number</t>
        </is>
      </c>
    </row>
    <row r="92">
      <c r="A92" t="inlineStr">
        <is>
          <t>B140</t>
        </is>
      </c>
      <c r="B92" t="inlineStr">
        <is>
          <t>Total degree-seeking: unknown</t>
        </is>
      </c>
      <c r="C92">
        <f>IFERROR(IF(VLOOKUP($A92,'CDS-B'!$A:$L,3,FALSE)="","",(VLOOKUP($A92,'CDS-B'!$A:$L,3,FALSE))),"")</f>
        <v/>
      </c>
      <c r="D92" t="inlineStr">
        <is>
          <t>Enrollment And Persistence</t>
        </is>
      </c>
      <c r="E92" t="inlineStr">
        <is>
          <t>Institutional Enrollment</t>
        </is>
      </c>
      <c r="F92" t="inlineStr">
        <is>
          <t>Degree-seeking</t>
        </is>
      </c>
      <c r="G92" t="inlineStr">
        <is>
          <t>Undergraduates</t>
        </is>
      </c>
      <c r="H92" t="inlineStr">
        <is>
          <t>Total</t>
        </is>
      </c>
      <c r="I92" t="inlineStr">
        <is>
          <t>All</t>
        </is>
      </c>
      <c r="J92" t="inlineStr">
        <is>
          <t>PT</t>
        </is>
      </c>
      <c r="K92" t="inlineStr">
        <is>
          <t>Unknown</t>
        </is>
      </c>
      <c r="L92" t="inlineStr">
        <is>
          <t>Number</t>
        </is>
      </c>
    </row>
    <row r="93">
      <c r="A93" t="inlineStr">
        <is>
          <t>B141</t>
        </is>
      </c>
      <c r="B93" t="inlineStr">
        <is>
          <t>All other undergraduates enrolled in credit courses: men</t>
        </is>
      </c>
      <c r="C93">
        <f>IFERROR(IF(VLOOKUP($A93,'CDS-B'!$A:$L,3,FALSE)="","",(VLOOKUP($A93,'CDS-B'!$A:$L,3,FALSE))),"")</f>
        <v/>
      </c>
      <c r="D93" t="inlineStr">
        <is>
          <t>Enrollment And Persistence</t>
        </is>
      </c>
      <c r="E93" t="inlineStr">
        <is>
          <t>Institutional Enrollment</t>
        </is>
      </c>
      <c r="F93" t="inlineStr">
        <is>
          <t>Enrolled in Credit Courses</t>
        </is>
      </c>
      <c r="G93" t="inlineStr">
        <is>
          <t>Undergraduates</t>
        </is>
      </c>
      <c r="H93" t="inlineStr">
        <is>
          <t>All other undergraduates</t>
        </is>
      </c>
      <c r="I93" t="inlineStr">
        <is>
          <t>All</t>
        </is>
      </c>
      <c r="J93" t="inlineStr">
        <is>
          <t>PT</t>
        </is>
      </c>
      <c r="K93" t="inlineStr">
        <is>
          <t>Men</t>
        </is>
      </c>
      <c r="L93" t="inlineStr">
        <is>
          <t>Number</t>
        </is>
      </c>
    </row>
    <row r="94">
      <c r="A94" t="inlineStr">
        <is>
          <t>B142</t>
        </is>
      </c>
      <c r="B94" t="inlineStr">
        <is>
          <t>All other undergraduates enrolled in credit courses: women</t>
        </is>
      </c>
      <c r="C94">
        <f>IFERROR(IF(VLOOKUP($A94,'CDS-B'!$A:$L,3,FALSE)="","",(VLOOKUP($A94,'CDS-B'!$A:$L,3,FALSE))),"")</f>
        <v/>
      </c>
      <c r="D94" t="inlineStr">
        <is>
          <t>Enrollment And Persistence</t>
        </is>
      </c>
      <c r="E94" t="inlineStr">
        <is>
          <t>Institutional Enrollment</t>
        </is>
      </c>
      <c r="F94" t="inlineStr">
        <is>
          <t>Enrolled in Credit Courses</t>
        </is>
      </c>
      <c r="G94" t="inlineStr">
        <is>
          <t>Undergraduates</t>
        </is>
      </c>
      <c r="H94" t="inlineStr">
        <is>
          <t>All other undergraduates</t>
        </is>
      </c>
      <c r="I94" t="inlineStr">
        <is>
          <t>All</t>
        </is>
      </c>
      <c r="J94" t="inlineStr">
        <is>
          <t>PT</t>
        </is>
      </c>
      <c r="K94" t="inlineStr">
        <is>
          <t>Women</t>
        </is>
      </c>
      <c r="L94" t="inlineStr">
        <is>
          <t>Number</t>
        </is>
      </c>
    </row>
    <row r="95">
      <c r="A95" t="inlineStr">
        <is>
          <t>B143</t>
        </is>
      </c>
      <c r="B95" t="inlineStr">
        <is>
          <t>All other undergraduates enrolled in credit courses: another gender</t>
        </is>
      </c>
      <c r="C95">
        <f>IFERROR(IF(VLOOKUP($A95,'CDS-B'!$A:$L,3,FALSE)="","",(VLOOKUP($A95,'CDS-B'!$A:$L,3,FALSE))),"")</f>
        <v/>
      </c>
      <c r="D95" t="inlineStr">
        <is>
          <t>Enrollment And Persistence</t>
        </is>
      </c>
      <c r="E95" t="inlineStr">
        <is>
          <t>Institutional Enrollment</t>
        </is>
      </c>
      <c r="F95" t="inlineStr">
        <is>
          <t>Enrolled in Credit Courses</t>
        </is>
      </c>
      <c r="G95" t="inlineStr">
        <is>
          <t>Undergraduates</t>
        </is>
      </c>
      <c r="H95" t="inlineStr">
        <is>
          <t>All other undergraduates</t>
        </is>
      </c>
      <c r="I95" t="inlineStr">
        <is>
          <t>All</t>
        </is>
      </c>
      <c r="J95" t="inlineStr">
        <is>
          <t>PT</t>
        </is>
      </c>
      <c r="K95" t="inlineStr">
        <is>
          <t>Another Gender</t>
        </is>
      </c>
      <c r="L95" t="inlineStr">
        <is>
          <t>Number</t>
        </is>
      </c>
    </row>
    <row r="96">
      <c r="A96" t="inlineStr">
        <is>
          <t>B144</t>
        </is>
      </c>
      <c r="B96" t="inlineStr">
        <is>
          <t>All other undergraduates enrolled in credit courses: unknown</t>
        </is>
      </c>
      <c r="C96">
        <f>IFERROR(IF(VLOOKUP($A96,'CDS-B'!$A:$L,3,FALSE)="","",(VLOOKUP($A96,'CDS-B'!$A:$L,3,FALSE))),"")</f>
        <v/>
      </c>
      <c r="D96" t="inlineStr">
        <is>
          <t>Enrollment And Persistence</t>
        </is>
      </c>
      <c r="E96" t="inlineStr">
        <is>
          <t>Institutional Enrollment</t>
        </is>
      </c>
      <c r="F96" t="inlineStr">
        <is>
          <t>Enrolled in Credit Courses</t>
        </is>
      </c>
      <c r="G96" t="inlineStr">
        <is>
          <t>Undergraduates</t>
        </is>
      </c>
      <c r="H96" t="inlineStr">
        <is>
          <t>All other undergraduates</t>
        </is>
      </c>
      <c r="I96" t="inlineStr">
        <is>
          <t>All</t>
        </is>
      </c>
      <c r="J96" t="inlineStr">
        <is>
          <t>PT</t>
        </is>
      </c>
      <c r="K96" t="inlineStr">
        <is>
          <t>Unknown</t>
        </is>
      </c>
      <c r="L96" t="inlineStr">
        <is>
          <t>Number</t>
        </is>
      </c>
    </row>
    <row r="97">
      <c r="A97" t="inlineStr">
        <is>
          <t>B145</t>
        </is>
      </c>
      <c r="B97" t="inlineStr">
        <is>
          <t>Total undergraduate Part-Time Students: men</t>
        </is>
      </c>
      <c r="C97">
        <f>IFERROR(IF(VLOOKUP($A97,'CDS-B'!$A:$L,3,FALSE)="","",(VLOOKUP($A97,'CDS-B'!$A:$L,3,FALSE))),"")</f>
        <v/>
      </c>
      <c r="D97" t="inlineStr">
        <is>
          <t>Enrollment And Persistence</t>
        </is>
      </c>
      <c r="E97" t="inlineStr">
        <is>
          <t>Institutional Enrollment</t>
        </is>
      </c>
      <c r="F97" t="inlineStr">
        <is>
          <t>All</t>
        </is>
      </c>
      <c r="G97" t="inlineStr">
        <is>
          <t>Undergraduates</t>
        </is>
      </c>
      <c r="H97" t="inlineStr">
        <is>
          <t>Total</t>
        </is>
      </c>
      <c r="I97" t="inlineStr">
        <is>
          <t>All</t>
        </is>
      </c>
      <c r="J97" t="inlineStr">
        <is>
          <t>PT</t>
        </is>
      </c>
      <c r="K97" t="inlineStr">
        <is>
          <t>Men</t>
        </is>
      </c>
      <c r="L97" t="inlineStr">
        <is>
          <t>Number</t>
        </is>
      </c>
    </row>
    <row r="98">
      <c r="A98" t="inlineStr">
        <is>
          <t>B146</t>
        </is>
      </c>
      <c r="B98" t="inlineStr">
        <is>
          <t>Total undergraduate Part-Time Students: women</t>
        </is>
      </c>
      <c r="C98">
        <f>IFERROR(IF(VLOOKUP($A98,'CDS-B'!$A:$L,3,FALSE)="","",(VLOOKUP($A98,'CDS-B'!$A:$L,3,FALSE))),"")</f>
        <v/>
      </c>
      <c r="D98" t="inlineStr">
        <is>
          <t>Enrollment And Persistence</t>
        </is>
      </c>
      <c r="E98" t="inlineStr">
        <is>
          <t>Institutional Enrollment</t>
        </is>
      </c>
      <c r="F98" t="inlineStr">
        <is>
          <t>All</t>
        </is>
      </c>
      <c r="G98" t="inlineStr">
        <is>
          <t>Undergraduates</t>
        </is>
      </c>
      <c r="H98" t="inlineStr">
        <is>
          <t>Total</t>
        </is>
      </c>
      <c r="I98" t="inlineStr">
        <is>
          <t>All</t>
        </is>
      </c>
      <c r="J98" t="inlineStr">
        <is>
          <t>PT</t>
        </is>
      </c>
      <c r="K98" t="inlineStr">
        <is>
          <t>Women</t>
        </is>
      </c>
      <c r="L98" t="inlineStr">
        <is>
          <t>Number</t>
        </is>
      </c>
    </row>
    <row r="99">
      <c r="A99" t="inlineStr">
        <is>
          <t>B147</t>
        </is>
      </c>
      <c r="B99" t="inlineStr">
        <is>
          <t>Total undergraduate Part-Time Students: another gender</t>
        </is>
      </c>
      <c r="C99">
        <f>IFERROR(IF(VLOOKUP($A99,'CDS-B'!$A:$L,3,FALSE)="","",(VLOOKUP($A99,'CDS-B'!$A:$L,3,FALSE))),"")</f>
        <v/>
      </c>
      <c r="D99" t="inlineStr">
        <is>
          <t>Enrollment And Persistence</t>
        </is>
      </c>
      <c r="E99" t="inlineStr">
        <is>
          <t>Institutional Enrollment</t>
        </is>
      </c>
      <c r="F99" t="inlineStr">
        <is>
          <t>All</t>
        </is>
      </c>
      <c r="G99" t="inlineStr">
        <is>
          <t>Undergraduates</t>
        </is>
      </c>
      <c r="H99" t="inlineStr">
        <is>
          <t>Total</t>
        </is>
      </c>
      <c r="I99" t="inlineStr">
        <is>
          <t>All</t>
        </is>
      </c>
      <c r="J99" t="inlineStr">
        <is>
          <t>PT</t>
        </is>
      </c>
      <c r="K99" t="inlineStr">
        <is>
          <t>Another Gender</t>
        </is>
      </c>
      <c r="L99" t="inlineStr">
        <is>
          <t>Number</t>
        </is>
      </c>
    </row>
    <row r="100">
      <c r="A100" t="inlineStr">
        <is>
          <t>B148</t>
        </is>
      </c>
      <c r="B100" t="inlineStr">
        <is>
          <t>Total undergraduate Part-Time Students: unknown</t>
        </is>
      </c>
      <c r="C100">
        <f>IFERROR(IF(VLOOKUP($A100,'CDS-B'!$A:$L,3,FALSE)="","",(VLOOKUP($A100,'CDS-B'!$A:$L,3,FALSE))),"")</f>
        <v/>
      </c>
      <c r="D100" t="inlineStr">
        <is>
          <t>Enrollment And Persistence</t>
        </is>
      </c>
      <c r="E100" t="inlineStr">
        <is>
          <t>Institutional Enrollment</t>
        </is>
      </c>
      <c r="F100" t="inlineStr">
        <is>
          <t>All</t>
        </is>
      </c>
      <c r="G100" t="inlineStr">
        <is>
          <t>Undergraduates</t>
        </is>
      </c>
      <c r="H100" t="inlineStr">
        <is>
          <t>Total</t>
        </is>
      </c>
      <c r="I100" t="inlineStr">
        <is>
          <t>All</t>
        </is>
      </c>
      <c r="J100" t="inlineStr">
        <is>
          <t>PT</t>
        </is>
      </c>
      <c r="K100" t="inlineStr">
        <is>
          <t>Unknown</t>
        </is>
      </c>
      <c r="L100" t="inlineStr">
        <is>
          <t>Number</t>
        </is>
      </c>
    </row>
    <row r="101">
      <c r="A101" t="inlineStr">
        <is>
          <t>B149</t>
        </is>
      </c>
      <c r="B101" t="inlineStr">
        <is>
          <t>Total undergraduate students: men</t>
        </is>
      </c>
      <c r="C101">
        <f>IFERROR(IF(VLOOKUP($A101,'CDS-B'!$A:$L,3,FALSE)="","",(VLOOKUP($A101,'CDS-B'!$A:$L,3,FALSE))),"")</f>
        <v/>
      </c>
      <c r="D101" t="inlineStr">
        <is>
          <t>Enrollment And Persistence</t>
        </is>
      </c>
      <c r="E101" t="inlineStr">
        <is>
          <t>Institutional Enrollment</t>
        </is>
      </c>
      <c r="F101" t="inlineStr">
        <is>
          <t>All</t>
        </is>
      </c>
      <c r="G101" t="inlineStr">
        <is>
          <t>Undergraduates</t>
        </is>
      </c>
      <c r="H101" t="inlineStr">
        <is>
          <t>Total understand</t>
        </is>
      </c>
      <c r="I101" t="inlineStr">
        <is>
          <t>All</t>
        </is>
      </c>
      <c r="J101" t="inlineStr">
        <is>
          <t>All</t>
        </is>
      </c>
      <c r="K101" t="inlineStr">
        <is>
          <t>Men</t>
        </is>
      </c>
      <c r="L101" t="inlineStr">
        <is>
          <t>Number</t>
        </is>
      </c>
    </row>
    <row r="102">
      <c r="A102" t="inlineStr">
        <is>
          <t>B150</t>
        </is>
      </c>
      <c r="B102" t="inlineStr">
        <is>
          <t>Total undergraduate students: women</t>
        </is>
      </c>
      <c r="C102">
        <f>IFERROR(IF(VLOOKUP($A102,'CDS-B'!$A:$L,3,FALSE)="","",(VLOOKUP($A102,'CDS-B'!$A:$L,3,FALSE))),"")</f>
        <v/>
      </c>
      <c r="D102" t="inlineStr">
        <is>
          <t>Enrollment And Persistence</t>
        </is>
      </c>
      <c r="E102" t="inlineStr">
        <is>
          <t>Institutional Enrollment</t>
        </is>
      </c>
      <c r="F102" t="inlineStr">
        <is>
          <t>All</t>
        </is>
      </c>
      <c r="G102" t="inlineStr">
        <is>
          <t>Undergraduates</t>
        </is>
      </c>
      <c r="H102" t="inlineStr">
        <is>
          <t>Total understand</t>
        </is>
      </c>
      <c r="I102" t="inlineStr">
        <is>
          <t>All</t>
        </is>
      </c>
      <c r="J102" t="inlineStr">
        <is>
          <t>All</t>
        </is>
      </c>
      <c r="K102" t="inlineStr">
        <is>
          <t>Women</t>
        </is>
      </c>
      <c r="L102" t="inlineStr">
        <is>
          <t>Number</t>
        </is>
      </c>
    </row>
    <row r="103">
      <c r="A103" t="inlineStr">
        <is>
          <t>B151</t>
        </is>
      </c>
      <c r="B103" t="inlineStr">
        <is>
          <t>Total undergraduate students: another gender</t>
        </is>
      </c>
      <c r="C103">
        <f>IFERROR(IF(VLOOKUP($A103,'CDS-B'!$A:$L,3,FALSE)="","",(VLOOKUP($A103,'CDS-B'!$A:$L,3,FALSE))),"")</f>
        <v/>
      </c>
      <c r="D103" t="inlineStr">
        <is>
          <t>Enrollment And Persistence</t>
        </is>
      </c>
      <c r="E103" t="inlineStr">
        <is>
          <t>Institutional Enrollment</t>
        </is>
      </c>
      <c r="F103" t="inlineStr">
        <is>
          <t>All</t>
        </is>
      </c>
      <c r="G103" t="inlineStr">
        <is>
          <t>Undergraduates</t>
        </is>
      </c>
      <c r="H103" t="inlineStr">
        <is>
          <t>Total understand</t>
        </is>
      </c>
      <c r="I103" t="inlineStr">
        <is>
          <t>All</t>
        </is>
      </c>
      <c r="J103" t="inlineStr">
        <is>
          <t>All</t>
        </is>
      </c>
      <c r="K103" t="inlineStr">
        <is>
          <t>Another Gender</t>
        </is>
      </c>
      <c r="L103" t="inlineStr">
        <is>
          <t>Number</t>
        </is>
      </c>
    </row>
    <row r="104">
      <c r="A104" t="inlineStr">
        <is>
          <t>B152</t>
        </is>
      </c>
      <c r="B104" t="inlineStr">
        <is>
          <t>Total undergraduate students: unknown</t>
        </is>
      </c>
      <c r="C104">
        <f>IFERROR(IF(VLOOKUP($A104,'CDS-B'!$A:$L,3,FALSE)="","",(VLOOKUP($A104,'CDS-B'!$A:$L,3,FALSE))),"")</f>
        <v/>
      </c>
      <c r="D104" t="inlineStr">
        <is>
          <t>Enrollment And Persistence</t>
        </is>
      </c>
      <c r="E104" t="inlineStr">
        <is>
          <t>Institutional Enrollment</t>
        </is>
      </c>
      <c r="F104" t="inlineStr">
        <is>
          <t>All</t>
        </is>
      </c>
      <c r="G104" t="inlineStr">
        <is>
          <t>Undergraduates</t>
        </is>
      </c>
      <c r="H104" t="inlineStr">
        <is>
          <t>Total understand</t>
        </is>
      </c>
      <c r="I104" t="inlineStr">
        <is>
          <t>All</t>
        </is>
      </c>
      <c r="J104" t="inlineStr">
        <is>
          <t>All</t>
        </is>
      </c>
      <c r="K104" t="inlineStr">
        <is>
          <t>Unknown</t>
        </is>
      </c>
      <c r="L104" t="inlineStr">
        <is>
          <t>Number</t>
        </is>
      </c>
    </row>
    <row r="105">
      <c r="A105" t="inlineStr">
        <is>
          <t>B153</t>
        </is>
      </c>
      <c r="B105" t="inlineStr">
        <is>
          <t>Degree-seeking, first-time: men</t>
        </is>
      </c>
      <c r="C105">
        <f>IFERROR(IF(VLOOKUP($A105,'CDS-B'!$A:$L,3,FALSE)="","",(VLOOKUP($A105,'CDS-B'!$A:$L,3,FALSE))),"")</f>
        <v/>
      </c>
      <c r="D105" t="inlineStr">
        <is>
          <t>Enrollment And Persistence</t>
        </is>
      </c>
      <c r="E105" t="inlineStr">
        <is>
          <t>Institutional Enrollment</t>
        </is>
      </c>
      <c r="F105" t="inlineStr">
        <is>
          <t>Degree-seeking</t>
        </is>
      </c>
      <c r="G105" t="inlineStr">
        <is>
          <t>Graduates</t>
        </is>
      </c>
      <c r="H105" t="inlineStr">
        <is>
          <t>First-time</t>
        </is>
      </c>
      <c r="I105" t="inlineStr">
        <is>
          <t>All</t>
        </is>
      </c>
      <c r="J105" t="inlineStr">
        <is>
          <t>FT</t>
        </is>
      </c>
      <c r="K105" t="inlineStr">
        <is>
          <t>Men</t>
        </is>
      </c>
      <c r="L105" t="inlineStr">
        <is>
          <t>Number</t>
        </is>
      </c>
    </row>
    <row r="106">
      <c r="A106" t="inlineStr">
        <is>
          <t>B154</t>
        </is>
      </c>
      <c r="B106" t="inlineStr">
        <is>
          <t>Degree-seeking, first-time: women</t>
        </is>
      </c>
      <c r="C106">
        <f>IFERROR(IF(VLOOKUP($A106,'CDS-B'!$A:$L,3,FALSE)="","",(VLOOKUP($A106,'CDS-B'!$A:$L,3,FALSE))),"")</f>
        <v/>
      </c>
      <c r="D106" t="inlineStr">
        <is>
          <t>Enrollment And Persistence</t>
        </is>
      </c>
      <c r="E106" t="inlineStr">
        <is>
          <t>Institutional Enrollment</t>
        </is>
      </c>
      <c r="F106" t="inlineStr">
        <is>
          <t>Degree-seeking</t>
        </is>
      </c>
      <c r="G106" t="inlineStr">
        <is>
          <t>Graduates</t>
        </is>
      </c>
      <c r="H106" t="inlineStr">
        <is>
          <t>First-time</t>
        </is>
      </c>
      <c r="I106" t="inlineStr">
        <is>
          <t>All</t>
        </is>
      </c>
      <c r="J106" t="inlineStr">
        <is>
          <t>FT</t>
        </is>
      </c>
      <c r="K106" t="inlineStr">
        <is>
          <t>Women</t>
        </is>
      </c>
      <c r="L106" t="inlineStr">
        <is>
          <t>Number</t>
        </is>
      </c>
    </row>
    <row r="107">
      <c r="A107" t="inlineStr">
        <is>
          <t>B155</t>
        </is>
      </c>
      <c r="B107" t="inlineStr">
        <is>
          <t>Degree-seeking, first-time: another gender</t>
        </is>
      </c>
      <c r="C107">
        <f>IFERROR(IF(VLOOKUP($A107,'CDS-B'!$A:$L,3,FALSE)="","",(VLOOKUP($A107,'CDS-B'!$A:$L,3,FALSE))),"")</f>
        <v/>
      </c>
      <c r="D107" t="inlineStr">
        <is>
          <t>Enrollment And Persistence</t>
        </is>
      </c>
      <c r="E107" t="inlineStr">
        <is>
          <t>Institutional Enrollment</t>
        </is>
      </c>
      <c r="F107" t="inlineStr">
        <is>
          <t>Degree-seeking</t>
        </is>
      </c>
      <c r="G107" t="inlineStr">
        <is>
          <t>Graduates</t>
        </is>
      </c>
      <c r="H107" t="inlineStr">
        <is>
          <t>First-time</t>
        </is>
      </c>
      <c r="I107" t="inlineStr">
        <is>
          <t>All</t>
        </is>
      </c>
      <c r="J107" t="inlineStr">
        <is>
          <t>FT</t>
        </is>
      </c>
      <c r="K107" t="inlineStr">
        <is>
          <t>Another Gender</t>
        </is>
      </c>
      <c r="L107" t="inlineStr">
        <is>
          <t>Number</t>
        </is>
      </c>
    </row>
    <row r="108">
      <c r="A108" t="inlineStr">
        <is>
          <t>B156</t>
        </is>
      </c>
      <c r="B108" t="inlineStr">
        <is>
          <t>Degree-seeking, first-time: unknown</t>
        </is>
      </c>
      <c r="C108">
        <f>IFERROR(IF(VLOOKUP($A108,'CDS-B'!$A:$L,3,FALSE)="","",(VLOOKUP($A108,'CDS-B'!$A:$L,3,FALSE))),"")</f>
        <v/>
      </c>
      <c r="D108" t="inlineStr">
        <is>
          <t>Enrollment And Persistence</t>
        </is>
      </c>
      <c r="E108" t="inlineStr">
        <is>
          <t>Institutional Enrollment</t>
        </is>
      </c>
      <c r="F108" t="inlineStr">
        <is>
          <t>Degree-seeking</t>
        </is>
      </c>
      <c r="G108" t="inlineStr">
        <is>
          <t>Graduates</t>
        </is>
      </c>
      <c r="H108" t="inlineStr">
        <is>
          <t>First-time</t>
        </is>
      </c>
      <c r="I108" t="inlineStr">
        <is>
          <t>All</t>
        </is>
      </c>
      <c r="J108" t="inlineStr">
        <is>
          <t>FT</t>
        </is>
      </c>
      <c r="K108" t="inlineStr">
        <is>
          <t>Unknown</t>
        </is>
      </c>
      <c r="L108" t="inlineStr">
        <is>
          <t>Number</t>
        </is>
      </c>
    </row>
    <row r="109">
      <c r="A109" t="inlineStr">
        <is>
          <t>B157</t>
        </is>
      </c>
      <c r="B109" t="inlineStr">
        <is>
          <t>All other degree-seeking: men</t>
        </is>
      </c>
      <c r="C109">
        <f>IFERROR(IF(VLOOKUP($A109,'CDS-B'!$A:$L,3,FALSE)="","",(VLOOKUP($A109,'CDS-B'!$A:$L,3,FALSE))),"")</f>
        <v/>
      </c>
      <c r="D109" t="inlineStr">
        <is>
          <t>Enrollment And Persistence</t>
        </is>
      </c>
      <c r="E109" t="inlineStr">
        <is>
          <t>Institutional Enrollment</t>
        </is>
      </c>
      <c r="F109" t="inlineStr">
        <is>
          <t>Degree-seeking</t>
        </is>
      </c>
      <c r="G109" t="inlineStr">
        <is>
          <t>Graduates</t>
        </is>
      </c>
      <c r="H109" t="inlineStr">
        <is>
          <t>All other</t>
        </is>
      </c>
      <c r="I109" t="inlineStr">
        <is>
          <t>All</t>
        </is>
      </c>
      <c r="J109" t="inlineStr">
        <is>
          <t>FT</t>
        </is>
      </c>
      <c r="K109" t="inlineStr">
        <is>
          <t>Men</t>
        </is>
      </c>
      <c r="L109" t="inlineStr">
        <is>
          <t>Number</t>
        </is>
      </c>
    </row>
    <row r="110">
      <c r="A110" t="inlineStr">
        <is>
          <t>B158</t>
        </is>
      </c>
      <c r="B110" t="inlineStr">
        <is>
          <t>All other degree-seeking: women</t>
        </is>
      </c>
      <c r="C110">
        <f>IFERROR(IF(VLOOKUP($A110,'CDS-B'!$A:$L,3,FALSE)="","",(VLOOKUP($A110,'CDS-B'!$A:$L,3,FALSE))),"")</f>
        <v/>
      </c>
      <c r="D110" t="inlineStr">
        <is>
          <t>Enrollment And Persistence</t>
        </is>
      </c>
      <c r="E110" t="inlineStr">
        <is>
          <t>Institutional Enrollment</t>
        </is>
      </c>
      <c r="F110" t="inlineStr">
        <is>
          <t>Degree-seeking</t>
        </is>
      </c>
      <c r="G110" t="inlineStr">
        <is>
          <t>Graduates</t>
        </is>
      </c>
      <c r="H110" t="inlineStr">
        <is>
          <t>All other</t>
        </is>
      </c>
      <c r="I110" t="inlineStr">
        <is>
          <t>All</t>
        </is>
      </c>
      <c r="J110" t="inlineStr">
        <is>
          <t>FT</t>
        </is>
      </c>
      <c r="K110" t="inlineStr">
        <is>
          <t>Women</t>
        </is>
      </c>
      <c r="L110" t="inlineStr">
        <is>
          <t>Number</t>
        </is>
      </c>
    </row>
    <row r="111">
      <c r="A111" t="inlineStr">
        <is>
          <t>B159</t>
        </is>
      </c>
      <c r="B111" t="inlineStr">
        <is>
          <t>All other degree-seeking: another gender</t>
        </is>
      </c>
      <c r="C111">
        <f>IFERROR(IF(VLOOKUP($A111,'CDS-B'!$A:$L,3,FALSE)="","",(VLOOKUP($A111,'CDS-B'!$A:$L,3,FALSE))),"")</f>
        <v/>
      </c>
      <c r="D111" t="inlineStr">
        <is>
          <t>Enrollment And Persistence</t>
        </is>
      </c>
      <c r="E111" t="inlineStr">
        <is>
          <t>Institutional Enrollment</t>
        </is>
      </c>
      <c r="F111" t="inlineStr">
        <is>
          <t>Degree-seeking</t>
        </is>
      </c>
      <c r="G111" t="inlineStr">
        <is>
          <t>Graduates</t>
        </is>
      </c>
      <c r="H111" t="inlineStr">
        <is>
          <t>All other</t>
        </is>
      </c>
      <c r="I111" t="inlineStr">
        <is>
          <t>All</t>
        </is>
      </c>
      <c r="J111" t="inlineStr">
        <is>
          <t>FT</t>
        </is>
      </c>
      <c r="K111" t="inlineStr">
        <is>
          <t>Another Gender</t>
        </is>
      </c>
      <c r="L111" t="inlineStr">
        <is>
          <t>Number</t>
        </is>
      </c>
    </row>
    <row r="112">
      <c r="A112" t="inlineStr">
        <is>
          <t>B160</t>
        </is>
      </c>
      <c r="B112" t="inlineStr">
        <is>
          <t>All other degree-seeking: unknown</t>
        </is>
      </c>
      <c r="C112">
        <f>IFERROR(IF(VLOOKUP($A112,'CDS-B'!$A:$L,3,FALSE)="","",(VLOOKUP($A112,'CDS-B'!$A:$L,3,FALSE))),"")</f>
        <v/>
      </c>
      <c r="D112" t="inlineStr">
        <is>
          <t>Enrollment And Persistence</t>
        </is>
      </c>
      <c r="E112" t="inlineStr">
        <is>
          <t>Institutional Enrollment</t>
        </is>
      </c>
      <c r="F112" t="inlineStr">
        <is>
          <t>Degree-seeking</t>
        </is>
      </c>
      <c r="G112" t="inlineStr">
        <is>
          <t>Graduates</t>
        </is>
      </c>
      <c r="H112" t="inlineStr">
        <is>
          <t>All other</t>
        </is>
      </c>
      <c r="I112" t="inlineStr">
        <is>
          <t>All</t>
        </is>
      </c>
      <c r="J112" t="inlineStr">
        <is>
          <t>FT</t>
        </is>
      </c>
      <c r="K112" t="inlineStr">
        <is>
          <t>Unknown</t>
        </is>
      </c>
      <c r="L112" t="inlineStr">
        <is>
          <t>Number</t>
        </is>
      </c>
    </row>
    <row r="113">
      <c r="A113" t="inlineStr">
        <is>
          <t>B161</t>
        </is>
      </c>
      <c r="B113" t="inlineStr">
        <is>
          <t>All other graduates enrolled in credit courses: men</t>
        </is>
      </c>
      <c r="C113">
        <f>IFERROR(IF(VLOOKUP($A113,'CDS-B'!$A:$L,3,FALSE)="","",(VLOOKUP($A113,'CDS-B'!$A:$L,3,FALSE))),"")</f>
        <v/>
      </c>
      <c r="D113" t="inlineStr">
        <is>
          <t>Enrollment And Persistence</t>
        </is>
      </c>
      <c r="E113" t="inlineStr">
        <is>
          <t>Institutional Enrollment</t>
        </is>
      </c>
      <c r="F113" t="inlineStr">
        <is>
          <t>Enrolled in Credit Courses</t>
        </is>
      </c>
      <c r="G113" t="inlineStr">
        <is>
          <t>Graduates</t>
        </is>
      </c>
      <c r="H113" t="inlineStr">
        <is>
          <t>All other</t>
        </is>
      </c>
      <c r="I113" t="inlineStr">
        <is>
          <t>All</t>
        </is>
      </c>
      <c r="J113" t="inlineStr">
        <is>
          <t>FT</t>
        </is>
      </c>
      <c r="K113" t="inlineStr">
        <is>
          <t>Men</t>
        </is>
      </c>
      <c r="L113" t="inlineStr">
        <is>
          <t>Number</t>
        </is>
      </c>
    </row>
    <row r="114">
      <c r="A114" t="inlineStr">
        <is>
          <t>B162</t>
        </is>
      </c>
      <c r="B114" t="inlineStr">
        <is>
          <t>All other graduates enrolled in credit courses: women</t>
        </is>
      </c>
      <c r="C114">
        <f>IFERROR(IF(VLOOKUP($A114,'CDS-B'!$A:$L,3,FALSE)="","",(VLOOKUP($A114,'CDS-B'!$A:$L,3,FALSE))),"")</f>
        <v/>
      </c>
      <c r="D114" t="inlineStr">
        <is>
          <t>Enrollment And Persistence</t>
        </is>
      </c>
      <c r="E114" t="inlineStr">
        <is>
          <t>Institutional Enrollment</t>
        </is>
      </c>
      <c r="F114" t="inlineStr">
        <is>
          <t>Enrolled in Credit Courses</t>
        </is>
      </c>
      <c r="G114" t="inlineStr">
        <is>
          <t>Graduates</t>
        </is>
      </c>
      <c r="H114" t="inlineStr">
        <is>
          <t>All other</t>
        </is>
      </c>
      <c r="I114" t="inlineStr">
        <is>
          <t>All</t>
        </is>
      </c>
      <c r="J114" t="inlineStr">
        <is>
          <t>FT</t>
        </is>
      </c>
      <c r="K114" t="inlineStr">
        <is>
          <t>Women</t>
        </is>
      </c>
      <c r="L114" t="inlineStr">
        <is>
          <t>Number</t>
        </is>
      </c>
    </row>
    <row r="115">
      <c r="A115" t="inlineStr">
        <is>
          <t>B163</t>
        </is>
      </c>
      <c r="B115" t="inlineStr">
        <is>
          <t>All other graduates enrolled in credit courses: another gender</t>
        </is>
      </c>
      <c r="C115">
        <f>IFERROR(IF(VLOOKUP($A115,'CDS-B'!$A:$L,3,FALSE)="","",(VLOOKUP($A115,'CDS-B'!$A:$L,3,FALSE))),"")</f>
        <v/>
      </c>
      <c r="D115" t="inlineStr">
        <is>
          <t>Enrollment And Persistence</t>
        </is>
      </c>
      <c r="E115" t="inlineStr">
        <is>
          <t>Institutional Enrollment</t>
        </is>
      </c>
      <c r="F115" t="inlineStr">
        <is>
          <t>Enrolled in Credit Courses</t>
        </is>
      </c>
      <c r="G115" t="inlineStr">
        <is>
          <t>Graduates</t>
        </is>
      </c>
      <c r="H115" t="inlineStr">
        <is>
          <t>All other</t>
        </is>
      </c>
      <c r="I115" t="inlineStr">
        <is>
          <t>All</t>
        </is>
      </c>
      <c r="J115" t="inlineStr">
        <is>
          <t>FT</t>
        </is>
      </c>
      <c r="K115" t="inlineStr">
        <is>
          <t>Another Gender</t>
        </is>
      </c>
      <c r="L115" t="inlineStr">
        <is>
          <t>Number</t>
        </is>
      </c>
    </row>
    <row r="116">
      <c r="A116" t="inlineStr">
        <is>
          <t>B164</t>
        </is>
      </c>
      <c r="B116" t="inlineStr">
        <is>
          <t>All other graduates enrolled in credit courses: unknown</t>
        </is>
      </c>
      <c r="C116">
        <f>IFERROR(IF(VLOOKUP($A116,'CDS-B'!$A:$L,3,FALSE)="","",(VLOOKUP($A116,'CDS-B'!$A:$L,3,FALSE))),"")</f>
        <v/>
      </c>
      <c r="D116" t="inlineStr">
        <is>
          <t>Enrollment And Persistence</t>
        </is>
      </c>
      <c r="E116" t="inlineStr">
        <is>
          <t>Institutional Enrollment</t>
        </is>
      </c>
      <c r="F116" t="inlineStr">
        <is>
          <t>Enrolled in Credit Courses</t>
        </is>
      </c>
      <c r="G116" t="inlineStr">
        <is>
          <t>Graduates</t>
        </is>
      </c>
      <c r="H116" t="inlineStr">
        <is>
          <t>All other</t>
        </is>
      </c>
      <c r="I116" t="inlineStr">
        <is>
          <t>All</t>
        </is>
      </c>
      <c r="J116" t="inlineStr">
        <is>
          <t>FT</t>
        </is>
      </c>
      <c r="K116" t="inlineStr">
        <is>
          <t>Unknown</t>
        </is>
      </c>
      <c r="L116" t="inlineStr">
        <is>
          <t>Number</t>
        </is>
      </c>
    </row>
    <row r="117">
      <c r="A117" t="inlineStr">
        <is>
          <t>B165</t>
        </is>
      </c>
      <c r="B117" t="inlineStr">
        <is>
          <t>Total graduate Full-Time Students: men</t>
        </is>
      </c>
      <c r="C117">
        <f>IFERROR(IF(VLOOKUP($A117,'CDS-B'!$A:$L,3,FALSE)="","",(VLOOKUP($A117,'CDS-B'!$A:$L,3,FALSE))),"")</f>
        <v/>
      </c>
      <c r="D117" t="inlineStr">
        <is>
          <t>Enrollment And Persistence</t>
        </is>
      </c>
      <c r="E117" t="inlineStr">
        <is>
          <t>All</t>
        </is>
      </c>
      <c r="F117" t="inlineStr">
        <is>
          <t>Full-Time</t>
        </is>
      </c>
      <c r="G117" t="inlineStr">
        <is>
          <t>Graduates</t>
        </is>
      </c>
      <c r="H117" t="inlineStr">
        <is>
          <t>Total</t>
        </is>
      </c>
      <c r="I117" t="inlineStr">
        <is>
          <t>All</t>
        </is>
      </c>
      <c r="J117" t="inlineStr">
        <is>
          <t>FT</t>
        </is>
      </c>
      <c r="K117" t="inlineStr">
        <is>
          <t>Men</t>
        </is>
      </c>
      <c r="L117" t="inlineStr">
        <is>
          <t>Number</t>
        </is>
      </c>
    </row>
    <row r="118">
      <c r="A118" t="inlineStr">
        <is>
          <t>B166</t>
        </is>
      </c>
      <c r="B118" t="inlineStr">
        <is>
          <t>Total graduate Full-Time Students: women</t>
        </is>
      </c>
      <c r="C118">
        <f>IFERROR(IF(VLOOKUP($A118,'CDS-B'!$A:$L,3,FALSE)="","",(VLOOKUP($A118,'CDS-B'!$A:$L,3,FALSE))),"")</f>
        <v/>
      </c>
      <c r="D118" t="inlineStr">
        <is>
          <t>Enrollment And Persistence</t>
        </is>
      </c>
      <c r="E118" t="inlineStr">
        <is>
          <t>All</t>
        </is>
      </c>
      <c r="F118" t="inlineStr">
        <is>
          <t>Full-Time</t>
        </is>
      </c>
      <c r="G118" t="inlineStr">
        <is>
          <t>Graduates</t>
        </is>
      </c>
      <c r="H118" t="inlineStr">
        <is>
          <t>Total</t>
        </is>
      </c>
      <c r="I118" t="inlineStr">
        <is>
          <t>All</t>
        </is>
      </c>
      <c r="J118" t="inlineStr">
        <is>
          <t>FT</t>
        </is>
      </c>
      <c r="K118" t="inlineStr">
        <is>
          <t>Women</t>
        </is>
      </c>
      <c r="L118" t="inlineStr">
        <is>
          <t>Number</t>
        </is>
      </c>
    </row>
    <row r="119">
      <c r="A119" t="inlineStr">
        <is>
          <t>B167</t>
        </is>
      </c>
      <c r="B119" t="inlineStr">
        <is>
          <t>Total graduate Full-Time Students: another gender</t>
        </is>
      </c>
      <c r="C119">
        <f>IFERROR(IF(VLOOKUP($A119,'CDS-B'!$A:$L,3,FALSE)="","",(VLOOKUP($A119,'CDS-B'!$A:$L,3,FALSE))),"")</f>
        <v/>
      </c>
      <c r="D119" t="inlineStr">
        <is>
          <t>Enrollment And Persistence</t>
        </is>
      </c>
      <c r="E119" t="inlineStr">
        <is>
          <t>All</t>
        </is>
      </c>
      <c r="F119" t="inlineStr">
        <is>
          <t>Full-Time</t>
        </is>
      </c>
      <c r="G119" t="inlineStr">
        <is>
          <t>Graduates</t>
        </is>
      </c>
      <c r="H119" t="inlineStr">
        <is>
          <t>Total</t>
        </is>
      </c>
      <c r="I119" t="inlineStr">
        <is>
          <t>All</t>
        </is>
      </c>
      <c r="J119" t="inlineStr">
        <is>
          <t>FT</t>
        </is>
      </c>
      <c r="K119" t="inlineStr">
        <is>
          <t>Another Gender</t>
        </is>
      </c>
      <c r="L119" t="inlineStr">
        <is>
          <t>Number</t>
        </is>
      </c>
    </row>
    <row r="120">
      <c r="A120" t="inlineStr">
        <is>
          <t>B168</t>
        </is>
      </c>
      <c r="B120" t="inlineStr">
        <is>
          <t>Total graduate Full-Time Students: unknown</t>
        </is>
      </c>
      <c r="C120">
        <f>IFERROR(IF(VLOOKUP($A120,'CDS-B'!$A:$L,3,FALSE)="","",(VLOOKUP($A120,'CDS-B'!$A:$L,3,FALSE))),"")</f>
        <v/>
      </c>
      <c r="D120" t="inlineStr">
        <is>
          <t>Enrollment And Persistence</t>
        </is>
      </c>
      <c r="E120" t="inlineStr">
        <is>
          <t>All</t>
        </is>
      </c>
      <c r="F120" t="inlineStr">
        <is>
          <t>Full-Time</t>
        </is>
      </c>
      <c r="G120" t="inlineStr">
        <is>
          <t>Graduates</t>
        </is>
      </c>
      <c r="H120" t="inlineStr">
        <is>
          <t>Total</t>
        </is>
      </c>
      <c r="I120" t="inlineStr">
        <is>
          <t>All</t>
        </is>
      </c>
      <c r="J120" t="inlineStr">
        <is>
          <t>FT</t>
        </is>
      </c>
      <c r="K120" t="inlineStr">
        <is>
          <t>Unknown</t>
        </is>
      </c>
      <c r="L120" t="inlineStr">
        <is>
          <t>Number</t>
        </is>
      </c>
    </row>
    <row r="121">
      <c r="A121" t="inlineStr">
        <is>
          <t>B169</t>
        </is>
      </c>
      <c r="B121" t="inlineStr">
        <is>
          <t>Degree-seeking, first-time: men</t>
        </is>
      </c>
      <c r="C121">
        <f>IFERROR(IF(VLOOKUP($A121,'CDS-B'!$A:$L,3,FALSE)="","",(VLOOKUP($A121,'CDS-B'!$A:$L,3,FALSE))),"")</f>
        <v/>
      </c>
      <c r="D121" t="inlineStr">
        <is>
          <t>Enrollment And Persistence</t>
        </is>
      </c>
      <c r="E121" t="inlineStr">
        <is>
          <t>Institutional Enrollment</t>
        </is>
      </c>
      <c r="F121" t="inlineStr">
        <is>
          <t>Degree-seeking</t>
        </is>
      </c>
      <c r="G121" t="inlineStr">
        <is>
          <t>Graduates</t>
        </is>
      </c>
      <c r="H121" t="inlineStr">
        <is>
          <t>First-time</t>
        </is>
      </c>
      <c r="I121" t="inlineStr">
        <is>
          <t>All</t>
        </is>
      </c>
      <c r="J121" t="inlineStr">
        <is>
          <t>PT</t>
        </is>
      </c>
      <c r="K121" t="inlineStr">
        <is>
          <t>Men</t>
        </is>
      </c>
      <c r="L121" t="inlineStr">
        <is>
          <t>Number</t>
        </is>
      </c>
    </row>
    <row r="122">
      <c r="A122" t="inlineStr">
        <is>
          <t>B170</t>
        </is>
      </c>
      <c r="B122" t="inlineStr">
        <is>
          <t>Degree-seeking, first-time: women</t>
        </is>
      </c>
      <c r="C122">
        <f>IFERROR(IF(VLOOKUP($A122,'CDS-B'!$A:$L,3,FALSE)="","",(VLOOKUP($A122,'CDS-B'!$A:$L,3,FALSE))),"")</f>
        <v/>
      </c>
      <c r="D122" t="inlineStr">
        <is>
          <t>Enrollment And Persistence</t>
        </is>
      </c>
      <c r="E122" t="inlineStr">
        <is>
          <t>Institutional Enrollment</t>
        </is>
      </c>
      <c r="F122" t="inlineStr">
        <is>
          <t>Degree-seeking</t>
        </is>
      </c>
      <c r="G122" t="inlineStr">
        <is>
          <t>Graduates</t>
        </is>
      </c>
      <c r="H122" t="inlineStr">
        <is>
          <t>First-time</t>
        </is>
      </c>
      <c r="I122" t="inlineStr">
        <is>
          <t>All</t>
        </is>
      </c>
      <c r="J122" t="inlineStr">
        <is>
          <t>PT</t>
        </is>
      </c>
      <c r="K122" t="inlineStr">
        <is>
          <t>Women</t>
        </is>
      </c>
      <c r="L122" t="inlineStr">
        <is>
          <t>Number</t>
        </is>
      </c>
    </row>
    <row r="123">
      <c r="A123" t="inlineStr">
        <is>
          <t>B171</t>
        </is>
      </c>
      <c r="B123" t="inlineStr">
        <is>
          <t>Degree-seeking, first-time: another gender</t>
        </is>
      </c>
      <c r="C123">
        <f>IFERROR(IF(VLOOKUP($A123,'CDS-B'!$A:$L,3,FALSE)="","",(VLOOKUP($A123,'CDS-B'!$A:$L,3,FALSE))),"")</f>
        <v/>
      </c>
      <c r="D123" t="inlineStr">
        <is>
          <t>Enrollment And Persistence</t>
        </is>
      </c>
      <c r="E123" t="inlineStr">
        <is>
          <t>Institutional Enrollment</t>
        </is>
      </c>
      <c r="F123" t="inlineStr">
        <is>
          <t>Degree-seeking</t>
        </is>
      </c>
      <c r="G123" t="inlineStr">
        <is>
          <t>Graduates</t>
        </is>
      </c>
      <c r="H123" t="inlineStr">
        <is>
          <t>First-time</t>
        </is>
      </c>
      <c r="I123" t="inlineStr">
        <is>
          <t>All</t>
        </is>
      </c>
      <c r="J123" t="inlineStr">
        <is>
          <t>PT</t>
        </is>
      </c>
      <c r="K123" t="inlineStr">
        <is>
          <t>Another Gender</t>
        </is>
      </c>
      <c r="L123" t="inlineStr">
        <is>
          <t>Number</t>
        </is>
      </c>
    </row>
    <row r="124">
      <c r="A124" t="inlineStr">
        <is>
          <t>B172</t>
        </is>
      </c>
      <c r="B124" t="inlineStr">
        <is>
          <t>Degree-seeking, first-time: unknown</t>
        </is>
      </c>
      <c r="C124">
        <f>IFERROR(IF(VLOOKUP($A124,'CDS-B'!$A:$L,3,FALSE)="","",(VLOOKUP($A124,'CDS-B'!$A:$L,3,FALSE))),"")</f>
        <v/>
      </c>
      <c r="D124" t="inlineStr">
        <is>
          <t>Enrollment And Persistence</t>
        </is>
      </c>
      <c r="E124" t="inlineStr">
        <is>
          <t>Institutional Enrollment</t>
        </is>
      </c>
      <c r="F124" t="inlineStr">
        <is>
          <t>Degree-seeking</t>
        </is>
      </c>
      <c r="G124" t="inlineStr">
        <is>
          <t>Graduates</t>
        </is>
      </c>
      <c r="H124" t="inlineStr">
        <is>
          <t>First-time</t>
        </is>
      </c>
      <c r="I124" t="inlineStr">
        <is>
          <t>All</t>
        </is>
      </c>
      <c r="J124" t="inlineStr">
        <is>
          <t>PT</t>
        </is>
      </c>
      <c r="K124" t="inlineStr">
        <is>
          <t>Unknown</t>
        </is>
      </c>
      <c r="L124" t="inlineStr">
        <is>
          <t>Number</t>
        </is>
      </c>
    </row>
    <row r="125">
      <c r="A125" t="inlineStr">
        <is>
          <t>B173</t>
        </is>
      </c>
      <c r="B125" t="inlineStr">
        <is>
          <t>All other degree-seeking: men</t>
        </is>
      </c>
      <c r="C125">
        <f>IFERROR(IF(VLOOKUP($A125,'CDS-B'!$A:$L,3,FALSE)="","",(VLOOKUP($A125,'CDS-B'!$A:$L,3,FALSE))),"")</f>
        <v/>
      </c>
      <c r="D125" t="inlineStr">
        <is>
          <t>Enrollment And Persistence</t>
        </is>
      </c>
      <c r="E125" t="inlineStr">
        <is>
          <t>Institutional Enrollment</t>
        </is>
      </c>
      <c r="F125" t="inlineStr">
        <is>
          <t>Degree-seeking</t>
        </is>
      </c>
      <c r="G125" t="inlineStr">
        <is>
          <t>Graduates</t>
        </is>
      </c>
      <c r="H125" t="inlineStr">
        <is>
          <t>All other</t>
        </is>
      </c>
      <c r="I125" t="inlineStr">
        <is>
          <t>All</t>
        </is>
      </c>
      <c r="J125" t="inlineStr">
        <is>
          <t>PT</t>
        </is>
      </c>
      <c r="K125" t="inlineStr">
        <is>
          <t>Men</t>
        </is>
      </c>
      <c r="L125" t="inlineStr">
        <is>
          <t>Number</t>
        </is>
      </c>
    </row>
    <row r="126">
      <c r="A126" t="inlineStr">
        <is>
          <t>B174</t>
        </is>
      </c>
      <c r="B126" t="inlineStr">
        <is>
          <t>All other degree-seeking: women</t>
        </is>
      </c>
      <c r="C126">
        <f>IFERROR(IF(VLOOKUP($A126,'CDS-B'!$A:$L,3,FALSE)="","",(VLOOKUP($A126,'CDS-B'!$A:$L,3,FALSE))),"")</f>
        <v/>
      </c>
      <c r="D126" t="inlineStr">
        <is>
          <t>Enrollment And Persistence</t>
        </is>
      </c>
      <c r="E126" t="inlineStr">
        <is>
          <t>Institutional Enrollment</t>
        </is>
      </c>
      <c r="F126" t="inlineStr">
        <is>
          <t>Degree-seeking</t>
        </is>
      </c>
      <c r="G126" t="inlineStr">
        <is>
          <t>Graduates</t>
        </is>
      </c>
      <c r="H126" t="inlineStr">
        <is>
          <t>All other</t>
        </is>
      </c>
      <c r="I126" t="inlineStr">
        <is>
          <t>All</t>
        </is>
      </c>
      <c r="J126" t="inlineStr">
        <is>
          <t>PT</t>
        </is>
      </c>
      <c r="K126" t="inlineStr">
        <is>
          <t>Women</t>
        </is>
      </c>
      <c r="L126" t="inlineStr">
        <is>
          <t>Number</t>
        </is>
      </c>
    </row>
    <row r="127">
      <c r="A127" t="inlineStr">
        <is>
          <t>B175</t>
        </is>
      </c>
      <c r="B127" t="inlineStr">
        <is>
          <t>All other degree-seeking: another gender</t>
        </is>
      </c>
      <c r="C127">
        <f>IFERROR(IF(VLOOKUP($A127,'CDS-B'!$A:$L,3,FALSE)="","",(VLOOKUP($A127,'CDS-B'!$A:$L,3,FALSE))),"")</f>
        <v/>
      </c>
      <c r="D127" t="inlineStr">
        <is>
          <t>Enrollment And Persistence</t>
        </is>
      </c>
      <c r="E127" t="inlineStr">
        <is>
          <t>Institutional Enrollment</t>
        </is>
      </c>
      <c r="F127" t="inlineStr">
        <is>
          <t>Degree-seeking</t>
        </is>
      </c>
      <c r="G127" t="inlineStr">
        <is>
          <t>Graduates</t>
        </is>
      </c>
      <c r="H127" t="inlineStr">
        <is>
          <t>All other</t>
        </is>
      </c>
      <c r="I127" t="inlineStr">
        <is>
          <t>All</t>
        </is>
      </c>
      <c r="J127" t="inlineStr">
        <is>
          <t>PT</t>
        </is>
      </c>
      <c r="K127" t="inlineStr">
        <is>
          <t>Another Gender</t>
        </is>
      </c>
      <c r="L127" t="inlineStr">
        <is>
          <t>Number</t>
        </is>
      </c>
    </row>
    <row r="128">
      <c r="A128" t="inlineStr">
        <is>
          <t>B176</t>
        </is>
      </c>
      <c r="B128" t="inlineStr">
        <is>
          <t>All other degree-seeking: unknown</t>
        </is>
      </c>
      <c r="C128">
        <f>IFERROR(IF(VLOOKUP($A128,'CDS-B'!$A:$L,3,FALSE)="","",(VLOOKUP($A128,'CDS-B'!$A:$L,3,FALSE))),"")</f>
        <v/>
      </c>
      <c r="D128" t="inlineStr">
        <is>
          <t>Enrollment And Persistence</t>
        </is>
      </c>
      <c r="E128" t="inlineStr">
        <is>
          <t>Institutional Enrollment</t>
        </is>
      </c>
      <c r="F128" t="inlineStr">
        <is>
          <t>Degree-seeking</t>
        </is>
      </c>
      <c r="G128" t="inlineStr">
        <is>
          <t>Graduates</t>
        </is>
      </c>
      <c r="H128" t="inlineStr">
        <is>
          <t>All other</t>
        </is>
      </c>
      <c r="I128" t="inlineStr">
        <is>
          <t>All</t>
        </is>
      </c>
      <c r="J128" t="inlineStr">
        <is>
          <t>PT</t>
        </is>
      </c>
      <c r="K128" t="inlineStr">
        <is>
          <t>Unknown</t>
        </is>
      </c>
      <c r="L128" t="inlineStr">
        <is>
          <t>Number</t>
        </is>
      </c>
    </row>
    <row r="129">
      <c r="A129" t="inlineStr">
        <is>
          <t>B177</t>
        </is>
      </c>
      <c r="B129" t="inlineStr">
        <is>
          <t>All other graduates enrolled in credit courses: men</t>
        </is>
      </c>
      <c r="C129">
        <f>IFERROR(IF(VLOOKUP($A129,'CDS-B'!$A:$L,3,FALSE)="","",(VLOOKUP($A129,'CDS-B'!$A:$L,3,FALSE))),"")</f>
        <v/>
      </c>
      <c r="D129" t="inlineStr">
        <is>
          <t>Enrollment And Persistence</t>
        </is>
      </c>
      <c r="E129" t="inlineStr">
        <is>
          <t>Institutional Enrollment</t>
        </is>
      </c>
      <c r="F129" t="inlineStr">
        <is>
          <t>Enrolled in Credit Courses</t>
        </is>
      </c>
      <c r="G129" t="inlineStr">
        <is>
          <t>Graduates</t>
        </is>
      </c>
      <c r="H129" t="inlineStr">
        <is>
          <t>All other</t>
        </is>
      </c>
      <c r="I129" t="inlineStr">
        <is>
          <t>All</t>
        </is>
      </c>
      <c r="J129" t="inlineStr">
        <is>
          <t>PT</t>
        </is>
      </c>
      <c r="K129" t="inlineStr">
        <is>
          <t>Men</t>
        </is>
      </c>
      <c r="L129" t="inlineStr">
        <is>
          <t>Number</t>
        </is>
      </c>
    </row>
    <row r="130">
      <c r="A130" t="inlineStr">
        <is>
          <t>B178</t>
        </is>
      </c>
      <c r="B130" t="inlineStr">
        <is>
          <t>All other graduates enrolled in credit courses: women</t>
        </is>
      </c>
      <c r="C130">
        <f>IFERROR(IF(VLOOKUP($A130,'CDS-B'!$A:$L,3,FALSE)="","",(VLOOKUP($A130,'CDS-B'!$A:$L,3,FALSE))),"")</f>
        <v/>
      </c>
      <c r="D130" t="inlineStr">
        <is>
          <t>Enrollment And Persistence</t>
        </is>
      </c>
      <c r="E130" t="inlineStr">
        <is>
          <t>Institutional Enrollment</t>
        </is>
      </c>
      <c r="F130" t="inlineStr">
        <is>
          <t>Enrolled in Credit Courses</t>
        </is>
      </c>
      <c r="G130" t="inlineStr">
        <is>
          <t>Graduates</t>
        </is>
      </c>
      <c r="H130" t="inlineStr">
        <is>
          <t>All other</t>
        </is>
      </c>
      <c r="I130" t="inlineStr">
        <is>
          <t>All</t>
        </is>
      </c>
      <c r="J130" t="inlineStr">
        <is>
          <t>PT</t>
        </is>
      </c>
      <c r="K130" t="inlineStr">
        <is>
          <t>Women</t>
        </is>
      </c>
      <c r="L130" t="inlineStr">
        <is>
          <t>Number</t>
        </is>
      </c>
    </row>
    <row r="131">
      <c r="A131" t="inlineStr">
        <is>
          <t>B179</t>
        </is>
      </c>
      <c r="B131" t="inlineStr">
        <is>
          <t>All other graduates enrolled in credit courses: another gender</t>
        </is>
      </c>
      <c r="C131">
        <f>IFERROR(IF(VLOOKUP($A131,'CDS-B'!$A:$L,3,FALSE)="","",(VLOOKUP($A131,'CDS-B'!$A:$L,3,FALSE))),"")</f>
        <v/>
      </c>
      <c r="D131" t="inlineStr">
        <is>
          <t>Enrollment And Persistence</t>
        </is>
      </c>
      <c r="E131" t="inlineStr">
        <is>
          <t>Institutional Enrollment</t>
        </is>
      </c>
      <c r="F131" t="inlineStr">
        <is>
          <t>Enrolled in Credit Courses</t>
        </is>
      </c>
      <c r="G131" t="inlineStr">
        <is>
          <t>Graduates</t>
        </is>
      </c>
      <c r="H131" t="inlineStr">
        <is>
          <t>All other</t>
        </is>
      </c>
      <c r="I131" t="inlineStr">
        <is>
          <t>All</t>
        </is>
      </c>
      <c r="J131" t="inlineStr">
        <is>
          <t>PT</t>
        </is>
      </c>
      <c r="K131" t="inlineStr">
        <is>
          <t>Another Gender</t>
        </is>
      </c>
      <c r="L131" t="inlineStr">
        <is>
          <t>Number</t>
        </is>
      </c>
    </row>
    <row r="132">
      <c r="A132" t="inlineStr">
        <is>
          <t>B180</t>
        </is>
      </c>
      <c r="B132" t="inlineStr">
        <is>
          <t>All other graduates enrolled in credit courses: unknown</t>
        </is>
      </c>
      <c r="C132">
        <f>IFERROR(IF(VLOOKUP($A132,'CDS-B'!$A:$L,3,FALSE)="","",(VLOOKUP($A132,'CDS-B'!$A:$L,3,FALSE))),"")</f>
        <v/>
      </c>
      <c r="D132" t="inlineStr">
        <is>
          <t>Enrollment And Persistence</t>
        </is>
      </c>
      <c r="E132" t="inlineStr">
        <is>
          <t>Institutional Enrollment</t>
        </is>
      </c>
      <c r="F132" t="inlineStr">
        <is>
          <t>Enrolled in Credit Courses</t>
        </is>
      </c>
      <c r="G132" t="inlineStr">
        <is>
          <t>Graduates</t>
        </is>
      </c>
      <c r="H132" t="inlineStr">
        <is>
          <t>All other</t>
        </is>
      </c>
      <c r="I132" t="inlineStr">
        <is>
          <t>All</t>
        </is>
      </c>
      <c r="J132" t="inlineStr">
        <is>
          <t>PT</t>
        </is>
      </c>
      <c r="K132" t="inlineStr">
        <is>
          <t>Unknown</t>
        </is>
      </c>
      <c r="L132" t="inlineStr">
        <is>
          <t>Number</t>
        </is>
      </c>
    </row>
    <row r="133">
      <c r="A133" t="inlineStr">
        <is>
          <t>B181</t>
        </is>
      </c>
      <c r="B133" t="inlineStr">
        <is>
          <t>Total graduate Part-Time Students: men</t>
        </is>
      </c>
      <c r="C133">
        <f>IFERROR(IF(VLOOKUP($A133,'CDS-B'!$A:$L,3,FALSE)="","",(VLOOKUP($A133,'CDS-B'!$A:$L,3,FALSE))),"")</f>
        <v/>
      </c>
      <c r="D133" t="inlineStr">
        <is>
          <t>Enrollment And Persistence</t>
        </is>
      </c>
      <c r="E133" t="inlineStr">
        <is>
          <t>Institutional Enrollment</t>
        </is>
      </c>
      <c r="F133" t="inlineStr">
        <is>
          <t>All</t>
        </is>
      </c>
      <c r="G133" t="inlineStr">
        <is>
          <t>Graduates</t>
        </is>
      </c>
      <c r="H133" t="inlineStr">
        <is>
          <t>Total</t>
        </is>
      </c>
      <c r="I133" t="inlineStr">
        <is>
          <t>All</t>
        </is>
      </c>
      <c r="J133" t="inlineStr">
        <is>
          <t>PT</t>
        </is>
      </c>
      <c r="K133" t="inlineStr">
        <is>
          <t>Men</t>
        </is>
      </c>
      <c r="L133" t="inlineStr">
        <is>
          <t>Number</t>
        </is>
      </c>
    </row>
    <row r="134">
      <c r="A134" t="inlineStr">
        <is>
          <t>B182</t>
        </is>
      </c>
      <c r="B134" t="inlineStr">
        <is>
          <t>Total graduate Part-Time Students: women</t>
        </is>
      </c>
      <c r="C134">
        <f>IFERROR(IF(VLOOKUP($A134,'CDS-B'!$A:$L,3,FALSE)="","",(VLOOKUP($A134,'CDS-B'!$A:$L,3,FALSE))),"")</f>
        <v/>
      </c>
      <c r="D134" t="inlineStr">
        <is>
          <t>Enrollment And Persistence</t>
        </is>
      </c>
      <c r="E134" t="inlineStr">
        <is>
          <t>Institutional Enrollment</t>
        </is>
      </c>
      <c r="F134" t="inlineStr">
        <is>
          <t>All</t>
        </is>
      </c>
      <c r="G134" t="inlineStr">
        <is>
          <t>Graduates</t>
        </is>
      </c>
      <c r="H134" t="inlineStr">
        <is>
          <t>Total</t>
        </is>
      </c>
      <c r="I134" t="inlineStr">
        <is>
          <t>All</t>
        </is>
      </c>
      <c r="J134" t="inlineStr">
        <is>
          <t>PT</t>
        </is>
      </c>
      <c r="K134" t="inlineStr">
        <is>
          <t>Women</t>
        </is>
      </c>
      <c r="L134" t="inlineStr">
        <is>
          <t>Number</t>
        </is>
      </c>
    </row>
    <row r="135">
      <c r="A135" t="inlineStr">
        <is>
          <t>B183</t>
        </is>
      </c>
      <c r="B135" t="inlineStr">
        <is>
          <t>Total graduate Part-Time Students: another gender</t>
        </is>
      </c>
      <c r="C135">
        <f>IFERROR(IF(VLOOKUP($A135,'CDS-B'!$A:$L,3,FALSE)="","",(VLOOKUP($A135,'CDS-B'!$A:$L,3,FALSE))),"")</f>
        <v/>
      </c>
      <c r="D135" t="inlineStr">
        <is>
          <t>Enrollment And Persistence</t>
        </is>
      </c>
      <c r="E135" t="inlineStr">
        <is>
          <t>Institutional Enrollment</t>
        </is>
      </c>
      <c r="F135" t="inlineStr">
        <is>
          <t>All</t>
        </is>
      </c>
      <c r="G135" t="inlineStr">
        <is>
          <t>Graduates</t>
        </is>
      </c>
      <c r="H135" t="inlineStr">
        <is>
          <t>Total</t>
        </is>
      </c>
      <c r="I135" t="inlineStr">
        <is>
          <t>All</t>
        </is>
      </c>
      <c r="J135" t="inlineStr">
        <is>
          <t>PT</t>
        </is>
      </c>
      <c r="K135" t="inlineStr">
        <is>
          <t>Another Gender</t>
        </is>
      </c>
      <c r="L135" t="inlineStr">
        <is>
          <t>Number</t>
        </is>
      </c>
    </row>
    <row r="136">
      <c r="A136" t="inlineStr">
        <is>
          <t>B184</t>
        </is>
      </c>
      <c r="B136" t="inlineStr">
        <is>
          <t>Total graduate Part-Time Students: unknown</t>
        </is>
      </c>
      <c r="C136">
        <f>IFERROR(IF(VLOOKUP($A136,'CDS-B'!$A:$L,3,FALSE)="","",(VLOOKUP($A136,'CDS-B'!$A:$L,3,FALSE))),"")</f>
        <v/>
      </c>
      <c r="D136" t="inlineStr">
        <is>
          <t>Enrollment And Persistence</t>
        </is>
      </c>
      <c r="E136" t="inlineStr">
        <is>
          <t>Institutional Enrollment</t>
        </is>
      </c>
      <c r="F136" t="inlineStr">
        <is>
          <t>All</t>
        </is>
      </c>
      <c r="G136" t="inlineStr">
        <is>
          <t>Graduates</t>
        </is>
      </c>
      <c r="H136" t="inlineStr">
        <is>
          <t>Total</t>
        </is>
      </c>
      <c r="I136" t="inlineStr">
        <is>
          <t>All</t>
        </is>
      </c>
      <c r="J136" t="inlineStr">
        <is>
          <t>PT</t>
        </is>
      </c>
      <c r="K136" t="inlineStr">
        <is>
          <t>Unknown</t>
        </is>
      </c>
      <c r="L136" t="inlineStr">
        <is>
          <t>Number</t>
        </is>
      </c>
    </row>
    <row r="137">
      <c r="A137" t="inlineStr">
        <is>
          <t>B185</t>
        </is>
      </c>
      <c r="B137" t="inlineStr">
        <is>
          <t>Total Graduate Students: men</t>
        </is>
      </c>
      <c r="C137">
        <f>IFERROR(IF(VLOOKUP($A137,'CDS-B'!$A:$L,3,FALSE)="","",(VLOOKUP($A137,'CDS-B'!$A:$L,3,FALSE))),"")</f>
        <v/>
      </c>
      <c r="D137" t="inlineStr">
        <is>
          <t>Enrollment And Persistence</t>
        </is>
      </c>
      <c r="E137" t="inlineStr">
        <is>
          <t>Institutional Enrollment</t>
        </is>
      </c>
      <c r="F137" t="inlineStr">
        <is>
          <t>All</t>
        </is>
      </c>
      <c r="G137" t="inlineStr">
        <is>
          <t>Graduates</t>
        </is>
      </c>
      <c r="H137" t="inlineStr">
        <is>
          <t>Total</t>
        </is>
      </c>
      <c r="I137" t="inlineStr">
        <is>
          <t>All</t>
        </is>
      </c>
      <c r="J137" t="inlineStr">
        <is>
          <t>All</t>
        </is>
      </c>
      <c r="K137" t="inlineStr">
        <is>
          <t>Men</t>
        </is>
      </c>
      <c r="L137" t="inlineStr">
        <is>
          <t>Number</t>
        </is>
      </c>
    </row>
    <row r="138">
      <c r="A138" t="inlineStr">
        <is>
          <t>B186</t>
        </is>
      </c>
      <c r="B138" t="inlineStr">
        <is>
          <t>Total Graduate Students: women</t>
        </is>
      </c>
      <c r="C138">
        <f>IFERROR(IF(VLOOKUP($A138,'CDS-B'!$A:$L,3,FALSE)="","",(VLOOKUP($A138,'CDS-B'!$A:$L,3,FALSE))),"")</f>
        <v/>
      </c>
      <c r="D138" t="inlineStr">
        <is>
          <t>Enrollment And Persistence</t>
        </is>
      </c>
      <c r="E138" t="inlineStr">
        <is>
          <t>Institutional Enrollment</t>
        </is>
      </c>
      <c r="F138" t="inlineStr">
        <is>
          <t>All</t>
        </is>
      </c>
      <c r="G138" t="inlineStr">
        <is>
          <t>Graduates</t>
        </is>
      </c>
      <c r="H138" t="inlineStr">
        <is>
          <t>Total</t>
        </is>
      </c>
      <c r="I138" t="inlineStr">
        <is>
          <t>All</t>
        </is>
      </c>
      <c r="J138" t="inlineStr">
        <is>
          <t>All</t>
        </is>
      </c>
      <c r="K138" t="inlineStr">
        <is>
          <t>Women</t>
        </is>
      </c>
      <c r="L138" t="inlineStr">
        <is>
          <t>Number</t>
        </is>
      </c>
    </row>
    <row r="139">
      <c r="A139" t="inlineStr">
        <is>
          <t>B187</t>
        </is>
      </c>
      <c r="B139" t="inlineStr">
        <is>
          <t>Total Graduate Students: another gender</t>
        </is>
      </c>
      <c r="C139">
        <f>IFERROR(IF(VLOOKUP($A139,'CDS-B'!$A:$L,3,FALSE)="","",(VLOOKUP($A139,'CDS-B'!$A:$L,3,FALSE))),"")</f>
        <v/>
      </c>
      <c r="D139" t="inlineStr">
        <is>
          <t>Enrollment And Persistence</t>
        </is>
      </c>
      <c r="E139" t="inlineStr">
        <is>
          <t>Institutional Enrollment</t>
        </is>
      </c>
      <c r="F139" t="inlineStr">
        <is>
          <t>All</t>
        </is>
      </c>
      <c r="G139" t="inlineStr">
        <is>
          <t>Graduates</t>
        </is>
      </c>
      <c r="H139" t="inlineStr">
        <is>
          <t>Total</t>
        </is>
      </c>
      <c r="I139" t="inlineStr">
        <is>
          <t>All</t>
        </is>
      </c>
      <c r="J139" t="inlineStr">
        <is>
          <t>All</t>
        </is>
      </c>
      <c r="K139" t="inlineStr">
        <is>
          <t>Another Gender</t>
        </is>
      </c>
      <c r="L139" t="inlineStr">
        <is>
          <t>Number</t>
        </is>
      </c>
    </row>
    <row r="140">
      <c r="A140" t="inlineStr">
        <is>
          <t>B188</t>
        </is>
      </c>
      <c r="B140" t="inlineStr">
        <is>
          <t>Total Graduate Students: unknown</t>
        </is>
      </c>
      <c r="C140">
        <f>IFERROR(IF(VLOOKUP($A140,'CDS-B'!$A:$L,3,FALSE)="","",(VLOOKUP($A140,'CDS-B'!$A:$L,3,FALSE))),"")</f>
        <v/>
      </c>
      <c r="D140" t="inlineStr">
        <is>
          <t>Enrollment And Persistence</t>
        </is>
      </c>
      <c r="E140" t="inlineStr">
        <is>
          <t>Institutional Enrollment</t>
        </is>
      </c>
      <c r="F140" t="inlineStr">
        <is>
          <t>All</t>
        </is>
      </c>
      <c r="G140" t="inlineStr">
        <is>
          <t>Graduates</t>
        </is>
      </c>
      <c r="H140" t="inlineStr">
        <is>
          <t>Total</t>
        </is>
      </c>
      <c r="I140" t="inlineStr">
        <is>
          <t>All</t>
        </is>
      </c>
      <c r="J140" t="inlineStr">
        <is>
          <t>All</t>
        </is>
      </c>
      <c r="K140" t="inlineStr">
        <is>
          <t>Unknown</t>
        </is>
      </c>
      <c r="L140" t="inlineStr">
        <is>
          <t>Number</t>
        </is>
      </c>
    </row>
    <row r="141">
      <c r="A141" t="inlineStr">
        <is>
          <t>B189</t>
        </is>
      </c>
      <c r="B141" t="inlineStr">
        <is>
          <t>Total All Students: men</t>
        </is>
      </c>
      <c r="C141">
        <f>IFERROR(IF(VLOOKUP($A141,'CDS-B'!$A:$L,3,FALSE)="","",(VLOOKUP($A141,'CDS-B'!$A:$L,3,FALSE))),"")</f>
        <v/>
      </c>
      <c r="D141" t="inlineStr">
        <is>
          <t>Enrollment And Persistence</t>
        </is>
      </c>
      <c r="E141" t="inlineStr">
        <is>
          <t>Institutional Enrollment</t>
        </is>
      </c>
      <c r="F141" t="inlineStr">
        <is>
          <t>All</t>
        </is>
      </c>
      <c r="G141" t="inlineStr">
        <is>
          <t>All Students</t>
        </is>
      </c>
      <c r="H141" t="inlineStr">
        <is>
          <t>Total</t>
        </is>
      </c>
      <c r="I141" t="inlineStr">
        <is>
          <t>All</t>
        </is>
      </c>
      <c r="J141" t="inlineStr">
        <is>
          <t>All</t>
        </is>
      </c>
      <c r="K141" t="inlineStr">
        <is>
          <t>Men</t>
        </is>
      </c>
      <c r="L141" t="inlineStr">
        <is>
          <t>Number</t>
        </is>
      </c>
    </row>
    <row r="142">
      <c r="A142" t="inlineStr">
        <is>
          <t>B190</t>
        </is>
      </c>
      <c r="B142" t="inlineStr">
        <is>
          <t>Total All Students: women</t>
        </is>
      </c>
      <c r="C142">
        <f>IFERROR(IF(VLOOKUP($A142,'CDS-B'!$A:$L,3,FALSE)="","",(VLOOKUP($A142,'CDS-B'!$A:$L,3,FALSE))),"")</f>
        <v/>
      </c>
      <c r="D142" t="inlineStr">
        <is>
          <t>Enrollment And Persistence</t>
        </is>
      </c>
      <c r="E142" t="inlineStr">
        <is>
          <t>Institutional Enrollment</t>
        </is>
      </c>
      <c r="F142" t="inlineStr">
        <is>
          <t>All</t>
        </is>
      </c>
      <c r="G142" t="inlineStr">
        <is>
          <t>All Students</t>
        </is>
      </c>
      <c r="H142" t="inlineStr">
        <is>
          <t>Total</t>
        </is>
      </c>
      <c r="I142" t="inlineStr">
        <is>
          <t>All</t>
        </is>
      </c>
      <c r="J142" t="inlineStr">
        <is>
          <t>All</t>
        </is>
      </c>
      <c r="K142" t="inlineStr">
        <is>
          <t>Women</t>
        </is>
      </c>
      <c r="L142" t="inlineStr">
        <is>
          <t>Number</t>
        </is>
      </c>
    </row>
    <row r="143">
      <c r="A143" t="inlineStr">
        <is>
          <t>B191</t>
        </is>
      </c>
      <c r="B143" t="inlineStr">
        <is>
          <t>Total All Students: another gender</t>
        </is>
      </c>
      <c r="C143">
        <f>IFERROR(IF(VLOOKUP($A143,'CDS-B'!$A:$L,3,FALSE)="","",(VLOOKUP($A143,'CDS-B'!$A:$L,3,FALSE))),"")</f>
        <v/>
      </c>
      <c r="D143" t="inlineStr">
        <is>
          <t>Enrollment And Persistence</t>
        </is>
      </c>
      <c r="E143" t="inlineStr">
        <is>
          <t>Institutional Enrollment</t>
        </is>
      </c>
      <c r="F143" t="inlineStr">
        <is>
          <t>All</t>
        </is>
      </c>
      <c r="G143" t="inlineStr">
        <is>
          <t>All Students</t>
        </is>
      </c>
      <c r="H143" t="inlineStr">
        <is>
          <t>Total</t>
        </is>
      </c>
      <c r="I143" t="inlineStr">
        <is>
          <t>All</t>
        </is>
      </c>
      <c r="J143" t="inlineStr">
        <is>
          <t>All</t>
        </is>
      </c>
      <c r="K143" t="inlineStr">
        <is>
          <t>Another Gender</t>
        </is>
      </c>
      <c r="L143" t="inlineStr">
        <is>
          <t>Number</t>
        </is>
      </c>
    </row>
    <row r="144">
      <c r="A144" t="inlineStr">
        <is>
          <t>B192</t>
        </is>
      </c>
      <c r="B144" t="inlineStr">
        <is>
          <t>Total All Students: unknown</t>
        </is>
      </c>
      <c r="C144">
        <f>IFERROR(IF(VLOOKUP($A144,'CDS-B'!$A:$L,3,FALSE)="","",(VLOOKUP($A144,'CDS-B'!$A:$L,3,FALSE))),"")</f>
        <v/>
      </c>
      <c r="D144" t="inlineStr">
        <is>
          <t>Enrollment And Persistence</t>
        </is>
      </c>
      <c r="E144" t="inlineStr">
        <is>
          <t>Institutional Enrollment</t>
        </is>
      </c>
      <c r="F144" t="inlineStr">
        <is>
          <t>All</t>
        </is>
      </c>
      <c r="G144" t="inlineStr">
        <is>
          <t>All Students</t>
        </is>
      </c>
      <c r="H144" t="inlineStr">
        <is>
          <t>Total</t>
        </is>
      </c>
      <c r="I144" t="inlineStr">
        <is>
          <t>All</t>
        </is>
      </c>
      <c r="J144" t="inlineStr">
        <is>
          <t>All</t>
        </is>
      </c>
      <c r="K144" t="inlineStr">
        <is>
          <t>Unknown</t>
        </is>
      </c>
      <c r="L144" t="inlineStr">
        <is>
          <t>Number</t>
        </is>
      </c>
    </row>
    <row r="145">
      <c r="A145" t="inlineStr">
        <is>
          <t>B193</t>
        </is>
      </c>
      <c r="B145" t="inlineStr">
        <is>
          <t>Total all undergraduates</t>
        </is>
      </c>
      <c r="C145">
        <f>IFERROR(IF(VLOOKUP($A145,'CDS-B'!$A:$L,3,FALSE)="","",(VLOOKUP($A145,'CDS-B'!$A:$L,3,FALSE))),"")</f>
        <v/>
      </c>
      <c r="D145" t="inlineStr">
        <is>
          <t>Enrollment And Persistence</t>
        </is>
      </c>
      <c r="E145" t="inlineStr">
        <is>
          <t>Institutional Enrollment</t>
        </is>
      </c>
      <c r="F145" t="inlineStr">
        <is>
          <t>All</t>
        </is>
      </c>
      <c r="G145" t="inlineStr">
        <is>
          <t>Undergraduates</t>
        </is>
      </c>
      <c r="H145" t="inlineStr">
        <is>
          <t>Total</t>
        </is>
      </c>
      <c r="I145" t="inlineStr">
        <is>
          <t>All</t>
        </is>
      </c>
      <c r="J145" t="inlineStr">
        <is>
          <t>All</t>
        </is>
      </c>
      <c r="K145" t="inlineStr">
        <is>
          <t>All</t>
        </is>
      </c>
      <c r="L145" t="inlineStr">
        <is>
          <t>Number</t>
        </is>
      </c>
    </row>
    <row r="146">
      <c r="A146" t="inlineStr">
        <is>
          <t>B194</t>
        </is>
      </c>
      <c r="B146" t="inlineStr">
        <is>
          <t>Total all graduate</t>
        </is>
      </c>
      <c r="C146">
        <f>IFERROR(IF(VLOOKUP($A146,'CDS-B'!$A:$L,3,FALSE)="","",(VLOOKUP($A146,'CDS-B'!$A:$L,3,FALSE))),"")</f>
        <v/>
      </c>
      <c r="D146" t="inlineStr">
        <is>
          <t>Enrollment And Persistence</t>
        </is>
      </c>
      <c r="E146" t="inlineStr">
        <is>
          <t>Institutional Enrollment</t>
        </is>
      </c>
      <c r="F146" t="inlineStr">
        <is>
          <t>All</t>
        </is>
      </c>
      <c r="G146" t="inlineStr">
        <is>
          <t>Graduates</t>
        </is>
      </c>
      <c r="H146" t="inlineStr">
        <is>
          <t>Total</t>
        </is>
      </c>
      <c r="I146" t="inlineStr">
        <is>
          <t>All</t>
        </is>
      </c>
      <c r="J146" t="inlineStr">
        <is>
          <t>All</t>
        </is>
      </c>
      <c r="K146" t="inlineStr">
        <is>
          <t>All</t>
        </is>
      </c>
      <c r="L146" t="inlineStr">
        <is>
          <t>Number</t>
        </is>
      </c>
    </row>
    <row r="147">
      <c r="A147" t="inlineStr">
        <is>
          <t>B195</t>
        </is>
      </c>
      <c r="B147" t="inlineStr">
        <is>
          <t>Grand Total All Students</t>
        </is>
      </c>
      <c r="C147">
        <f>IFERROR(IF(VLOOKUP($A147,'CDS-B'!$A:$L,3,FALSE)="","",(VLOOKUP($A147,'CDS-B'!$A:$L,3,FALSE))),"")</f>
        <v/>
      </c>
      <c r="D147" t="inlineStr">
        <is>
          <t>Enrollment And Persistence</t>
        </is>
      </c>
      <c r="E147" t="inlineStr">
        <is>
          <t>Institutional Enrollment</t>
        </is>
      </c>
      <c r="F147" t="inlineStr">
        <is>
          <t>All</t>
        </is>
      </c>
      <c r="G147" t="inlineStr">
        <is>
          <t>All Students</t>
        </is>
      </c>
      <c r="H147" t="inlineStr">
        <is>
          <t>Total</t>
        </is>
      </c>
      <c r="I147" t="inlineStr">
        <is>
          <t>All</t>
        </is>
      </c>
      <c r="J147" t="inlineStr">
        <is>
          <t>All</t>
        </is>
      </c>
      <c r="K147" t="inlineStr">
        <is>
          <t>All</t>
        </is>
      </c>
      <c r="L147" t="inlineStr">
        <is>
          <t>Number</t>
        </is>
      </c>
    </row>
    <row r="148">
      <c r="A148" t="inlineStr">
        <is>
          <t>B201</t>
        </is>
      </c>
      <c r="B148" t="inlineStr">
        <is>
          <t>Nonresidents</t>
        </is>
      </c>
      <c r="C148">
        <f>IFERROR(IF(VLOOKUP($A148,'CDS-B'!$A:$L,3,FALSE)="","",(VLOOKUP($A148,'CDS-B'!$A:$L,3,FALSE))),"")</f>
        <v/>
      </c>
      <c r="D148" t="inlineStr">
        <is>
          <t>Enrollment And Persistence</t>
        </is>
      </c>
      <c r="E148" t="inlineStr">
        <is>
          <t>Enrollment by Racial/Ethnic Category</t>
        </is>
      </c>
      <c r="F148" t="inlineStr">
        <is>
          <t>Degree-seeking</t>
        </is>
      </c>
      <c r="G148" t="inlineStr">
        <is>
          <t>Undergraduates</t>
        </is>
      </c>
      <c r="H148" t="inlineStr">
        <is>
          <t>First-time, first-year</t>
        </is>
      </c>
      <c r="I148" t="inlineStr">
        <is>
          <t>Nonresidents</t>
        </is>
      </c>
      <c r="J148" t="inlineStr">
        <is>
          <t>All</t>
        </is>
      </c>
      <c r="K148" t="inlineStr">
        <is>
          <t>All</t>
        </is>
      </c>
      <c r="L148" t="inlineStr">
        <is>
          <t>Number</t>
        </is>
      </c>
    </row>
    <row r="149">
      <c r="A149" t="inlineStr">
        <is>
          <t>B202</t>
        </is>
      </c>
      <c r="B149" t="inlineStr">
        <is>
          <t>Hispanic/Latino</t>
        </is>
      </c>
      <c r="C149">
        <f>IFERROR(IF(VLOOKUP($A149,'CDS-B'!$A:$L,3,FALSE)="","",(VLOOKUP($A149,'CDS-B'!$A:$L,3,FALSE))),"")</f>
        <v/>
      </c>
      <c r="D149" t="inlineStr">
        <is>
          <t>Enrollment And Persistence</t>
        </is>
      </c>
      <c r="E149" t="inlineStr">
        <is>
          <t>Enrollment by Racial/Ethnic Category</t>
        </is>
      </c>
      <c r="F149" t="inlineStr">
        <is>
          <t>Degree-seeking</t>
        </is>
      </c>
      <c r="G149" t="inlineStr">
        <is>
          <t>Undergraduates</t>
        </is>
      </c>
      <c r="H149" t="inlineStr">
        <is>
          <t>First-time, first-year</t>
        </is>
      </c>
      <c r="I149" t="inlineStr">
        <is>
          <t>Domestic</t>
        </is>
      </c>
      <c r="J149" t="inlineStr">
        <is>
          <t>All</t>
        </is>
      </c>
      <c r="K149" t="inlineStr">
        <is>
          <t>All</t>
        </is>
      </c>
      <c r="L149" t="inlineStr">
        <is>
          <t>Number</t>
        </is>
      </c>
    </row>
    <row r="150">
      <c r="A150" t="inlineStr">
        <is>
          <t>B203</t>
        </is>
      </c>
      <c r="B150" t="inlineStr">
        <is>
          <t>Black or African American, non-Hispanic</t>
        </is>
      </c>
      <c r="C150">
        <f>IFERROR(IF(VLOOKUP($A150,'CDS-B'!$A:$L,3,FALSE)="","",(VLOOKUP($A150,'CDS-B'!$A:$L,3,FALSE))),"")</f>
        <v/>
      </c>
      <c r="D150" t="inlineStr">
        <is>
          <t>Enrollment And Persistence</t>
        </is>
      </c>
      <c r="E150" t="inlineStr">
        <is>
          <t>Enrollment by Racial/Ethnic Category</t>
        </is>
      </c>
      <c r="F150" t="inlineStr">
        <is>
          <t>Degree-seeking</t>
        </is>
      </c>
      <c r="G150" t="inlineStr">
        <is>
          <t>Undergraduates</t>
        </is>
      </c>
      <c r="H150" t="inlineStr">
        <is>
          <t>First-time, first-year</t>
        </is>
      </c>
      <c r="I150" t="inlineStr">
        <is>
          <t>Domestic</t>
        </is>
      </c>
      <c r="J150" t="inlineStr">
        <is>
          <t>All</t>
        </is>
      </c>
      <c r="K150" t="inlineStr">
        <is>
          <t>All</t>
        </is>
      </c>
      <c r="L150" t="inlineStr">
        <is>
          <t>Number</t>
        </is>
      </c>
    </row>
    <row r="151">
      <c r="A151" t="inlineStr">
        <is>
          <t>B204</t>
        </is>
      </c>
      <c r="B151" t="inlineStr">
        <is>
          <t>White, non-Hispanic</t>
        </is>
      </c>
      <c r="C151">
        <f>IFERROR(IF(VLOOKUP($A151,'CDS-B'!$A:$L,3,FALSE)="","",(VLOOKUP($A151,'CDS-B'!$A:$L,3,FALSE))),"")</f>
        <v/>
      </c>
      <c r="D151" t="inlineStr">
        <is>
          <t>Enrollment And Persistence</t>
        </is>
      </c>
      <c r="E151" t="inlineStr">
        <is>
          <t>Enrollment by Racial/Ethnic Category</t>
        </is>
      </c>
      <c r="F151" t="inlineStr">
        <is>
          <t>Degree-seeking</t>
        </is>
      </c>
      <c r="G151" t="inlineStr">
        <is>
          <t>Undergraduates</t>
        </is>
      </c>
      <c r="H151" t="inlineStr">
        <is>
          <t>First-time, first-year</t>
        </is>
      </c>
      <c r="I151" t="inlineStr">
        <is>
          <t>Domestic</t>
        </is>
      </c>
      <c r="J151" t="inlineStr">
        <is>
          <t>All</t>
        </is>
      </c>
      <c r="K151" t="inlineStr">
        <is>
          <t>All</t>
        </is>
      </c>
      <c r="L151" t="inlineStr">
        <is>
          <t>Number</t>
        </is>
      </c>
    </row>
    <row r="152">
      <c r="A152" t="inlineStr">
        <is>
          <t>B205</t>
        </is>
      </c>
      <c r="B152" t="inlineStr">
        <is>
          <t>American Indian or Alaska Native, non-Hispanic</t>
        </is>
      </c>
      <c r="C152">
        <f>IFERROR(IF(VLOOKUP($A152,'CDS-B'!$A:$L,3,FALSE)="","",(VLOOKUP($A152,'CDS-B'!$A:$L,3,FALSE))),"")</f>
        <v/>
      </c>
      <c r="D152" t="inlineStr">
        <is>
          <t>Enrollment And Persistence</t>
        </is>
      </c>
      <c r="E152" t="inlineStr">
        <is>
          <t>Enrollment by Racial/Ethnic Category</t>
        </is>
      </c>
      <c r="F152" t="inlineStr">
        <is>
          <t>Degree-seeking</t>
        </is>
      </c>
      <c r="G152" t="inlineStr">
        <is>
          <t>Undergraduates</t>
        </is>
      </c>
      <c r="H152" t="inlineStr">
        <is>
          <t>First-time, first-year</t>
        </is>
      </c>
      <c r="I152" t="inlineStr">
        <is>
          <t>Domestic</t>
        </is>
      </c>
      <c r="J152" t="inlineStr">
        <is>
          <t>All</t>
        </is>
      </c>
      <c r="K152" t="inlineStr">
        <is>
          <t>All</t>
        </is>
      </c>
      <c r="L152" t="inlineStr">
        <is>
          <t>Number</t>
        </is>
      </c>
    </row>
    <row r="153">
      <c r="A153" t="inlineStr">
        <is>
          <t>B206</t>
        </is>
      </c>
      <c r="B153" t="inlineStr">
        <is>
          <t>Asian, non-Hispanic</t>
        </is>
      </c>
      <c r="C153">
        <f>IFERROR(IF(VLOOKUP($A153,'CDS-B'!$A:$L,3,FALSE)="","",(VLOOKUP($A153,'CDS-B'!$A:$L,3,FALSE))),"")</f>
        <v/>
      </c>
      <c r="D153" t="inlineStr">
        <is>
          <t>Enrollment And Persistence</t>
        </is>
      </c>
      <c r="E153" t="inlineStr">
        <is>
          <t>Enrollment by Racial/Ethnic Category</t>
        </is>
      </c>
      <c r="F153" t="inlineStr">
        <is>
          <t>Degree-seeking</t>
        </is>
      </c>
      <c r="G153" t="inlineStr">
        <is>
          <t>Undergraduates</t>
        </is>
      </c>
      <c r="H153" t="inlineStr">
        <is>
          <t>First-time, first-year</t>
        </is>
      </c>
      <c r="I153" t="inlineStr">
        <is>
          <t>Domestic</t>
        </is>
      </c>
      <c r="J153" t="inlineStr">
        <is>
          <t>All</t>
        </is>
      </c>
      <c r="K153" t="inlineStr">
        <is>
          <t>All</t>
        </is>
      </c>
      <c r="L153" t="inlineStr">
        <is>
          <t>Number</t>
        </is>
      </c>
    </row>
    <row r="154">
      <c r="A154" t="inlineStr">
        <is>
          <t>B207</t>
        </is>
      </c>
      <c r="B154" t="inlineStr">
        <is>
          <t>Native Hawaiian or other Pacific Islander, non-Hispanic</t>
        </is>
      </c>
      <c r="C154">
        <f>IFERROR(IF(VLOOKUP($A154,'CDS-B'!$A:$L,3,FALSE)="","",(VLOOKUP($A154,'CDS-B'!$A:$L,3,FALSE))),"")</f>
        <v/>
      </c>
      <c r="D154" t="inlineStr">
        <is>
          <t>Enrollment And Persistence</t>
        </is>
      </c>
      <c r="E154" t="inlineStr">
        <is>
          <t>Enrollment by Racial/Ethnic Category</t>
        </is>
      </c>
      <c r="F154" t="inlineStr">
        <is>
          <t>Degree-seeking</t>
        </is>
      </c>
      <c r="G154" t="inlineStr">
        <is>
          <t>Undergraduates</t>
        </is>
      </c>
      <c r="H154" t="inlineStr">
        <is>
          <t>First-time, first-year</t>
        </is>
      </c>
      <c r="I154" t="inlineStr">
        <is>
          <t>Domestic</t>
        </is>
      </c>
      <c r="J154" t="inlineStr">
        <is>
          <t>All</t>
        </is>
      </c>
      <c r="K154" t="inlineStr">
        <is>
          <t>All</t>
        </is>
      </c>
      <c r="L154" t="inlineStr">
        <is>
          <t>Number</t>
        </is>
      </c>
    </row>
    <row r="155">
      <c r="A155" t="inlineStr">
        <is>
          <t>B208</t>
        </is>
      </c>
      <c r="B155" t="inlineStr">
        <is>
          <t>Two or more races, non-Hispanic</t>
        </is>
      </c>
      <c r="C155">
        <f>IFERROR(IF(VLOOKUP($A155,'CDS-B'!$A:$L,3,FALSE)="","",(VLOOKUP($A155,'CDS-B'!$A:$L,3,FALSE))),"")</f>
        <v/>
      </c>
      <c r="D155" t="inlineStr">
        <is>
          <t>Enrollment And Persistence</t>
        </is>
      </c>
      <c r="E155" t="inlineStr">
        <is>
          <t>Enrollment by Racial/Ethnic Category</t>
        </is>
      </c>
      <c r="F155" t="inlineStr">
        <is>
          <t>Degree-seeking</t>
        </is>
      </c>
      <c r="G155" t="inlineStr">
        <is>
          <t>Undergraduates</t>
        </is>
      </c>
      <c r="H155" t="inlineStr">
        <is>
          <t>First-time, first-year</t>
        </is>
      </c>
      <c r="I155" t="inlineStr">
        <is>
          <t>Domestic</t>
        </is>
      </c>
      <c r="J155" t="inlineStr">
        <is>
          <t>All</t>
        </is>
      </c>
      <c r="K155" t="inlineStr">
        <is>
          <t>All</t>
        </is>
      </c>
      <c r="L155" t="inlineStr">
        <is>
          <t>Number</t>
        </is>
      </c>
    </row>
    <row r="156">
      <c r="A156" t="inlineStr">
        <is>
          <t>B209</t>
        </is>
      </c>
      <c r="B156" t="inlineStr">
        <is>
          <t>Race and/or ethnicity unknown</t>
        </is>
      </c>
      <c r="C156">
        <f>IFERROR(IF(VLOOKUP($A156,'CDS-B'!$A:$L,3,FALSE)="","",(VLOOKUP($A156,'CDS-B'!$A:$L,3,FALSE))),"")</f>
        <v/>
      </c>
      <c r="D156" t="inlineStr">
        <is>
          <t>Enrollment And Persistence</t>
        </is>
      </c>
      <c r="E156" t="inlineStr">
        <is>
          <t>Enrollment by Racial/Ethnic Category</t>
        </is>
      </c>
      <c r="F156" t="inlineStr">
        <is>
          <t>Degree-seeking</t>
        </is>
      </c>
      <c r="G156" t="inlineStr">
        <is>
          <t>Undergraduates</t>
        </is>
      </c>
      <c r="H156" t="inlineStr">
        <is>
          <t>First-time, first-year</t>
        </is>
      </c>
      <c r="I156" t="inlineStr">
        <is>
          <t>Domestic</t>
        </is>
      </c>
      <c r="J156" t="inlineStr">
        <is>
          <t>All</t>
        </is>
      </c>
      <c r="K156" t="inlineStr">
        <is>
          <t>All</t>
        </is>
      </c>
      <c r="L156" t="inlineStr">
        <is>
          <t>Number</t>
        </is>
      </c>
    </row>
    <row r="157">
      <c r="A157" t="inlineStr">
        <is>
          <t>B210</t>
        </is>
      </c>
      <c r="B157" t="inlineStr">
        <is>
          <t>TOTAL</t>
        </is>
      </c>
      <c r="C157">
        <f>IFERROR(IF(VLOOKUP($A157,'CDS-B'!$A:$L,3,FALSE)="","",(VLOOKUP($A157,'CDS-B'!$A:$L,3,FALSE))),"")</f>
        <v/>
      </c>
      <c r="D157" t="inlineStr">
        <is>
          <t>Enrollment And Persistence</t>
        </is>
      </c>
      <c r="E157" t="inlineStr">
        <is>
          <t>Enrollment by Racial/Ethnic Category</t>
        </is>
      </c>
      <c r="F157" t="inlineStr">
        <is>
          <t>Degree-seeking</t>
        </is>
      </c>
      <c r="G157" t="inlineStr">
        <is>
          <t>Undergraduates</t>
        </is>
      </c>
      <c r="H157" t="inlineStr">
        <is>
          <t>First-time, first-year</t>
        </is>
      </c>
      <c r="I157" t="inlineStr">
        <is>
          <t>Domestic</t>
        </is>
      </c>
      <c r="J157" t="inlineStr">
        <is>
          <t>All</t>
        </is>
      </c>
      <c r="K157" t="inlineStr">
        <is>
          <t>All</t>
        </is>
      </c>
      <c r="L157" t="inlineStr">
        <is>
          <t>Number</t>
        </is>
      </c>
    </row>
    <row r="158">
      <c r="A158" t="inlineStr">
        <is>
          <t>B211</t>
        </is>
      </c>
      <c r="B158" t="inlineStr">
        <is>
          <t>Nonresidents</t>
        </is>
      </c>
      <c r="C158">
        <f>IFERROR(IF(VLOOKUP($A158,'CDS-B'!$A:$L,3,FALSE)="","",(VLOOKUP($A158,'CDS-B'!$A:$L,3,FALSE))),"")</f>
        <v/>
      </c>
      <c r="D158" t="inlineStr">
        <is>
          <t>Enrollment And Persistence</t>
        </is>
      </c>
      <c r="E158" t="inlineStr">
        <is>
          <t>Enrollment by Racial/Ethnic Category</t>
        </is>
      </c>
      <c r="F158" t="inlineStr">
        <is>
          <t>Degree-seeking</t>
        </is>
      </c>
      <c r="G158" t="inlineStr">
        <is>
          <t>Undergraduates</t>
        </is>
      </c>
      <c r="H158" t="inlineStr">
        <is>
          <t>All</t>
        </is>
      </c>
      <c r="I158" t="inlineStr">
        <is>
          <t>Nonresidents</t>
        </is>
      </c>
      <c r="J158" t="inlineStr">
        <is>
          <t>All</t>
        </is>
      </c>
      <c r="K158" t="inlineStr">
        <is>
          <t>All</t>
        </is>
      </c>
      <c r="L158" t="inlineStr">
        <is>
          <t>Number</t>
        </is>
      </c>
    </row>
    <row r="159">
      <c r="A159" t="inlineStr">
        <is>
          <t>B212</t>
        </is>
      </c>
      <c r="B159" t="inlineStr">
        <is>
          <t>Hispanic/Latino</t>
        </is>
      </c>
      <c r="C159">
        <f>IFERROR(IF(VLOOKUP($A159,'CDS-B'!$A:$L,3,FALSE)="","",(VLOOKUP($A159,'CDS-B'!$A:$L,3,FALSE))),"")</f>
        <v/>
      </c>
      <c r="D159" t="inlineStr">
        <is>
          <t>Enrollment And Persistence</t>
        </is>
      </c>
      <c r="E159" t="inlineStr">
        <is>
          <t>Enrollment by Racial/Ethnic Category</t>
        </is>
      </c>
      <c r="F159" t="inlineStr">
        <is>
          <t>Degree-seeking</t>
        </is>
      </c>
      <c r="G159" t="inlineStr">
        <is>
          <t>Undergraduates</t>
        </is>
      </c>
      <c r="H159" t="inlineStr">
        <is>
          <t>All</t>
        </is>
      </c>
      <c r="I159" t="inlineStr">
        <is>
          <t>Domestic</t>
        </is>
      </c>
      <c r="J159" t="inlineStr">
        <is>
          <t>All</t>
        </is>
      </c>
      <c r="K159" t="inlineStr">
        <is>
          <t>All</t>
        </is>
      </c>
      <c r="L159" t="inlineStr">
        <is>
          <t>Number</t>
        </is>
      </c>
    </row>
    <row r="160">
      <c r="A160" t="inlineStr">
        <is>
          <t>B213</t>
        </is>
      </c>
      <c r="B160" t="inlineStr">
        <is>
          <t>Black or African American, non-Hispanic</t>
        </is>
      </c>
      <c r="C160">
        <f>IFERROR(IF(VLOOKUP($A160,'CDS-B'!$A:$L,3,FALSE)="","",(VLOOKUP($A160,'CDS-B'!$A:$L,3,FALSE))),"")</f>
        <v/>
      </c>
      <c r="D160" t="inlineStr">
        <is>
          <t>Enrollment And Persistence</t>
        </is>
      </c>
      <c r="E160" t="inlineStr">
        <is>
          <t>Enrollment by Racial/Ethnic Category</t>
        </is>
      </c>
      <c r="F160" t="inlineStr">
        <is>
          <t>Degree-seeking</t>
        </is>
      </c>
      <c r="G160" t="inlineStr">
        <is>
          <t>Undergraduates</t>
        </is>
      </c>
      <c r="H160" t="inlineStr">
        <is>
          <t>All</t>
        </is>
      </c>
      <c r="I160" t="inlineStr">
        <is>
          <t>Domestic</t>
        </is>
      </c>
      <c r="J160" t="inlineStr">
        <is>
          <t>All</t>
        </is>
      </c>
      <c r="K160" t="inlineStr">
        <is>
          <t>All</t>
        </is>
      </c>
      <c r="L160" t="inlineStr">
        <is>
          <t>Number</t>
        </is>
      </c>
    </row>
    <row r="161">
      <c r="A161" t="inlineStr">
        <is>
          <t>B214</t>
        </is>
      </c>
      <c r="B161" t="inlineStr">
        <is>
          <t>White, non-Hispanic</t>
        </is>
      </c>
      <c r="C161">
        <f>IFERROR(IF(VLOOKUP($A161,'CDS-B'!$A:$L,3,FALSE)="","",(VLOOKUP($A161,'CDS-B'!$A:$L,3,FALSE))),"")</f>
        <v/>
      </c>
      <c r="D161" t="inlineStr">
        <is>
          <t>Enrollment And Persistence</t>
        </is>
      </c>
      <c r="E161" t="inlineStr">
        <is>
          <t>Enrollment by Racial/Ethnic Category</t>
        </is>
      </c>
      <c r="F161" t="inlineStr">
        <is>
          <t>Degree-seeking</t>
        </is>
      </c>
      <c r="G161" t="inlineStr">
        <is>
          <t>Undergraduates</t>
        </is>
      </c>
      <c r="H161" t="inlineStr">
        <is>
          <t>All</t>
        </is>
      </c>
      <c r="I161" t="inlineStr">
        <is>
          <t>Domestic</t>
        </is>
      </c>
      <c r="J161" t="inlineStr">
        <is>
          <t>All</t>
        </is>
      </c>
      <c r="K161" t="inlineStr">
        <is>
          <t>All</t>
        </is>
      </c>
      <c r="L161" t="inlineStr">
        <is>
          <t>Number</t>
        </is>
      </c>
    </row>
    <row r="162">
      <c r="A162" t="inlineStr">
        <is>
          <t>B215</t>
        </is>
      </c>
      <c r="B162" t="inlineStr">
        <is>
          <t>American Indian or Alaska Native, non-Hispanic</t>
        </is>
      </c>
      <c r="C162">
        <f>IFERROR(IF(VLOOKUP($A162,'CDS-B'!$A:$L,3,FALSE)="","",(VLOOKUP($A162,'CDS-B'!$A:$L,3,FALSE))),"")</f>
        <v/>
      </c>
      <c r="D162" t="inlineStr">
        <is>
          <t>Enrollment And Persistence</t>
        </is>
      </c>
      <c r="E162" t="inlineStr">
        <is>
          <t>Enrollment by Racial/Ethnic Category</t>
        </is>
      </c>
      <c r="F162" t="inlineStr">
        <is>
          <t>Degree-seeking</t>
        </is>
      </c>
      <c r="G162" t="inlineStr">
        <is>
          <t>Undergraduates</t>
        </is>
      </c>
      <c r="H162" t="inlineStr">
        <is>
          <t>All</t>
        </is>
      </c>
      <c r="I162" t="inlineStr">
        <is>
          <t>Domestic</t>
        </is>
      </c>
      <c r="J162" t="inlineStr">
        <is>
          <t>All</t>
        </is>
      </c>
      <c r="K162" t="inlineStr">
        <is>
          <t>All</t>
        </is>
      </c>
      <c r="L162" t="inlineStr">
        <is>
          <t>Number</t>
        </is>
      </c>
    </row>
    <row r="163">
      <c r="A163" t="inlineStr">
        <is>
          <t>B216</t>
        </is>
      </c>
      <c r="B163" t="inlineStr">
        <is>
          <t>Asian, non-Hispanic</t>
        </is>
      </c>
      <c r="C163">
        <f>IFERROR(IF(VLOOKUP($A163,'CDS-B'!$A:$L,3,FALSE)="","",(VLOOKUP($A163,'CDS-B'!$A:$L,3,FALSE))),"")</f>
        <v/>
      </c>
      <c r="D163" t="inlineStr">
        <is>
          <t>Enrollment And Persistence</t>
        </is>
      </c>
      <c r="E163" t="inlineStr">
        <is>
          <t>Enrollment by Racial/Ethnic Category</t>
        </is>
      </c>
      <c r="F163" t="inlineStr">
        <is>
          <t>Degree-seeking</t>
        </is>
      </c>
      <c r="G163" t="inlineStr">
        <is>
          <t>Undergraduates</t>
        </is>
      </c>
      <c r="H163" t="inlineStr">
        <is>
          <t>All</t>
        </is>
      </c>
      <c r="I163" t="inlineStr">
        <is>
          <t>Domestic</t>
        </is>
      </c>
      <c r="J163" t="inlineStr">
        <is>
          <t>All</t>
        </is>
      </c>
      <c r="K163" t="inlineStr">
        <is>
          <t>All</t>
        </is>
      </c>
      <c r="L163" t="inlineStr">
        <is>
          <t>Number</t>
        </is>
      </c>
    </row>
    <row r="164">
      <c r="A164" t="inlineStr">
        <is>
          <t>B217</t>
        </is>
      </c>
      <c r="B164" t="inlineStr">
        <is>
          <t>Native Hawaiian or other Pacific Islander, non-Hispanic</t>
        </is>
      </c>
      <c r="C164">
        <f>IFERROR(IF(VLOOKUP($A164,'CDS-B'!$A:$L,3,FALSE)="","",(VLOOKUP($A164,'CDS-B'!$A:$L,3,FALSE))),"")</f>
        <v/>
      </c>
      <c r="D164" t="inlineStr">
        <is>
          <t>Enrollment And Persistence</t>
        </is>
      </c>
      <c r="E164" t="inlineStr">
        <is>
          <t>Enrollment by Racial/Ethnic Category</t>
        </is>
      </c>
      <c r="F164" t="inlineStr">
        <is>
          <t>Degree-seeking</t>
        </is>
      </c>
      <c r="G164" t="inlineStr">
        <is>
          <t>Undergraduates</t>
        </is>
      </c>
      <c r="H164" t="inlineStr">
        <is>
          <t>All</t>
        </is>
      </c>
      <c r="I164" t="inlineStr">
        <is>
          <t>Domestic</t>
        </is>
      </c>
      <c r="J164" t="inlineStr">
        <is>
          <t>All</t>
        </is>
      </c>
      <c r="K164" t="inlineStr">
        <is>
          <t>All</t>
        </is>
      </c>
      <c r="L164" t="inlineStr">
        <is>
          <t>Number</t>
        </is>
      </c>
    </row>
    <row r="165">
      <c r="A165" t="inlineStr">
        <is>
          <t>B218</t>
        </is>
      </c>
      <c r="B165" t="inlineStr">
        <is>
          <t>Two or more races, non-Hispanic</t>
        </is>
      </c>
      <c r="C165">
        <f>IFERROR(IF(VLOOKUP($A165,'CDS-B'!$A:$L,3,FALSE)="","",(VLOOKUP($A165,'CDS-B'!$A:$L,3,FALSE))),"")</f>
        <v/>
      </c>
      <c r="D165" t="inlineStr">
        <is>
          <t>Enrollment And Persistence</t>
        </is>
      </c>
      <c r="E165" t="inlineStr">
        <is>
          <t>Enrollment by Racial/Ethnic Category</t>
        </is>
      </c>
      <c r="F165" t="inlineStr">
        <is>
          <t>Degree-seeking</t>
        </is>
      </c>
      <c r="G165" t="inlineStr">
        <is>
          <t>Undergraduates</t>
        </is>
      </c>
      <c r="H165" t="inlineStr">
        <is>
          <t>All</t>
        </is>
      </c>
      <c r="I165" t="inlineStr">
        <is>
          <t>Domestic</t>
        </is>
      </c>
      <c r="J165" t="inlineStr">
        <is>
          <t>All</t>
        </is>
      </c>
      <c r="K165" t="inlineStr">
        <is>
          <t>All</t>
        </is>
      </c>
      <c r="L165" t="inlineStr">
        <is>
          <t>Number</t>
        </is>
      </c>
    </row>
    <row r="166">
      <c r="A166" t="inlineStr">
        <is>
          <t>B219</t>
        </is>
      </c>
      <c r="B166" t="inlineStr">
        <is>
          <t>Race and/or ethnicity unknown</t>
        </is>
      </c>
      <c r="C166">
        <f>IFERROR(IF(VLOOKUP($A166,'CDS-B'!$A:$L,3,FALSE)="","",(VLOOKUP($A166,'CDS-B'!$A:$L,3,FALSE))),"")</f>
        <v/>
      </c>
      <c r="D166" t="inlineStr">
        <is>
          <t>Enrollment And Persistence</t>
        </is>
      </c>
      <c r="E166" t="inlineStr">
        <is>
          <t>Enrollment by Racial/Ethnic Category</t>
        </is>
      </c>
      <c r="F166" t="inlineStr">
        <is>
          <t>Degree-seeking</t>
        </is>
      </c>
      <c r="G166" t="inlineStr">
        <is>
          <t>Undergraduates</t>
        </is>
      </c>
      <c r="H166" t="inlineStr">
        <is>
          <t>All</t>
        </is>
      </c>
      <c r="I166" t="inlineStr">
        <is>
          <t>Domestic</t>
        </is>
      </c>
      <c r="J166" t="inlineStr">
        <is>
          <t>All</t>
        </is>
      </c>
      <c r="K166" t="inlineStr">
        <is>
          <t>All</t>
        </is>
      </c>
      <c r="L166" t="inlineStr">
        <is>
          <t>Number</t>
        </is>
      </c>
    </row>
    <row r="167">
      <c r="A167" t="inlineStr">
        <is>
          <t>B220</t>
        </is>
      </c>
      <c r="B167" t="inlineStr">
        <is>
          <t>TOTAL</t>
        </is>
      </c>
      <c r="C167">
        <f>IFERROR(IF(VLOOKUP($A167,'CDS-B'!$A:$L,3,FALSE)="","",(VLOOKUP($A167,'CDS-B'!$A:$L,3,FALSE))),"")</f>
        <v/>
      </c>
      <c r="D167" t="inlineStr">
        <is>
          <t>Enrollment And Persistence</t>
        </is>
      </c>
      <c r="E167" t="inlineStr">
        <is>
          <t>Enrollment by Racial/Ethnic Category</t>
        </is>
      </c>
      <c r="F167" t="inlineStr">
        <is>
          <t>Degree-seeking</t>
        </is>
      </c>
      <c r="G167" t="inlineStr">
        <is>
          <t>Undergraduates</t>
        </is>
      </c>
      <c r="H167" t="inlineStr">
        <is>
          <t>All</t>
        </is>
      </c>
      <c r="I167" t="inlineStr">
        <is>
          <t>Domestic</t>
        </is>
      </c>
      <c r="J167" t="inlineStr">
        <is>
          <t>All</t>
        </is>
      </c>
      <c r="K167" t="inlineStr">
        <is>
          <t>All</t>
        </is>
      </c>
      <c r="L167" t="inlineStr">
        <is>
          <t>Number</t>
        </is>
      </c>
    </row>
    <row r="168">
      <c r="A168" t="inlineStr">
        <is>
          <t>B221</t>
        </is>
      </c>
      <c r="B168" t="inlineStr">
        <is>
          <t>Nonresidents</t>
        </is>
      </c>
      <c r="C168">
        <f>IFERROR(IF(VLOOKUP($A168,'CDS-B'!$A:$L,3,FALSE)="","",(VLOOKUP($A168,'CDS-B'!$A:$L,3,FALSE))),"")</f>
        <v/>
      </c>
      <c r="D168" t="inlineStr">
        <is>
          <t>Enrollment And Persistence</t>
        </is>
      </c>
      <c r="E168" t="inlineStr">
        <is>
          <t>Enrollment by Racial/Ethnic Category</t>
        </is>
      </c>
      <c r="F168" t="inlineStr">
        <is>
          <t>All</t>
        </is>
      </c>
      <c r="G168" t="inlineStr">
        <is>
          <t>Undergraduates</t>
        </is>
      </c>
      <c r="H168" t="inlineStr">
        <is>
          <t>All</t>
        </is>
      </c>
      <c r="I168" t="inlineStr">
        <is>
          <t>Nonresidents</t>
        </is>
      </c>
      <c r="J168" t="inlineStr">
        <is>
          <t>All</t>
        </is>
      </c>
      <c r="K168" t="inlineStr">
        <is>
          <t>All</t>
        </is>
      </c>
      <c r="L168" t="inlineStr">
        <is>
          <t>Number</t>
        </is>
      </c>
    </row>
    <row r="169">
      <c r="A169" t="inlineStr">
        <is>
          <t>B222</t>
        </is>
      </c>
      <c r="B169" t="inlineStr">
        <is>
          <t>Hispanic/Latino</t>
        </is>
      </c>
      <c r="C169">
        <f>IFERROR(IF(VLOOKUP($A169,'CDS-B'!$A:$L,3,FALSE)="","",(VLOOKUP($A169,'CDS-B'!$A:$L,3,FALSE))),"")</f>
        <v/>
      </c>
      <c r="D169" t="inlineStr">
        <is>
          <t>Enrollment And Persistence</t>
        </is>
      </c>
      <c r="E169" t="inlineStr">
        <is>
          <t>Enrollment by Racial/Ethnic Category</t>
        </is>
      </c>
      <c r="F169" t="inlineStr">
        <is>
          <t>All</t>
        </is>
      </c>
      <c r="G169" t="inlineStr">
        <is>
          <t>Undergraduates</t>
        </is>
      </c>
      <c r="H169" t="inlineStr">
        <is>
          <t>All</t>
        </is>
      </c>
      <c r="I169" t="inlineStr">
        <is>
          <t>Domestic</t>
        </is>
      </c>
      <c r="J169" t="inlineStr">
        <is>
          <t>All</t>
        </is>
      </c>
      <c r="K169" t="inlineStr">
        <is>
          <t>All</t>
        </is>
      </c>
      <c r="L169" t="inlineStr">
        <is>
          <t>Number</t>
        </is>
      </c>
    </row>
    <row r="170">
      <c r="A170" t="inlineStr">
        <is>
          <t>B223</t>
        </is>
      </c>
      <c r="B170" t="inlineStr">
        <is>
          <t>Black or African American, non-Hispanic</t>
        </is>
      </c>
      <c r="C170">
        <f>IFERROR(IF(VLOOKUP($A170,'CDS-B'!$A:$L,3,FALSE)="","",(VLOOKUP($A170,'CDS-B'!$A:$L,3,FALSE))),"")</f>
        <v/>
      </c>
      <c r="D170" t="inlineStr">
        <is>
          <t>Enrollment And Persistence</t>
        </is>
      </c>
      <c r="E170" t="inlineStr">
        <is>
          <t>Enrollment by Racial/Ethnic Category</t>
        </is>
      </c>
      <c r="F170" t="inlineStr">
        <is>
          <t>All</t>
        </is>
      </c>
      <c r="G170" t="inlineStr">
        <is>
          <t>Undergraduates</t>
        </is>
      </c>
      <c r="H170" t="inlineStr">
        <is>
          <t>All</t>
        </is>
      </c>
      <c r="I170" t="inlineStr">
        <is>
          <t>Domestic</t>
        </is>
      </c>
      <c r="J170" t="inlineStr">
        <is>
          <t>All</t>
        </is>
      </c>
      <c r="K170" t="inlineStr">
        <is>
          <t>All</t>
        </is>
      </c>
      <c r="L170" t="inlineStr">
        <is>
          <t>Number</t>
        </is>
      </c>
    </row>
    <row r="171">
      <c r="A171" t="inlineStr">
        <is>
          <t>B224</t>
        </is>
      </c>
      <c r="B171" t="inlineStr">
        <is>
          <t>White, non-Hispanic</t>
        </is>
      </c>
      <c r="C171">
        <f>IFERROR(IF(VLOOKUP($A171,'CDS-B'!$A:$L,3,FALSE)="","",(VLOOKUP($A171,'CDS-B'!$A:$L,3,FALSE))),"")</f>
        <v/>
      </c>
      <c r="D171" t="inlineStr">
        <is>
          <t>Enrollment And Persistence</t>
        </is>
      </c>
      <c r="E171" t="inlineStr">
        <is>
          <t>Enrollment by Racial/Ethnic Category</t>
        </is>
      </c>
      <c r="F171" t="inlineStr">
        <is>
          <t>All</t>
        </is>
      </c>
      <c r="G171" t="inlineStr">
        <is>
          <t>Undergraduates</t>
        </is>
      </c>
      <c r="H171" t="inlineStr">
        <is>
          <t>All</t>
        </is>
      </c>
      <c r="I171" t="inlineStr">
        <is>
          <t>Domestic</t>
        </is>
      </c>
      <c r="J171" t="inlineStr">
        <is>
          <t>All</t>
        </is>
      </c>
      <c r="K171" t="inlineStr">
        <is>
          <t>All</t>
        </is>
      </c>
      <c r="L171" t="inlineStr">
        <is>
          <t>Number</t>
        </is>
      </c>
    </row>
    <row r="172">
      <c r="A172" t="inlineStr">
        <is>
          <t>B225</t>
        </is>
      </c>
      <c r="B172" t="inlineStr">
        <is>
          <t>American Indian or Alaska Native, non-Hispanic</t>
        </is>
      </c>
      <c r="C172">
        <f>IFERROR(IF(VLOOKUP($A172,'CDS-B'!$A:$L,3,FALSE)="","",(VLOOKUP($A172,'CDS-B'!$A:$L,3,FALSE))),"")</f>
        <v/>
      </c>
      <c r="D172" t="inlineStr">
        <is>
          <t>Enrollment And Persistence</t>
        </is>
      </c>
      <c r="E172" t="inlineStr">
        <is>
          <t>Enrollment by Racial/Ethnic Category</t>
        </is>
      </c>
      <c r="F172" t="inlineStr">
        <is>
          <t>All</t>
        </is>
      </c>
      <c r="G172" t="inlineStr">
        <is>
          <t>Undergraduates</t>
        </is>
      </c>
      <c r="H172" t="inlineStr">
        <is>
          <t>All</t>
        </is>
      </c>
      <c r="I172" t="inlineStr">
        <is>
          <t>Domestic</t>
        </is>
      </c>
      <c r="J172" t="inlineStr">
        <is>
          <t>All</t>
        </is>
      </c>
      <c r="K172" t="inlineStr">
        <is>
          <t>All</t>
        </is>
      </c>
      <c r="L172" t="inlineStr">
        <is>
          <t>Number</t>
        </is>
      </c>
    </row>
    <row r="173">
      <c r="A173" t="inlineStr">
        <is>
          <t>B226</t>
        </is>
      </c>
      <c r="B173" t="inlineStr">
        <is>
          <t>Asian, non-Hispanic</t>
        </is>
      </c>
      <c r="C173">
        <f>IFERROR(IF(VLOOKUP($A173,'CDS-B'!$A:$L,3,FALSE)="","",(VLOOKUP($A173,'CDS-B'!$A:$L,3,FALSE))),"")</f>
        <v/>
      </c>
      <c r="D173" t="inlineStr">
        <is>
          <t>Enrollment And Persistence</t>
        </is>
      </c>
      <c r="E173" t="inlineStr">
        <is>
          <t>Enrollment by Racial/Ethnic Category</t>
        </is>
      </c>
      <c r="F173" t="inlineStr">
        <is>
          <t>All</t>
        </is>
      </c>
      <c r="G173" t="inlineStr">
        <is>
          <t>Undergraduates</t>
        </is>
      </c>
      <c r="H173" t="inlineStr">
        <is>
          <t>All</t>
        </is>
      </c>
      <c r="I173" t="inlineStr">
        <is>
          <t>Domestic</t>
        </is>
      </c>
      <c r="J173" t="inlineStr">
        <is>
          <t>All</t>
        </is>
      </c>
      <c r="K173" t="inlineStr">
        <is>
          <t>All</t>
        </is>
      </c>
      <c r="L173" t="inlineStr">
        <is>
          <t>Number</t>
        </is>
      </c>
    </row>
    <row r="174">
      <c r="A174" t="inlineStr">
        <is>
          <t>B227</t>
        </is>
      </c>
      <c r="B174" t="inlineStr">
        <is>
          <t>Native Hawaiian or other Pacific Islander, non-Hispanic</t>
        </is>
      </c>
      <c r="C174">
        <f>IFERROR(IF(VLOOKUP($A174,'CDS-B'!$A:$L,3,FALSE)="","",(VLOOKUP($A174,'CDS-B'!$A:$L,3,FALSE))),"")</f>
        <v/>
      </c>
      <c r="D174" t="inlineStr">
        <is>
          <t>Enrollment And Persistence</t>
        </is>
      </c>
      <c r="E174" t="inlineStr">
        <is>
          <t>Enrollment by Racial/Ethnic Category</t>
        </is>
      </c>
      <c r="F174" t="inlineStr">
        <is>
          <t>All</t>
        </is>
      </c>
      <c r="G174" t="inlineStr">
        <is>
          <t>Undergraduates</t>
        </is>
      </c>
      <c r="H174" t="inlineStr">
        <is>
          <t>All</t>
        </is>
      </c>
      <c r="I174" t="inlineStr">
        <is>
          <t>Domestic</t>
        </is>
      </c>
      <c r="J174" t="inlineStr">
        <is>
          <t>All</t>
        </is>
      </c>
      <c r="K174" t="inlineStr">
        <is>
          <t>All</t>
        </is>
      </c>
      <c r="L174" t="inlineStr">
        <is>
          <t>Number</t>
        </is>
      </c>
    </row>
    <row r="175">
      <c r="A175" t="inlineStr">
        <is>
          <t>B228</t>
        </is>
      </c>
      <c r="B175" t="inlineStr">
        <is>
          <t>Two or more races, non-Hispanic</t>
        </is>
      </c>
      <c r="C175">
        <f>IFERROR(IF(VLOOKUP($A175,'CDS-B'!$A:$L,3,FALSE)="","",(VLOOKUP($A175,'CDS-B'!$A:$L,3,FALSE))),"")</f>
        <v/>
      </c>
      <c r="D175" t="inlineStr">
        <is>
          <t>Enrollment And Persistence</t>
        </is>
      </c>
      <c r="E175" t="inlineStr">
        <is>
          <t>Enrollment by Racial/Ethnic Category</t>
        </is>
      </c>
      <c r="F175" t="inlineStr">
        <is>
          <t>All</t>
        </is>
      </c>
      <c r="G175" t="inlineStr">
        <is>
          <t>Undergraduates</t>
        </is>
      </c>
      <c r="H175" t="inlineStr">
        <is>
          <t>All</t>
        </is>
      </c>
      <c r="I175" t="inlineStr">
        <is>
          <t>Domestic</t>
        </is>
      </c>
      <c r="J175" t="inlineStr">
        <is>
          <t>All</t>
        </is>
      </c>
      <c r="K175" t="inlineStr">
        <is>
          <t>All</t>
        </is>
      </c>
      <c r="L175" t="inlineStr">
        <is>
          <t>Number</t>
        </is>
      </c>
    </row>
    <row r="176">
      <c r="A176" t="inlineStr">
        <is>
          <t>B229</t>
        </is>
      </c>
      <c r="B176" t="inlineStr">
        <is>
          <t>Race and/or ethnicity unknown</t>
        </is>
      </c>
      <c r="C176">
        <f>IFERROR(IF(VLOOKUP($A176,'CDS-B'!$A:$L,3,FALSE)="","",(VLOOKUP($A176,'CDS-B'!$A:$L,3,FALSE))),"")</f>
        <v/>
      </c>
      <c r="D176" t="inlineStr">
        <is>
          <t>Enrollment And Persistence</t>
        </is>
      </c>
      <c r="E176" t="inlineStr">
        <is>
          <t>Enrollment by Racial/Ethnic Category</t>
        </is>
      </c>
      <c r="F176" t="inlineStr">
        <is>
          <t>All</t>
        </is>
      </c>
      <c r="G176" t="inlineStr">
        <is>
          <t>Undergraduates</t>
        </is>
      </c>
      <c r="H176" t="inlineStr">
        <is>
          <t>All</t>
        </is>
      </c>
      <c r="I176" t="inlineStr">
        <is>
          <t>Domestic</t>
        </is>
      </c>
      <c r="J176" t="inlineStr">
        <is>
          <t>All</t>
        </is>
      </c>
      <c r="K176" t="inlineStr">
        <is>
          <t>All</t>
        </is>
      </c>
      <c r="L176" t="inlineStr">
        <is>
          <t>Number</t>
        </is>
      </c>
    </row>
    <row r="177">
      <c r="A177" t="inlineStr">
        <is>
          <t>B230</t>
        </is>
      </c>
      <c r="B177" t="inlineStr">
        <is>
          <t>TOTAL</t>
        </is>
      </c>
      <c r="C177">
        <f>IFERROR(IF(VLOOKUP($A177,'CDS-B'!$A:$L,3,FALSE)="","",(VLOOKUP($A177,'CDS-B'!$A:$L,3,FALSE))),"")</f>
        <v/>
      </c>
      <c r="D177" t="inlineStr">
        <is>
          <t>Enrollment And Persistence</t>
        </is>
      </c>
      <c r="E177" t="inlineStr">
        <is>
          <t>Enrollment by Racial/Ethnic Category</t>
        </is>
      </c>
      <c r="F177" t="inlineStr">
        <is>
          <t>All</t>
        </is>
      </c>
      <c r="G177" t="inlineStr">
        <is>
          <t>Undergraduates</t>
        </is>
      </c>
      <c r="H177" t="inlineStr">
        <is>
          <t>All</t>
        </is>
      </c>
      <c r="I177" t="inlineStr">
        <is>
          <t>Domestic</t>
        </is>
      </c>
      <c r="J177" t="inlineStr">
        <is>
          <t>All</t>
        </is>
      </c>
      <c r="K177" t="inlineStr">
        <is>
          <t>All</t>
        </is>
      </c>
      <c r="L177" t="inlineStr">
        <is>
          <t>Number</t>
        </is>
      </c>
    </row>
    <row r="178">
      <c r="A178" t="inlineStr">
        <is>
          <t>B301</t>
        </is>
      </c>
      <c r="B178" t="inlineStr">
        <is>
          <t>Certificate/diploma</t>
        </is>
      </c>
      <c r="C178">
        <f>IFERROR(IF(VLOOKUP($A178,'CDS-B'!$A:$L,3,FALSE)="","",(VLOOKUP($A178,'CDS-B'!$A:$L,3,FALSE))),"")</f>
        <v/>
      </c>
      <c r="D178" t="inlineStr">
        <is>
          <t>Enrollment And Persistence</t>
        </is>
      </c>
      <c r="E178" t="inlineStr">
        <is>
          <t>Persistence</t>
        </is>
      </c>
      <c r="F178" t="inlineStr">
        <is>
          <t>All</t>
        </is>
      </c>
      <c r="G178" t="inlineStr">
        <is>
          <t>All</t>
        </is>
      </c>
      <c r="H178" t="inlineStr">
        <is>
          <t>All</t>
        </is>
      </c>
      <c r="I178" t="inlineStr">
        <is>
          <t>All</t>
        </is>
      </c>
      <c r="J178" t="inlineStr">
        <is>
          <t>All</t>
        </is>
      </c>
      <c r="K178" t="inlineStr">
        <is>
          <t>All</t>
        </is>
      </c>
      <c r="L178" t="inlineStr">
        <is>
          <t>Number</t>
        </is>
      </c>
    </row>
    <row r="179">
      <c r="A179" t="inlineStr">
        <is>
          <t>B302</t>
        </is>
      </c>
      <c r="B179" t="inlineStr">
        <is>
          <t>Associate degrees</t>
        </is>
      </c>
      <c r="C179">
        <f>IFERROR(IF(VLOOKUP($A179,'CDS-B'!$A:$L,3,FALSE)="","",(VLOOKUP($A179,'CDS-B'!$A:$L,3,FALSE))),"")</f>
        <v/>
      </c>
      <c r="D179" t="inlineStr">
        <is>
          <t>Enrollment And Persistence</t>
        </is>
      </c>
      <c r="E179" t="inlineStr">
        <is>
          <t>Persistence</t>
        </is>
      </c>
      <c r="F179" t="inlineStr">
        <is>
          <t>All</t>
        </is>
      </c>
      <c r="G179" t="inlineStr">
        <is>
          <t>All</t>
        </is>
      </c>
      <c r="H179" t="inlineStr">
        <is>
          <t>All</t>
        </is>
      </c>
      <c r="I179" t="inlineStr">
        <is>
          <t>All</t>
        </is>
      </c>
      <c r="J179" t="inlineStr">
        <is>
          <t>All</t>
        </is>
      </c>
      <c r="K179" t="inlineStr">
        <is>
          <t>All</t>
        </is>
      </c>
      <c r="L179" t="inlineStr">
        <is>
          <t>Number</t>
        </is>
      </c>
    </row>
    <row r="180">
      <c r="A180" t="inlineStr">
        <is>
          <t>B303</t>
        </is>
      </c>
      <c r="B180" t="inlineStr">
        <is>
          <t>Bachelor's degrees</t>
        </is>
      </c>
      <c r="C180">
        <f>IFERROR(IF(VLOOKUP($A180,'CDS-B'!$A:$L,3,FALSE)="","",(VLOOKUP($A180,'CDS-B'!$A:$L,3,FALSE))),"")</f>
        <v/>
      </c>
      <c r="D180" t="inlineStr">
        <is>
          <t>Enrollment And Persistence</t>
        </is>
      </c>
      <c r="E180" t="inlineStr">
        <is>
          <t>Persistence</t>
        </is>
      </c>
      <c r="F180" t="inlineStr">
        <is>
          <t>All</t>
        </is>
      </c>
      <c r="G180" t="inlineStr">
        <is>
          <t>All</t>
        </is>
      </c>
      <c r="H180" t="inlineStr">
        <is>
          <t>All</t>
        </is>
      </c>
      <c r="I180" t="inlineStr">
        <is>
          <t>All</t>
        </is>
      </c>
      <c r="J180" t="inlineStr">
        <is>
          <t>All</t>
        </is>
      </c>
      <c r="K180" t="inlineStr">
        <is>
          <t>All</t>
        </is>
      </c>
      <c r="L180" t="inlineStr">
        <is>
          <t>Number</t>
        </is>
      </c>
    </row>
    <row r="181">
      <c r="A181" t="inlineStr">
        <is>
          <t>B304</t>
        </is>
      </c>
      <c r="B181" t="inlineStr">
        <is>
          <t>Postbachelor's certificates</t>
        </is>
      </c>
      <c r="C181">
        <f>IFERROR(IF(VLOOKUP($A181,'CDS-B'!$A:$L,3,FALSE)="","",(VLOOKUP($A181,'CDS-B'!$A:$L,3,FALSE))),"")</f>
        <v/>
      </c>
      <c r="D181" t="inlineStr">
        <is>
          <t>Enrollment And Persistence</t>
        </is>
      </c>
      <c r="E181" t="inlineStr">
        <is>
          <t>Persistence</t>
        </is>
      </c>
      <c r="F181" t="inlineStr">
        <is>
          <t>All</t>
        </is>
      </c>
      <c r="G181" t="inlineStr">
        <is>
          <t>All</t>
        </is>
      </c>
      <c r="H181" t="inlineStr">
        <is>
          <t>All</t>
        </is>
      </c>
      <c r="I181" t="inlineStr">
        <is>
          <t>All</t>
        </is>
      </c>
      <c r="J181" t="inlineStr">
        <is>
          <t>All</t>
        </is>
      </c>
      <c r="K181" t="inlineStr">
        <is>
          <t>All</t>
        </is>
      </c>
      <c r="L181" t="inlineStr">
        <is>
          <t>Number</t>
        </is>
      </c>
    </row>
    <row r="182">
      <c r="A182" t="inlineStr">
        <is>
          <t>B305</t>
        </is>
      </c>
      <c r="B182" t="inlineStr">
        <is>
          <t>Master's degrees</t>
        </is>
      </c>
      <c r="C182">
        <f>IFERROR(IF(VLOOKUP($A182,'CDS-B'!$A:$L,3,FALSE)="","",(VLOOKUP($A182,'CDS-B'!$A:$L,3,FALSE))),"")</f>
        <v/>
      </c>
      <c r="D182" t="inlineStr">
        <is>
          <t>Enrollment And Persistence</t>
        </is>
      </c>
      <c r="E182" t="inlineStr">
        <is>
          <t>Persistence</t>
        </is>
      </c>
      <c r="F182" t="inlineStr">
        <is>
          <t>All</t>
        </is>
      </c>
      <c r="G182" t="inlineStr">
        <is>
          <t>All</t>
        </is>
      </c>
      <c r="H182" t="inlineStr">
        <is>
          <t>All</t>
        </is>
      </c>
      <c r="I182" t="inlineStr">
        <is>
          <t>All</t>
        </is>
      </c>
      <c r="J182" t="inlineStr">
        <is>
          <t>All</t>
        </is>
      </c>
      <c r="K182" t="inlineStr">
        <is>
          <t>All</t>
        </is>
      </c>
      <c r="L182" t="inlineStr">
        <is>
          <t>Number</t>
        </is>
      </c>
    </row>
    <row r="183">
      <c r="A183" t="inlineStr">
        <is>
          <t>B306</t>
        </is>
      </c>
      <c r="B183" t="inlineStr">
        <is>
          <t>Post-Master's certificates</t>
        </is>
      </c>
      <c r="C183">
        <f>IFERROR(IF(VLOOKUP($A183,'CDS-B'!$A:$L,3,FALSE)="","",(VLOOKUP($A183,'CDS-B'!$A:$L,3,FALSE))),"")</f>
        <v/>
      </c>
      <c r="D183" t="inlineStr">
        <is>
          <t>Enrollment And Persistence</t>
        </is>
      </c>
      <c r="E183" t="inlineStr">
        <is>
          <t>Persistence</t>
        </is>
      </c>
      <c r="F183" t="inlineStr">
        <is>
          <t>All</t>
        </is>
      </c>
      <c r="G183" t="inlineStr">
        <is>
          <t>All</t>
        </is>
      </c>
      <c r="H183" t="inlineStr">
        <is>
          <t>All</t>
        </is>
      </c>
      <c r="I183" t="inlineStr">
        <is>
          <t>All</t>
        </is>
      </c>
      <c r="J183" t="inlineStr">
        <is>
          <t>All</t>
        </is>
      </c>
      <c r="K183" t="inlineStr">
        <is>
          <t>All</t>
        </is>
      </c>
      <c r="L183" t="inlineStr">
        <is>
          <t>Number</t>
        </is>
      </c>
    </row>
    <row r="184">
      <c r="A184" t="inlineStr">
        <is>
          <t>B307</t>
        </is>
      </c>
      <c r="B184" t="inlineStr">
        <is>
          <t>Doctoral degrees – research/scholarship</t>
        </is>
      </c>
      <c r="C184">
        <f>IFERROR(IF(VLOOKUP($A184,'CDS-B'!$A:$L,3,FALSE)="","",(VLOOKUP($A184,'CDS-B'!$A:$L,3,FALSE))),"")</f>
        <v/>
      </c>
      <c r="D184" t="inlineStr">
        <is>
          <t>Enrollment And Persistence</t>
        </is>
      </c>
      <c r="E184" t="inlineStr">
        <is>
          <t>Persistence</t>
        </is>
      </c>
      <c r="F184" t="inlineStr">
        <is>
          <t>All</t>
        </is>
      </c>
      <c r="G184" t="inlineStr">
        <is>
          <t>All</t>
        </is>
      </c>
      <c r="H184" t="inlineStr">
        <is>
          <t>All</t>
        </is>
      </c>
      <c r="I184" t="inlineStr">
        <is>
          <t>All</t>
        </is>
      </c>
      <c r="J184" t="inlineStr">
        <is>
          <t>All</t>
        </is>
      </c>
      <c r="K184" t="inlineStr">
        <is>
          <t>All</t>
        </is>
      </c>
      <c r="L184" t="inlineStr">
        <is>
          <t>Number</t>
        </is>
      </c>
    </row>
    <row r="185">
      <c r="A185" t="inlineStr">
        <is>
          <t>B308</t>
        </is>
      </c>
      <c r="B185" t="inlineStr">
        <is>
          <t>Doctoral degrees – professional practice</t>
        </is>
      </c>
      <c r="C185">
        <f>IFERROR(IF(VLOOKUP($A185,'CDS-B'!$A:$L,3,FALSE)="","",(VLOOKUP($A185,'CDS-B'!$A:$L,3,FALSE))),"")</f>
        <v/>
      </c>
      <c r="D185" t="inlineStr">
        <is>
          <t>Enrollment And Persistence</t>
        </is>
      </c>
      <c r="E185" t="inlineStr">
        <is>
          <t>Persistence</t>
        </is>
      </c>
      <c r="F185" t="inlineStr">
        <is>
          <t>All</t>
        </is>
      </c>
      <c r="G185" t="inlineStr">
        <is>
          <t>All</t>
        </is>
      </c>
      <c r="H185" t="inlineStr">
        <is>
          <t>All</t>
        </is>
      </c>
      <c r="I185" t="inlineStr">
        <is>
          <t>All</t>
        </is>
      </c>
      <c r="J185" t="inlineStr">
        <is>
          <t>All</t>
        </is>
      </c>
      <c r="K185" t="inlineStr">
        <is>
          <t>All</t>
        </is>
      </c>
      <c r="L185" t="inlineStr">
        <is>
          <t>Number</t>
        </is>
      </c>
    </row>
    <row r="186">
      <c r="A186" t="inlineStr">
        <is>
          <t>B309</t>
        </is>
      </c>
      <c r="B186" t="inlineStr">
        <is>
          <t>Doctoral degrees – other</t>
        </is>
      </c>
      <c r="C186">
        <f>IFERROR(IF(VLOOKUP($A186,'CDS-B'!$A:$L,3,FALSE)="","",(VLOOKUP($A186,'CDS-B'!$A:$L,3,FALSE))),"")</f>
        <v/>
      </c>
      <c r="D186" t="inlineStr">
        <is>
          <t>Enrollment And Persistence</t>
        </is>
      </c>
      <c r="E186" t="inlineStr">
        <is>
          <t>Persistence</t>
        </is>
      </c>
      <c r="F186" t="inlineStr">
        <is>
          <t>All</t>
        </is>
      </c>
      <c r="G186" t="inlineStr">
        <is>
          <t>All</t>
        </is>
      </c>
      <c r="H186" t="inlineStr">
        <is>
          <t>All</t>
        </is>
      </c>
      <c r="I186" t="inlineStr">
        <is>
          <t>All</t>
        </is>
      </c>
      <c r="J186" t="inlineStr">
        <is>
          <t>All</t>
        </is>
      </c>
      <c r="K186" t="inlineStr">
        <is>
          <t>All</t>
        </is>
      </c>
      <c r="L186" t="inlineStr">
        <is>
          <t>Number</t>
        </is>
      </c>
    </row>
    <row r="187">
      <c r="A187" t="inlineStr">
        <is>
          <t>B401</t>
        </is>
      </c>
      <c r="B187" t="inlineStr">
        <is>
          <t>Recipients of a Federal Pell Grant</t>
        </is>
      </c>
      <c r="C187">
        <f>IFERROR(IF(VLOOKUP($A187,'CDS-B'!$A:$L,3,FALSE)="","",(VLOOKUP($A187,'CDS-B'!$A:$L,3,FALSE))),"")</f>
        <v/>
      </c>
      <c r="D187" t="inlineStr">
        <is>
          <t>Enrollment And Persistence</t>
        </is>
      </c>
      <c r="E187" t="inlineStr">
        <is>
          <t>Graduation Rates</t>
        </is>
      </c>
      <c r="F187" t="inlineStr">
        <is>
          <t>Four Year</t>
        </is>
      </c>
      <c r="G187" t="inlineStr">
        <is>
          <t>Initial Cohort</t>
        </is>
      </c>
      <c r="H187" t="inlineStr">
        <is>
          <t>Current Cohort</t>
        </is>
      </c>
      <c r="I187" t="inlineStr">
        <is>
          <t>All</t>
        </is>
      </c>
      <c r="J187" t="inlineStr">
        <is>
          <t>All</t>
        </is>
      </c>
      <c r="K187" t="inlineStr">
        <is>
          <t>All</t>
        </is>
      </c>
      <c r="L187" t="inlineStr">
        <is>
          <t>Number</t>
        </is>
      </c>
    </row>
    <row r="188">
      <c r="A188" t="inlineStr">
        <is>
          <t>B402</t>
        </is>
      </c>
      <c r="B188" t="inlineStr">
        <is>
          <t>Recipients of a Subsidized Stafford Loan who did not receive a Pell Grant</t>
        </is>
      </c>
      <c r="C188">
        <f>IFERROR(IF(VLOOKUP($A188,'CDS-B'!$A:$L,3,FALSE)="","",(VLOOKUP($A188,'CDS-B'!$A:$L,3,FALSE))),"")</f>
        <v/>
      </c>
      <c r="D188" t="inlineStr">
        <is>
          <t>Enrollment And Persistence</t>
        </is>
      </c>
      <c r="E188" t="inlineStr">
        <is>
          <t>Graduation Rates</t>
        </is>
      </c>
      <c r="F188" t="inlineStr">
        <is>
          <t>Four Year</t>
        </is>
      </c>
      <c r="G188" t="inlineStr">
        <is>
          <t>Initial Cohort</t>
        </is>
      </c>
      <c r="H188" t="inlineStr">
        <is>
          <t>Current Cohort</t>
        </is>
      </c>
      <c r="I188" t="inlineStr">
        <is>
          <t>All</t>
        </is>
      </c>
      <c r="J188" t="inlineStr">
        <is>
          <t>All</t>
        </is>
      </c>
      <c r="K188" t="inlineStr">
        <is>
          <t>All</t>
        </is>
      </c>
      <c r="L188" t="inlineStr">
        <is>
          <t>Number</t>
        </is>
      </c>
    </row>
    <row r="189">
      <c r="A189" t="inlineStr">
        <is>
          <t>B403</t>
        </is>
      </c>
      <c r="B189" t="inlineStr">
        <is>
          <t>Students who did not receive either a Pell Grant or a subsidized Stafford Loan</t>
        </is>
      </c>
      <c r="C189">
        <f>IFERROR(IF(VLOOKUP($A189,'CDS-B'!$A:$L,3,FALSE)="","",(VLOOKUP($A189,'CDS-B'!$A:$L,3,FALSE))),"")</f>
        <v/>
      </c>
      <c r="D189" t="inlineStr">
        <is>
          <t>Enrollment And Persistence</t>
        </is>
      </c>
      <c r="E189" t="inlineStr">
        <is>
          <t>Graduation Rates</t>
        </is>
      </c>
      <c r="F189" t="inlineStr">
        <is>
          <t>Four Year</t>
        </is>
      </c>
      <c r="G189" t="inlineStr">
        <is>
          <t>Initial Cohort</t>
        </is>
      </c>
      <c r="H189" t="inlineStr">
        <is>
          <t>Current Cohort</t>
        </is>
      </c>
      <c r="I189" t="inlineStr">
        <is>
          <t>All</t>
        </is>
      </c>
      <c r="J189" t="inlineStr">
        <is>
          <t>All</t>
        </is>
      </c>
      <c r="K189" t="inlineStr">
        <is>
          <t>All</t>
        </is>
      </c>
      <c r="L189" t="inlineStr">
        <is>
          <t>Number</t>
        </is>
      </c>
    </row>
    <row r="190">
      <c r="A190" t="inlineStr">
        <is>
          <t>B404</t>
        </is>
      </c>
      <c r="B190" t="inlineStr">
        <is>
          <t xml:space="preserve">Total </t>
        </is>
      </c>
      <c r="C190">
        <f>IFERROR(IF(VLOOKUP($A190,'CDS-B'!$A:$L,3,FALSE)="","",(VLOOKUP($A190,'CDS-B'!$A:$L,3,FALSE))),"")</f>
        <v/>
      </c>
      <c r="D190" t="inlineStr">
        <is>
          <t>Enrollment And Persistence</t>
        </is>
      </c>
      <c r="E190" t="inlineStr">
        <is>
          <t>Graduation Rates</t>
        </is>
      </c>
      <c r="F190" t="inlineStr">
        <is>
          <t>Four Year</t>
        </is>
      </c>
      <c r="G190" t="inlineStr">
        <is>
          <t>Initial Cohort</t>
        </is>
      </c>
      <c r="H190" t="inlineStr">
        <is>
          <t>Current Cohort</t>
        </is>
      </c>
      <c r="I190" t="inlineStr">
        <is>
          <t>All</t>
        </is>
      </c>
      <c r="J190" t="inlineStr">
        <is>
          <t>All</t>
        </is>
      </c>
      <c r="K190" t="inlineStr">
        <is>
          <t>All</t>
        </is>
      </c>
      <c r="L190" t="inlineStr">
        <is>
          <t>Number</t>
        </is>
      </c>
    </row>
    <row r="191">
      <c r="A191" t="inlineStr">
        <is>
          <t>B405</t>
        </is>
      </c>
      <c r="B191" t="inlineStr">
        <is>
          <t>Recipients of a Federal Pell Grant</t>
        </is>
      </c>
      <c r="C191">
        <f>IFERROR(IF(VLOOKUP($A191,'CDS-B'!$A:$L,3,FALSE)="","",(VLOOKUP($A191,'CDS-B'!$A:$L,3,FALSE))),"")</f>
        <v/>
      </c>
      <c r="D191" t="inlineStr">
        <is>
          <t>Enrollment And Persistence</t>
        </is>
      </c>
      <c r="E191" t="inlineStr">
        <is>
          <t>Graduation Rates</t>
        </is>
      </c>
      <c r="F191" t="inlineStr">
        <is>
          <t>Four Year</t>
        </is>
      </c>
      <c r="G191" t="inlineStr">
        <is>
          <t>Did Not Persist</t>
        </is>
      </c>
      <c r="H191" t="inlineStr">
        <is>
          <t>Current Cohort</t>
        </is>
      </c>
      <c r="I191" t="inlineStr">
        <is>
          <t>All</t>
        </is>
      </c>
      <c r="J191" t="inlineStr">
        <is>
          <t>All</t>
        </is>
      </c>
      <c r="K191" t="inlineStr">
        <is>
          <t>All</t>
        </is>
      </c>
      <c r="L191" t="inlineStr">
        <is>
          <t>Number</t>
        </is>
      </c>
    </row>
    <row r="192">
      <c r="A192" t="inlineStr">
        <is>
          <t>B406</t>
        </is>
      </c>
      <c r="B192" t="inlineStr">
        <is>
          <t>Recipients of a Subsidized Stafford Loan who did not receive a Pell Grant</t>
        </is>
      </c>
      <c r="C192">
        <f>IFERROR(IF(VLOOKUP($A192,'CDS-B'!$A:$L,3,FALSE)="","",(VLOOKUP($A192,'CDS-B'!$A:$L,3,FALSE))),"")</f>
        <v/>
      </c>
      <c r="D192" t="inlineStr">
        <is>
          <t>Enrollment And Persistence</t>
        </is>
      </c>
      <c r="E192" t="inlineStr">
        <is>
          <t>Graduation Rates</t>
        </is>
      </c>
      <c r="F192" t="inlineStr">
        <is>
          <t>Four Year</t>
        </is>
      </c>
      <c r="G192" t="inlineStr">
        <is>
          <t>Did Not Persist</t>
        </is>
      </c>
      <c r="H192" t="inlineStr">
        <is>
          <t>Current Cohort</t>
        </is>
      </c>
      <c r="I192" t="inlineStr">
        <is>
          <t>All</t>
        </is>
      </c>
      <c r="J192" t="inlineStr">
        <is>
          <t>All</t>
        </is>
      </c>
      <c r="K192" t="inlineStr">
        <is>
          <t>All</t>
        </is>
      </c>
      <c r="L192" t="inlineStr">
        <is>
          <t>Number</t>
        </is>
      </c>
    </row>
    <row r="193">
      <c r="A193" t="inlineStr">
        <is>
          <t>B407</t>
        </is>
      </c>
      <c r="B193" t="inlineStr">
        <is>
          <t>Students who did not receive either a Pell Grant or a subsidized Stafford Loan</t>
        </is>
      </c>
      <c r="C193">
        <f>IFERROR(IF(VLOOKUP($A193,'CDS-B'!$A:$L,3,FALSE)="","",(VLOOKUP($A193,'CDS-B'!$A:$L,3,FALSE))),"")</f>
        <v/>
      </c>
      <c r="D193" t="inlineStr">
        <is>
          <t>Enrollment And Persistence</t>
        </is>
      </c>
      <c r="E193" t="inlineStr">
        <is>
          <t>Graduation Rates</t>
        </is>
      </c>
      <c r="F193" t="inlineStr">
        <is>
          <t>Four Year</t>
        </is>
      </c>
      <c r="G193" t="inlineStr">
        <is>
          <t>Did Not Persist</t>
        </is>
      </c>
      <c r="H193" t="inlineStr">
        <is>
          <t>Current Cohort</t>
        </is>
      </c>
      <c r="I193" t="inlineStr">
        <is>
          <t>All</t>
        </is>
      </c>
      <c r="J193" t="inlineStr">
        <is>
          <t>All</t>
        </is>
      </c>
      <c r="K193" t="inlineStr">
        <is>
          <t>All</t>
        </is>
      </c>
      <c r="L193" t="inlineStr">
        <is>
          <t>Number</t>
        </is>
      </c>
    </row>
    <row r="194">
      <c r="A194" t="inlineStr">
        <is>
          <t>B408</t>
        </is>
      </c>
      <c r="B194" t="inlineStr">
        <is>
          <t xml:space="preserve">Total </t>
        </is>
      </c>
      <c r="C194">
        <f>IFERROR(IF(VLOOKUP($A194,'CDS-B'!$A:$L,3,FALSE)="","",(VLOOKUP($A194,'CDS-B'!$A:$L,3,FALSE))),"")</f>
        <v/>
      </c>
      <c r="D194" t="inlineStr">
        <is>
          <t>Enrollment And Persistence</t>
        </is>
      </c>
      <c r="E194" t="inlineStr">
        <is>
          <t>Graduation Rates</t>
        </is>
      </c>
      <c r="F194" t="inlineStr">
        <is>
          <t>Four Year</t>
        </is>
      </c>
      <c r="G194" t="inlineStr">
        <is>
          <t>Did Not Persist</t>
        </is>
      </c>
      <c r="H194" t="inlineStr">
        <is>
          <t>Current Cohort</t>
        </is>
      </c>
      <c r="I194" t="inlineStr">
        <is>
          <t>All</t>
        </is>
      </c>
      <c r="J194" t="inlineStr">
        <is>
          <t>All</t>
        </is>
      </c>
      <c r="K194" t="inlineStr">
        <is>
          <t>All</t>
        </is>
      </c>
      <c r="L194" t="inlineStr">
        <is>
          <t>Number</t>
        </is>
      </c>
    </row>
    <row r="195">
      <c r="A195" t="inlineStr">
        <is>
          <t>B409</t>
        </is>
      </c>
      <c r="B195" t="inlineStr">
        <is>
          <t>Recipients of a Federal Pell Grant</t>
        </is>
      </c>
      <c r="C195">
        <f>IFERROR(IF(VLOOKUP($A195,'CDS-B'!$A:$L,3,FALSE)="","",(VLOOKUP($A195,'CDS-B'!$A:$L,3,FALSE))),"")</f>
        <v/>
      </c>
      <c r="D195" t="inlineStr">
        <is>
          <t>Enrollment And Persistence</t>
        </is>
      </c>
      <c r="E195" t="inlineStr">
        <is>
          <t>Graduation Rates</t>
        </is>
      </c>
      <c r="F195" t="inlineStr">
        <is>
          <t>Four Year</t>
        </is>
      </c>
      <c r="G195" t="inlineStr">
        <is>
          <t>Final Cohort</t>
        </is>
      </c>
      <c r="H195" t="inlineStr">
        <is>
          <t>Current Cohort</t>
        </is>
      </c>
      <c r="I195" t="inlineStr">
        <is>
          <t>All</t>
        </is>
      </c>
      <c r="J195" t="inlineStr">
        <is>
          <t>All</t>
        </is>
      </c>
      <c r="K195" t="inlineStr">
        <is>
          <t>All</t>
        </is>
      </c>
      <c r="L195" t="inlineStr">
        <is>
          <t>Number</t>
        </is>
      </c>
    </row>
    <row r="196">
      <c r="A196" t="inlineStr">
        <is>
          <t>B410</t>
        </is>
      </c>
      <c r="B196" t="inlineStr">
        <is>
          <t>Recipients of a Subsidized Stafford Loan who did not receive a Pell Grant</t>
        </is>
      </c>
      <c r="C196">
        <f>IFERROR(IF(VLOOKUP($A196,'CDS-B'!$A:$L,3,FALSE)="","",(VLOOKUP($A196,'CDS-B'!$A:$L,3,FALSE))),"")</f>
        <v/>
      </c>
      <c r="D196" t="inlineStr">
        <is>
          <t>Enrollment And Persistence</t>
        </is>
      </c>
      <c r="E196" t="inlineStr">
        <is>
          <t>Graduation Rates</t>
        </is>
      </c>
      <c r="F196" t="inlineStr">
        <is>
          <t>Four Year</t>
        </is>
      </c>
      <c r="G196" t="inlineStr">
        <is>
          <t>Final Cohort</t>
        </is>
      </c>
      <c r="H196" t="inlineStr">
        <is>
          <t>Current Cohort</t>
        </is>
      </c>
      <c r="I196" t="inlineStr">
        <is>
          <t>All</t>
        </is>
      </c>
      <c r="J196" t="inlineStr">
        <is>
          <t>All</t>
        </is>
      </c>
      <c r="K196" t="inlineStr">
        <is>
          <t>All</t>
        </is>
      </c>
      <c r="L196" t="inlineStr">
        <is>
          <t>Number</t>
        </is>
      </c>
    </row>
    <row r="197">
      <c r="A197" t="inlineStr">
        <is>
          <t>B411</t>
        </is>
      </c>
      <c r="B197" t="inlineStr">
        <is>
          <t>Students who did not receive either a Pell Grant or a subsidized Stafford Loan</t>
        </is>
      </c>
      <c r="C197">
        <f>IFERROR(IF(VLOOKUP($A197,'CDS-B'!$A:$L,3,FALSE)="","",(VLOOKUP($A197,'CDS-B'!$A:$L,3,FALSE))),"")</f>
        <v/>
      </c>
      <c r="D197" t="inlineStr">
        <is>
          <t>Enrollment And Persistence</t>
        </is>
      </c>
      <c r="E197" t="inlineStr">
        <is>
          <t>Graduation Rates</t>
        </is>
      </c>
      <c r="F197" t="inlineStr">
        <is>
          <t>Four Year</t>
        </is>
      </c>
      <c r="G197" t="inlineStr">
        <is>
          <t>Final Cohort</t>
        </is>
      </c>
      <c r="H197" t="inlineStr">
        <is>
          <t>Current Cohort</t>
        </is>
      </c>
      <c r="I197" t="inlineStr">
        <is>
          <t>All</t>
        </is>
      </c>
      <c r="J197" t="inlineStr">
        <is>
          <t>All</t>
        </is>
      </c>
      <c r="K197" t="inlineStr">
        <is>
          <t>All</t>
        </is>
      </c>
      <c r="L197" t="inlineStr">
        <is>
          <t>Number</t>
        </is>
      </c>
    </row>
    <row r="198">
      <c r="A198" t="inlineStr">
        <is>
          <t>B412</t>
        </is>
      </c>
      <c r="B198" t="inlineStr">
        <is>
          <t xml:space="preserve">Total </t>
        </is>
      </c>
      <c r="C198">
        <f>IFERROR(IF(VLOOKUP($A198,'CDS-B'!$A:$L,3,FALSE)="","",(VLOOKUP($A198,'CDS-B'!$A:$L,3,FALSE))),"")</f>
        <v/>
      </c>
      <c r="D198" t="inlineStr">
        <is>
          <t>Enrollment And Persistence</t>
        </is>
      </c>
      <c r="E198" t="inlineStr">
        <is>
          <t>Graduation Rates</t>
        </is>
      </c>
      <c r="F198" t="inlineStr">
        <is>
          <t>Four Year</t>
        </is>
      </c>
      <c r="G198" t="inlineStr">
        <is>
          <t>Final Cohort</t>
        </is>
      </c>
      <c r="H198" t="inlineStr">
        <is>
          <t>Current Cohort</t>
        </is>
      </c>
      <c r="I198" t="inlineStr">
        <is>
          <t>All</t>
        </is>
      </c>
      <c r="J198" t="inlineStr">
        <is>
          <t>All</t>
        </is>
      </c>
      <c r="K198" t="inlineStr">
        <is>
          <t>All</t>
        </is>
      </c>
      <c r="L198" t="inlineStr">
        <is>
          <t>Number</t>
        </is>
      </c>
    </row>
    <row r="199">
      <c r="A199" t="inlineStr">
        <is>
          <t>B413</t>
        </is>
      </c>
      <c r="B199" t="inlineStr">
        <is>
          <t>Recipients of a Federal Pell Grant</t>
        </is>
      </c>
      <c r="C199">
        <f>IFERROR(IF(VLOOKUP($A199,'CDS-B'!$A:$L,3,FALSE)="","",(VLOOKUP($A199,'CDS-B'!$A:$L,3,FALSE))),"")</f>
        <v/>
      </c>
      <c r="D199" t="inlineStr">
        <is>
          <t>Enrollment And Persistence</t>
        </is>
      </c>
      <c r="E199" t="inlineStr">
        <is>
          <t>Graduation Rates</t>
        </is>
      </c>
      <c r="F199" t="inlineStr">
        <is>
          <t>Four Year</t>
        </is>
      </c>
      <c r="G199" t="inlineStr">
        <is>
          <t>Completers Less Than Four</t>
        </is>
      </c>
      <c r="H199" t="inlineStr">
        <is>
          <t>Current Cohort</t>
        </is>
      </c>
      <c r="I199" t="inlineStr">
        <is>
          <t>All</t>
        </is>
      </c>
      <c r="J199" t="inlineStr">
        <is>
          <t>All</t>
        </is>
      </c>
      <c r="K199" t="inlineStr">
        <is>
          <t>All</t>
        </is>
      </c>
      <c r="L199" t="inlineStr">
        <is>
          <t>Number</t>
        </is>
      </c>
    </row>
    <row r="200">
      <c r="A200" t="inlineStr">
        <is>
          <t>B414</t>
        </is>
      </c>
      <c r="B200" t="inlineStr">
        <is>
          <t>Recipients of a Subsidized Stafford Loan who did not receive a Pell Grant</t>
        </is>
      </c>
      <c r="C200">
        <f>IFERROR(IF(VLOOKUP($A200,'CDS-B'!$A:$L,3,FALSE)="","",(VLOOKUP($A200,'CDS-B'!$A:$L,3,FALSE))),"")</f>
        <v/>
      </c>
      <c r="D200" t="inlineStr">
        <is>
          <t>Enrollment And Persistence</t>
        </is>
      </c>
      <c r="E200" t="inlineStr">
        <is>
          <t>Graduation Rates</t>
        </is>
      </c>
      <c r="F200" t="inlineStr">
        <is>
          <t>Four Year</t>
        </is>
      </c>
      <c r="G200" t="inlineStr">
        <is>
          <t>Completers Less Than Four</t>
        </is>
      </c>
      <c r="H200" t="inlineStr">
        <is>
          <t>Current Cohort</t>
        </is>
      </c>
      <c r="I200" t="inlineStr">
        <is>
          <t>All</t>
        </is>
      </c>
      <c r="J200" t="inlineStr">
        <is>
          <t>All</t>
        </is>
      </c>
      <c r="K200" t="inlineStr">
        <is>
          <t>All</t>
        </is>
      </c>
      <c r="L200" t="inlineStr">
        <is>
          <t>Number</t>
        </is>
      </c>
    </row>
    <row r="201">
      <c r="A201" t="inlineStr">
        <is>
          <t>B415</t>
        </is>
      </c>
      <c r="B201" t="inlineStr">
        <is>
          <t>Students who did not receive either a Pell Grant or a subsidized Stafford Loan</t>
        </is>
      </c>
      <c r="C201">
        <f>IFERROR(IF(VLOOKUP($A201,'CDS-B'!$A:$L,3,FALSE)="","",(VLOOKUP($A201,'CDS-B'!$A:$L,3,FALSE))),"")</f>
        <v/>
      </c>
      <c r="D201" t="inlineStr">
        <is>
          <t>Enrollment And Persistence</t>
        </is>
      </c>
      <c r="E201" t="inlineStr">
        <is>
          <t>Graduation Rates</t>
        </is>
      </c>
      <c r="F201" t="inlineStr">
        <is>
          <t>Four Year</t>
        </is>
      </c>
      <c r="G201" t="inlineStr">
        <is>
          <t>Completers Less Than Four</t>
        </is>
      </c>
      <c r="H201" t="inlineStr">
        <is>
          <t>Current Cohort</t>
        </is>
      </c>
      <c r="I201" t="inlineStr">
        <is>
          <t>All</t>
        </is>
      </c>
      <c r="J201" t="inlineStr">
        <is>
          <t>All</t>
        </is>
      </c>
      <c r="K201" t="inlineStr">
        <is>
          <t>All</t>
        </is>
      </c>
      <c r="L201" t="inlineStr">
        <is>
          <t>Number</t>
        </is>
      </c>
    </row>
    <row r="202">
      <c r="A202" t="inlineStr">
        <is>
          <t>B416</t>
        </is>
      </c>
      <c r="B202" t="inlineStr">
        <is>
          <t xml:space="preserve">Total </t>
        </is>
      </c>
      <c r="C202">
        <f>IFERROR(IF(VLOOKUP($A202,'CDS-B'!$A:$L,3,FALSE)="","",(VLOOKUP($A202,'CDS-B'!$A:$L,3,FALSE))),"")</f>
        <v/>
      </c>
      <c r="D202" t="inlineStr">
        <is>
          <t>Enrollment And Persistence</t>
        </is>
      </c>
      <c r="E202" t="inlineStr">
        <is>
          <t>Graduation Rates</t>
        </is>
      </c>
      <c r="F202" t="inlineStr">
        <is>
          <t>Four Year</t>
        </is>
      </c>
      <c r="G202" t="inlineStr">
        <is>
          <t>Completers Less Than Four</t>
        </is>
      </c>
      <c r="H202" t="inlineStr">
        <is>
          <t>Current Cohort</t>
        </is>
      </c>
      <c r="I202" t="inlineStr">
        <is>
          <t>All</t>
        </is>
      </c>
      <c r="J202" t="inlineStr">
        <is>
          <t>All</t>
        </is>
      </c>
      <c r="K202" t="inlineStr">
        <is>
          <t>All</t>
        </is>
      </c>
      <c r="L202" t="inlineStr">
        <is>
          <t>Number</t>
        </is>
      </c>
    </row>
    <row r="203">
      <c r="A203" t="inlineStr">
        <is>
          <t>B417</t>
        </is>
      </c>
      <c r="B203" t="inlineStr">
        <is>
          <t>Recipients of a Federal Pell Grant</t>
        </is>
      </c>
      <c r="C203">
        <f>IFERROR(IF(VLOOKUP($A203,'CDS-B'!$A:$L,3,FALSE)="","",(VLOOKUP($A203,'CDS-B'!$A:$L,3,FALSE))),"")</f>
        <v/>
      </c>
      <c r="D203" t="inlineStr">
        <is>
          <t>Enrollment And Persistence</t>
        </is>
      </c>
      <c r="E203" t="inlineStr">
        <is>
          <t>Graduation Rates</t>
        </is>
      </c>
      <c r="F203" t="inlineStr">
        <is>
          <t>Four Year</t>
        </is>
      </c>
      <c r="G203" t="inlineStr">
        <is>
          <t>Completers Less Than Five</t>
        </is>
      </c>
      <c r="H203" t="inlineStr">
        <is>
          <t>Current Cohort</t>
        </is>
      </c>
      <c r="I203" t="inlineStr">
        <is>
          <t>All</t>
        </is>
      </c>
      <c r="J203" t="inlineStr">
        <is>
          <t>All</t>
        </is>
      </c>
      <c r="K203" t="inlineStr">
        <is>
          <t>All</t>
        </is>
      </c>
      <c r="L203" t="inlineStr">
        <is>
          <t>Number</t>
        </is>
      </c>
    </row>
    <row r="204">
      <c r="A204" t="inlineStr">
        <is>
          <t>B418</t>
        </is>
      </c>
      <c r="B204" t="inlineStr">
        <is>
          <t>Recipients of a Subsidized Stafford Loan who did not receive a Pell Grant</t>
        </is>
      </c>
      <c r="C204">
        <f>IFERROR(IF(VLOOKUP($A204,'CDS-B'!$A:$L,3,FALSE)="","",(VLOOKUP($A204,'CDS-B'!$A:$L,3,FALSE))),"")</f>
        <v/>
      </c>
      <c r="D204" t="inlineStr">
        <is>
          <t>Enrollment And Persistence</t>
        </is>
      </c>
      <c r="E204" t="inlineStr">
        <is>
          <t>Graduation Rates</t>
        </is>
      </c>
      <c r="F204" t="inlineStr">
        <is>
          <t>Four Year</t>
        </is>
      </c>
      <c r="G204" t="inlineStr">
        <is>
          <t>Completers Less Than Five</t>
        </is>
      </c>
      <c r="H204" t="inlineStr">
        <is>
          <t>Current Cohort</t>
        </is>
      </c>
      <c r="I204" t="inlineStr">
        <is>
          <t>All</t>
        </is>
      </c>
      <c r="J204" t="inlineStr">
        <is>
          <t>All</t>
        </is>
      </c>
      <c r="K204" t="inlineStr">
        <is>
          <t>All</t>
        </is>
      </c>
      <c r="L204" t="inlineStr">
        <is>
          <t>Number</t>
        </is>
      </c>
    </row>
    <row r="205">
      <c r="A205" t="inlineStr">
        <is>
          <t>B419</t>
        </is>
      </c>
      <c r="B205" t="inlineStr">
        <is>
          <t>Students who did not receive either a Pell Grant or a subsidized Stafford Loan</t>
        </is>
      </c>
      <c r="C205">
        <f>IFERROR(IF(VLOOKUP($A205,'CDS-B'!$A:$L,3,FALSE)="","",(VLOOKUP($A205,'CDS-B'!$A:$L,3,FALSE))),"")</f>
        <v/>
      </c>
      <c r="D205" t="inlineStr">
        <is>
          <t>Enrollment And Persistence</t>
        </is>
      </c>
      <c r="E205" t="inlineStr">
        <is>
          <t>Graduation Rates</t>
        </is>
      </c>
      <c r="F205" t="inlineStr">
        <is>
          <t>Four Year</t>
        </is>
      </c>
      <c r="G205" t="inlineStr">
        <is>
          <t>Completers Less Than Five</t>
        </is>
      </c>
      <c r="H205" t="inlineStr">
        <is>
          <t>Current Cohort</t>
        </is>
      </c>
      <c r="I205" t="inlineStr">
        <is>
          <t>All</t>
        </is>
      </c>
      <c r="J205" t="inlineStr">
        <is>
          <t>All</t>
        </is>
      </c>
      <c r="K205" t="inlineStr">
        <is>
          <t>All</t>
        </is>
      </c>
      <c r="L205" t="inlineStr">
        <is>
          <t>Number</t>
        </is>
      </c>
    </row>
    <row r="206">
      <c r="A206" t="inlineStr">
        <is>
          <t>B420</t>
        </is>
      </c>
      <c r="B206" t="inlineStr">
        <is>
          <t xml:space="preserve">Total </t>
        </is>
      </c>
      <c r="C206">
        <f>IFERROR(IF(VLOOKUP($A206,'CDS-B'!$A:$L,3,FALSE)="","",(VLOOKUP($A206,'CDS-B'!$A:$L,3,FALSE))),"")</f>
        <v/>
      </c>
      <c r="D206" t="inlineStr">
        <is>
          <t>Enrollment And Persistence</t>
        </is>
      </c>
      <c r="E206" t="inlineStr">
        <is>
          <t>Graduation Rates</t>
        </is>
      </c>
      <c r="F206" t="inlineStr">
        <is>
          <t>Four Year</t>
        </is>
      </c>
      <c r="G206" t="inlineStr">
        <is>
          <t>Completers Less Than Five</t>
        </is>
      </c>
      <c r="H206" t="inlineStr">
        <is>
          <t>Current Cohort</t>
        </is>
      </c>
      <c r="I206" t="inlineStr">
        <is>
          <t>All</t>
        </is>
      </c>
      <c r="J206" t="inlineStr">
        <is>
          <t>All</t>
        </is>
      </c>
      <c r="K206" t="inlineStr">
        <is>
          <t>All</t>
        </is>
      </c>
      <c r="L206" t="inlineStr">
        <is>
          <t>Number</t>
        </is>
      </c>
    </row>
    <row r="207">
      <c r="A207" t="inlineStr">
        <is>
          <t>B421</t>
        </is>
      </c>
      <c r="B207" t="inlineStr">
        <is>
          <t>Recipients of a Federal Pell Grant</t>
        </is>
      </c>
      <c r="C207">
        <f>IFERROR(IF(VLOOKUP($A207,'CDS-B'!$A:$L,3,FALSE)="","",(VLOOKUP($A207,'CDS-B'!$A:$L,3,FALSE))),"")</f>
        <v/>
      </c>
      <c r="D207" t="inlineStr">
        <is>
          <t>Enrollment And Persistence</t>
        </is>
      </c>
      <c r="E207" t="inlineStr">
        <is>
          <t>Graduation Rates</t>
        </is>
      </c>
      <c r="F207" t="inlineStr">
        <is>
          <t>Four Year</t>
        </is>
      </c>
      <c r="G207" t="inlineStr">
        <is>
          <t>Completers Less Than Six</t>
        </is>
      </c>
      <c r="H207" t="inlineStr">
        <is>
          <t>Current Cohort</t>
        </is>
      </c>
      <c r="I207" t="inlineStr">
        <is>
          <t>All</t>
        </is>
      </c>
      <c r="J207" t="inlineStr">
        <is>
          <t>All</t>
        </is>
      </c>
      <c r="K207" t="inlineStr">
        <is>
          <t>All</t>
        </is>
      </c>
      <c r="L207" t="inlineStr">
        <is>
          <t>Number</t>
        </is>
      </c>
    </row>
    <row r="208">
      <c r="A208" t="inlineStr">
        <is>
          <t>B422</t>
        </is>
      </c>
      <c r="B208" t="inlineStr">
        <is>
          <t>Recipients of a Subsidized Stafford Loan who did not receive a Pell Grant</t>
        </is>
      </c>
      <c r="C208">
        <f>IFERROR(IF(VLOOKUP($A208,'CDS-B'!$A:$L,3,FALSE)="","",(VLOOKUP($A208,'CDS-B'!$A:$L,3,FALSE))),"")</f>
        <v/>
      </c>
      <c r="D208" t="inlineStr">
        <is>
          <t>Enrollment And Persistence</t>
        </is>
      </c>
      <c r="E208" t="inlineStr">
        <is>
          <t>Graduation Rates</t>
        </is>
      </c>
      <c r="F208" t="inlineStr">
        <is>
          <t>Four Year</t>
        </is>
      </c>
      <c r="G208" t="inlineStr">
        <is>
          <t>Completers Less Than Six</t>
        </is>
      </c>
      <c r="H208" t="inlineStr">
        <is>
          <t>Current Cohort</t>
        </is>
      </c>
      <c r="I208" t="inlineStr">
        <is>
          <t>All</t>
        </is>
      </c>
      <c r="J208" t="inlineStr">
        <is>
          <t>All</t>
        </is>
      </c>
      <c r="K208" t="inlineStr">
        <is>
          <t>All</t>
        </is>
      </c>
      <c r="L208" t="inlineStr">
        <is>
          <t>Number</t>
        </is>
      </c>
    </row>
    <row r="209">
      <c r="A209" t="inlineStr">
        <is>
          <t>B423</t>
        </is>
      </c>
      <c r="B209" t="inlineStr">
        <is>
          <t>Students who did not receive either a Pell Grant or a subsidized Stafford Loan</t>
        </is>
      </c>
      <c r="C209">
        <f>IFERROR(IF(VLOOKUP($A209,'CDS-B'!$A:$L,3,FALSE)="","",(VLOOKUP($A209,'CDS-B'!$A:$L,3,FALSE))),"")</f>
        <v/>
      </c>
      <c r="D209" t="inlineStr">
        <is>
          <t>Enrollment And Persistence</t>
        </is>
      </c>
      <c r="E209" t="inlineStr">
        <is>
          <t>Graduation Rates</t>
        </is>
      </c>
      <c r="F209" t="inlineStr">
        <is>
          <t>Four Year</t>
        </is>
      </c>
      <c r="G209" t="inlineStr">
        <is>
          <t>Completers Less Than Six</t>
        </is>
      </c>
      <c r="H209" t="inlineStr">
        <is>
          <t>Current Cohort</t>
        </is>
      </c>
      <c r="I209" t="inlineStr">
        <is>
          <t>All</t>
        </is>
      </c>
      <c r="J209" t="inlineStr">
        <is>
          <t>All</t>
        </is>
      </c>
      <c r="K209" t="inlineStr">
        <is>
          <t>All</t>
        </is>
      </c>
      <c r="L209" t="inlineStr">
        <is>
          <t>Number</t>
        </is>
      </c>
    </row>
    <row r="210">
      <c r="A210" t="inlineStr">
        <is>
          <t>B424</t>
        </is>
      </c>
      <c r="B210" t="inlineStr">
        <is>
          <t xml:space="preserve">Total </t>
        </is>
      </c>
      <c r="C210">
        <f>IFERROR(IF(VLOOKUP($A210,'CDS-B'!$A:$L,3,FALSE)="","",(VLOOKUP($A210,'CDS-B'!$A:$L,3,FALSE))),"")</f>
        <v/>
      </c>
      <c r="D210" t="inlineStr">
        <is>
          <t>Enrollment And Persistence</t>
        </is>
      </c>
      <c r="E210" t="inlineStr">
        <is>
          <t>Graduation Rates</t>
        </is>
      </c>
      <c r="F210" t="inlineStr">
        <is>
          <t>Four Year</t>
        </is>
      </c>
      <c r="G210" t="inlineStr">
        <is>
          <t>Completers Less Than Six</t>
        </is>
      </c>
      <c r="H210" t="inlineStr">
        <is>
          <t>Current Cohort</t>
        </is>
      </c>
      <c r="I210" t="inlineStr">
        <is>
          <t>All</t>
        </is>
      </c>
      <c r="J210" t="inlineStr">
        <is>
          <t>All</t>
        </is>
      </c>
      <c r="K210" t="inlineStr">
        <is>
          <t>All</t>
        </is>
      </c>
      <c r="L210" t="inlineStr">
        <is>
          <t>Number</t>
        </is>
      </c>
    </row>
    <row r="211">
      <c r="A211" t="inlineStr">
        <is>
          <t>B425</t>
        </is>
      </c>
      <c r="B211" t="inlineStr">
        <is>
          <t>Recipients of a Federal Pell Grant</t>
        </is>
      </c>
      <c r="C211">
        <f>IFERROR(IF(VLOOKUP($A211,'CDS-B'!$A:$L,3,FALSE)="","",(VLOOKUP($A211,'CDS-B'!$A:$L,3,FALSE))),"")</f>
        <v/>
      </c>
      <c r="D211" t="inlineStr">
        <is>
          <t>Enrollment And Persistence</t>
        </is>
      </c>
      <c r="E211" t="inlineStr">
        <is>
          <t>Graduation Rates</t>
        </is>
      </c>
      <c r="F211" t="inlineStr">
        <is>
          <t>Four Year</t>
        </is>
      </c>
      <c r="G211" t="inlineStr">
        <is>
          <t>Completers Total</t>
        </is>
      </c>
      <c r="H211" t="inlineStr">
        <is>
          <t>Current Cohort</t>
        </is>
      </c>
      <c r="I211" t="inlineStr">
        <is>
          <t>All</t>
        </is>
      </c>
      <c r="J211" t="inlineStr">
        <is>
          <t>All</t>
        </is>
      </c>
      <c r="K211" t="inlineStr">
        <is>
          <t>All</t>
        </is>
      </c>
      <c r="L211" t="inlineStr">
        <is>
          <t>Number</t>
        </is>
      </c>
    </row>
    <row r="212">
      <c r="A212" t="inlineStr">
        <is>
          <t>B426</t>
        </is>
      </c>
      <c r="B212" t="inlineStr">
        <is>
          <t>Recipients of a Subsidized Stafford Loan who did not receive a Pell Grant</t>
        </is>
      </c>
      <c r="C212">
        <f>IFERROR(IF(VLOOKUP($A212,'CDS-B'!$A:$L,3,FALSE)="","",(VLOOKUP($A212,'CDS-B'!$A:$L,3,FALSE))),"")</f>
        <v/>
      </c>
      <c r="D212" t="inlineStr">
        <is>
          <t>Enrollment And Persistence</t>
        </is>
      </c>
      <c r="E212" t="inlineStr">
        <is>
          <t>Graduation Rates</t>
        </is>
      </c>
      <c r="F212" t="inlineStr">
        <is>
          <t>Four Year</t>
        </is>
      </c>
      <c r="G212" t="inlineStr">
        <is>
          <t>Completers Total</t>
        </is>
      </c>
      <c r="H212" t="inlineStr">
        <is>
          <t>Current Cohort</t>
        </is>
      </c>
      <c r="I212" t="inlineStr">
        <is>
          <t>All</t>
        </is>
      </c>
      <c r="J212" t="inlineStr">
        <is>
          <t>All</t>
        </is>
      </c>
      <c r="K212" t="inlineStr">
        <is>
          <t>All</t>
        </is>
      </c>
      <c r="L212" t="inlineStr">
        <is>
          <t>Number</t>
        </is>
      </c>
    </row>
    <row r="213">
      <c r="A213" t="inlineStr">
        <is>
          <t>B427</t>
        </is>
      </c>
      <c r="B213" t="inlineStr">
        <is>
          <t>Students who did not receive either a Pell Grant or a subsidized Stafford Loan</t>
        </is>
      </c>
      <c r="C213">
        <f>IFERROR(IF(VLOOKUP($A213,'CDS-B'!$A:$L,3,FALSE)="","",(VLOOKUP($A213,'CDS-B'!$A:$L,3,FALSE))),"")</f>
        <v/>
      </c>
      <c r="D213" t="inlineStr">
        <is>
          <t>Enrollment And Persistence</t>
        </is>
      </c>
      <c r="E213" t="inlineStr">
        <is>
          <t>Graduation Rates</t>
        </is>
      </c>
      <c r="F213" t="inlineStr">
        <is>
          <t>Four Year</t>
        </is>
      </c>
      <c r="G213" t="inlineStr">
        <is>
          <t>Completers Total</t>
        </is>
      </c>
      <c r="H213" t="inlineStr">
        <is>
          <t>Current Cohort</t>
        </is>
      </c>
      <c r="I213" t="inlineStr">
        <is>
          <t>All</t>
        </is>
      </c>
      <c r="J213" t="inlineStr">
        <is>
          <t>All</t>
        </is>
      </c>
      <c r="K213" t="inlineStr">
        <is>
          <t>All</t>
        </is>
      </c>
      <c r="L213" t="inlineStr">
        <is>
          <t>Number</t>
        </is>
      </c>
    </row>
    <row r="214">
      <c r="A214" t="inlineStr">
        <is>
          <t>B428</t>
        </is>
      </c>
      <c r="B214" t="inlineStr">
        <is>
          <t xml:space="preserve">Total </t>
        </is>
      </c>
      <c r="C214">
        <f>IFERROR(IF(VLOOKUP($A214,'CDS-B'!$A:$L,3,FALSE)="","",(VLOOKUP($A214,'CDS-B'!$A:$L,3,FALSE))),"")</f>
        <v/>
      </c>
      <c r="D214" t="inlineStr">
        <is>
          <t>Enrollment And Persistence</t>
        </is>
      </c>
      <c r="E214" t="inlineStr">
        <is>
          <t>Graduation Rates</t>
        </is>
      </c>
      <c r="F214" t="inlineStr">
        <is>
          <t>Four Year</t>
        </is>
      </c>
      <c r="G214" t="inlineStr">
        <is>
          <t>Completers Total</t>
        </is>
      </c>
      <c r="H214" t="inlineStr">
        <is>
          <t>Current Cohort</t>
        </is>
      </c>
      <c r="I214" t="inlineStr">
        <is>
          <t>All</t>
        </is>
      </c>
      <c r="J214" t="inlineStr">
        <is>
          <t>All</t>
        </is>
      </c>
      <c r="K214" t="inlineStr">
        <is>
          <t>All</t>
        </is>
      </c>
      <c r="L214" t="inlineStr">
        <is>
          <t>Number</t>
        </is>
      </c>
    </row>
    <row r="215">
      <c r="A215" t="inlineStr">
        <is>
          <t>B429</t>
        </is>
      </c>
      <c r="B215" t="inlineStr">
        <is>
          <t>Recipients of a Federal Pell Grant</t>
        </is>
      </c>
      <c r="C215">
        <f>IFERROR(IF(VLOOKUP($A215,'CDS-B'!$A:$L,3,FALSE)="","",(VLOOKUP($A215,'CDS-B'!$A:$L,3,FALSE))),"")</f>
        <v/>
      </c>
      <c r="D215" t="inlineStr">
        <is>
          <t>Enrollment And Persistence</t>
        </is>
      </c>
      <c r="E215" t="inlineStr">
        <is>
          <t>Graduation Rates</t>
        </is>
      </c>
      <c r="F215" t="inlineStr">
        <is>
          <t>Four Year</t>
        </is>
      </c>
      <c r="G215" t="inlineStr">
        <is>
          <t>Six Year Grad Rate</t>
        </is>
      </c>
      <c r="H215" t="inlineStr">
        <is>
          <t>Current Cohort</t>
        </is>
      </c>
      <c r="I215" t="inlineStr">
        <is>
          <t>All</t>
        </is>
      </c>
      <c r="J215" t="inlineStr">
        <is>
          <t>All</t>
        </is>
      </c>
      <c r="K215" t="inlineStr">
        <is>
          <t>All</t>
        </is>
      </c>
      <c r="L215" t="inlineStr">
        <is>
          <t>Whole Number or Round to Nearest Tenths</t>
        </is>
      </c>
    </row>
    <row r="216">
      <c r="A216" t="inlineStr">
        <is>
          <t>B430</t>
        </is>
      </c>
      <c r="B216" t="inlineStr">
        <is>
          <t>Recipients of a Subsidized Stafford Loan who did not receive a Pell Grant</t>
        </is>
      </c>
      <c r="C216">
        <f>IFERROR(IF(VLOOKUP($A216,'CDS-B'!$A:$L,3,FALSE)="","",(VLOOKUP($A216,'CDS-B'!$A:$L,3,FALSE))),"")</f>
        <v/>
      </c>
      <c r="D216" t="inlineStr">
        <is>
          <t>Enrollment And Persistence</t>
        </is>
      </c>
      <c r="E216" t="inlineStr">
        <is>
          <t>Graduation Rates</t>
        </is>
      </c>
      <c r="F216" t="inlineStr">
        <is>
          <t>Four Year</t>
        </is>
      </c>
      <c r="G216" t="inlineStr">
        <is>
          <t>Six Year Grad Rate</t>
        </is>
      </c>
      <c r="H216" t="inlineStr">
        <is>
          <t>Current Cohort</t>
        </is>
      </c>
      <c r="I216" t="inlineStr">
        <is>
          <t>All</t>
        </is>
      </c>
      <c r="J216" t="inlineStr">
        <is>
          <t>All</t>
        </is>
      </c>
      <c r="K216" t="inlineStr">
        <is>
          <t>All</t>
        </is>
      </c>
      <c r="L216" t="inlineStr">
        <is>
          <t>Whole Number or Round to Nearest Tenths</t>
        </is>
      </c>
    </row>
    <row r="217">
      <c r="A217" t="inlineStr">
        <is>
          <t>B431</t>
        </is>
      </c>
      <c r="B217" t="inlineStr">
        <is>
          <t>Students who did not receive either a Pell Grant or a subsidized Stafford Loan</t>
        </is>
      </c>
      <c r="C217">
        <f>IFERROR(IF(VLOOKUP($A217,'CDS-B'!$A:$L,3,FALSE)="","",(VLOOKUP($A217,'CDS-B'!$A:$L,3,FALSE))),"")</f>
        <v/>
      </c>
      <c r="D217" t="inlineStr">
        <is>
          <t>Enrollment And Persistence</t>
        </is>
      </c>
      <c r="E217" t="inlineStr">
        <is>
          <t>Graduation Rates</t>
        </is>
      </c>
      <c r="F217" t="inlineStr">
        <is>
          <t>Four Year</t>
        </is>
      </c>
      <c r="G217" t="inlineStr">
        <is>
          <t>Six Year Grad Rate</t>
        </is>
      </c>
      <c r="H217" t="inlineStr">
        <is>
          <t>Current Cohort</t>
        </is>
      </c>
      <c r="I217" t="inlineStr">
        <is>
          <t>All</t>
        </is>
      </c>
      <c r="J217" t="inlineStr">
        <is>
          <t>All</t>
        </is>
      </c>
      <c r="K217" t="inlineStr">
        <is>
          <t>All</t>
        </is>
      </c>
      <c r="L217" t="inlineStr">
        <is>
          <t>Whole Number or Round to Nearest Tenths</t>
        </is>
      </c>
    </row>
    <row r="218">
      <c r="A218" t="inlineStr">
        <is>
          <t>B432</t>
        </is>
      </c>
      <c r="B218" t="inlineStr">
        <is>
          <t xml:space="preserve">Total </t>
        </is>
      </c>
      <c r="C218">
        <f>IFERROR(IF(VLOOKUP($A218,'CDS-B'!$A:$L,3,FALSE)="","",(VLOOKUP($A218,'CDS-B'!$A:$L,3,FALSE))),"")</f>
        <v/>
      </c>
      <c r="D218" t="inlineStr">
        <is>
          <t>Enrollment And Persistence</t>
        </is>
      </c>
      <c r="E218" t="inlineStr">
        <is>
          <t>Graduation Rates</t>
        </is>
      </c>
      <c r="F218" t="inlineStr">
        <is>
          <t>Four Year</t>
        </is>
      </c>
      <c r="G218" t="inlineStr">
        <is>
          <t>Six Year Grad Rate</t>
        </is>
      </c>
      <c r="H218" t="inlineStr">
        <is>
          <t>Current Cohort</t>
        </is>
      </c>
      <c r="I218" t="inlineStr">
        <is>
          <t>All</t>
        </is>
      </c>
      <c r="J218" t="inlineStr">
        <is>
          <t>All</t>
        </is>
      </c>
      <c r="K218" t="inlineStr">
        <is>
          <t>All</t>
        </is>
      </c>
      <c r="L218" t="inlineStr">
        <is>
          <t>Whole Number or Round to Nearest Tenths</t>
        </is>
      </c>
    </row>
    <row r="219">
      <c r="A219" t="inlineStr">
        <is>
          <t>B501</t>
        </is>
      </c>
      <c r="B219" t="inlineStr">
        <is>
          <t>Recipients of a Federal Pell Grant</t>
        </is>
      </c>
      <c r="C219">
        <f>IFERROR(IF(VLOOKUP($A219,'CDS-B'!$A:$L,3,FALSE)="","",(VLOOKUP($A219,'CDS-B'!$A:$L,3,FALSE))),"")</f>
        <v/>
      </c>
      <c r="D219" t="inlineStr">
        <is>
          <t>Enrollment And Persistence</t>
        </is>
      </c>
      <c r="E219" t="inlineStr">
        <is>
          <t>Graduation Rates</t>
        </is>
      </c>
      <c r="F219" t="inlineStr">
        <is>
          <t>Four Year</t>
        </is>
      </c>
      <c r="G219" t="inlineStr">
        <is>
          <t>Initial Cohort</t>
        </is>
      </c>
      <c r="H219" t="inlineStr">
        <is>
          <t>Previous Cohort</t>
        </is>
      </c>
      <c r="I219" t="inlineStr">
        <is>
          <t>All</t>
        </is>
      </c>
      <c r="J219" t="inlineStr">
        <is>
          <t>All</t>
        </is>
      </c>
      <c r="K219" t="inlineStr">
        <is>
          <t>All</t>
        </is>
      </c>
      <c r="L219" t="inlineStr">
        <is>
          <t>Number</t>
        </is>
      </c>
    </row>
    <row r="220">
      <c r="A220" t="inlineStr">
        <is>
          <t>B502</t>
        </is>
      </c>
      <c r="B220" t="inlineStr">
        <is>
          <t>Recipients of a Subsidized Stafford Loan who did not receive a Pell Grant</t>
        </is>
      </c>
      <c r="C220">
        <f>IFERROR(IF(VLOOKUP($A220,'CDS-B'!$A:$L,3,FALSE)="","",(VLOOKUP($A220,'CDS-B'!$A:$L,3,FALSE))),"")</f>
        <v/>
      </c>
      <c r="D220" t="inlineStr">
        <is>
          <t>Enrollment And Persistence</t>
        </is>
      </c>
      <c r="E220" t="inlineStr">
        <is>
          <t>Graduation Rates</t>
        </is>
      </c>
      <c r="F220" t="inlineStr">
        <is>
          <t>Four Year</t>
        </is>
      </c>
      <c r="G220" t="inlineStr">
        <is>
          <t>Initial Cohort</t>
        </is>
      </c>
      <c r="H220" t="inlineStr">
        <is>
          <t>Previous Cohort</t>
        </is>
      </c>
      <c r="I220" t="inlineStr">
        <is>
          <t>All</t>
        </is>
      </c>
      <c r="J220" t="inlineStr">
        <is>
          <t>All</t>
        </is>
      </c>
      <c r="K220" t="inlineStr">
        <is>
          <t>All</t>
        </is>
      </c>
      <c r="L220" t="inlineStr">
        <is>
          <t>Number</t>
        </is>
      </c>
    </row>
    <row r="221">
      <c r="A221" t="inlineStr">
        <is>
          <t>B503</t>
        </is>
      </c>
      <c r="B221" t="inlineStr">
        <is>
          <t>Students who did not receive either a Pell Grant or a subsidized Stafford Loan</t>
        </is>
      </c>
      <c r="C221">
        <f>IFERROR(IF(VLOOKUP($A221,'CDS-B'!$A:$L,3,FALSE)="","",(VLOOKUP($A221,'CDS-B'!$A:$L,3,FALSE))),"")</f>
        <v/>
      </c>
      <c r="D221" t="inlineStr">
        <is>
          <t>Enrollment And Persistence</t>
        </is>
      </c>
      <c r="E221" t="inlineStr">
        <is>
          <t>Graduation Rates</t>
        </is>
      </c>
      <c r="F221" t="inlineStr">
        <is>
          <t>Four Year</t>
        </is>
      </c>
      <c r="G221" t="inlineStr">
        <is>
          <t>Initial Cohort</t>
        </is>
      </c>
      <c r="H221" t="inlineStr">
        <is>
          <t>Previous Cohort</t>
        </is>
      </c>
      <c r="I221" t="inlineStr">
        <is>
          <t>All</t>
        </is>
      </c>
      <c r="J221" t="inlineStr">
        <is>
          <t>All</t>
        </is>
      </c>
      <c r="K221" t="inlineStr">
        <is>
          <t>All</t>
        </is>
      </c>
      <c r="L221" t="inlineStr">
        <is>
          <t>Number</t>
        </is>
      </c>
    </row>
    <row r="222">
      <c r="A222" t="inlineStr">
        <is>
          <t>B504</t>
        </is>
      </c>
      <c r="B222" t="inlineStr">
        <is>
          <t xml:space="preserve">Total </t>
        </is>
      </c>
      <c r="C222">
        <f>IFERROR(IF(VLOOKUP($A222,'CDS-B'!$A:$L,3,FALSE)="","",(VLOOKUP($A222,'CDS-B'!$A:$L,3,FALSE))),"")</f>
        <v/>
      </c>
      <c r="D222" t="inlineStr">
        <is>
          <t>Enrollment And Persistence</t>
        </is>
      </c>
      <c r="E222" t="inlineStr">
        <is>
          <t>Graduation Rates</t>
        </is>
      </c>
      <c r="F222" t="inlineStr">
        <is>
          <t>Four Year</t>
        </is>
      </c>
      <c r="G222" t="inlineStr">
        <is>
          <t>Initial Cohort</t>
        </is>
      </c>
      <c r="H222" t="inlineStr">
        <is>
          <t>Previous Cohort</t>
        </is>
      </c>
      <c r="I222" t="inlineStr">
        <is>
          <t>All</t>
        </is>
      </c>
      <c r="J222" t="inlineStr">
        <is>
          <t>All</t>
        </is>
      </c>
      <c r="K222" t="inlineStr">
        <is>
          <t>All</t>
        </is>
      </c>
      <c r="L222" t="inlineStr">
        <is>
          <t>Number</t>
        </is>
      </c>
    </row>
    <row r="223">
      <c r="A223" t="inlineStr">
        <is>
          <t>B505</t>
        </is>
      </c>
      <c r="B223" t="inlineStr">
        <is>
          <t>Recipients of a Federal Pell Grant</t>
        </is>
      </c>
      <c r="C223">
        <f>IFERROR(IF(VLOOKUP($A223,'CDS-B'!$A:$L,3,FALSE)="","",(VLOOKUP($A223,'CDS-B'!$A:$L,3,FALSE))),"")</f>
        <v/>
      </c>
      <c r="D223" t="inlineStr">
        <is>
          <t>Enrollment And Persistence</t>
        </is>
      </c>
      <c r="E223" t="inlineStr">
        <is>
          <t>Graduation Rates</t>
        </is>
      </c>
      <c r="F223" t="inlineStr">
        <is>
          <t>Four Year</t>
        </is>
      </c>
      <c r="G223" t="inlineStr">
        <is>
          <t>Did Not Persist</t>
        </is>
      </c>
      <c r="H223" t="inlineStr">
        <is>
          <t>Previous Cohort</t>
        </is>
      </c>
      <c r="I223" t="inlineStr">
        <is>
          <t>All</t>
        </is>
      </c>
      <c r="J223" t="inlineStr">
        <is>
          <t>All</t>
        </is>
      </c>
      <c r="K223" t="inlineStr">
        <is>
          <t>All</t>
        </is>
      </c>
      <c r="L223" t="inlineStr">
        <is>
          <t>Number</t>
        </is>
      </c>
    </row>
    <row r="224">
      <c r="A224" t="inlineStr">
        <is>
          <t>B506</t>
        </is>
      </c>
      <c r="B224" t="inlineStr">
        <is>
          <t>Recipients of a Subsidized Stafford Loan who did not receive a Pell Grant</t>
        </is>
      </c>
      <c r="C224">
        <f>IFERROR(IF(VLOOKUP($A224,'CDS-B'!$A:$L,3,FALSE)="","",(VLOOKUP($A224,'CDS-B'!$A:$L,3,FALSE))),"")</f>
        <v/>
      </c>
      <c r="D224" t="inlineStr">
        <is>
          <t>Enrollment And Persistence</t>
        </is>
      </c>
      <c r="E224" t="inlineStr">
        <is>
          <t>Graduation Rates</t>
        </is>
      </c>
      <c r="F224" t="inlineStr">
        <is>
          <t>Four Year</t>
        </is>
      </c>
      <c r="G224" t="inlineStr">
        <is>
          <t>Did Not Persist</t>
        </is>
      </c>
      <c r="H224" t="inlineStr">
        <is>
          <t>Previous Cohort</t>
        </is>
      </c>
      <c r="I224" t="inlineStr">
        <is>
          <t>All</t>
        </is>
      </c>
      <c r="J224" t="inlineStr">
        <is>
          <t>All</t>
        </is>
      </c>
      <c r="K224" t="inlineStr">
        <is>
          <t>All</t>
        </is>
      </c>
      <c r="L224" t="inlineStr">
        <is>
          <t>Number</t>
        </is>
      </c>
    </row>
    <row r="225">
      <c r="A225" t="inlineStr">
        <is>
          <t>B507</t>
        </is>
      </c>
      <c r="B225" t="inlineStr">
        <is>
          <t>Students who did not receive either a Pell Grant or a subsidized Stafford Loan</t>
        </is>
      </c>
      <c r="C225">
        <f>IFERROR(IF(VLOOKUP($A225,'CDS-B'!$A:$L,3,FALSE)="","",(VLOOKUP($A225,'CDS-B'!$A:$L,3,FALSE))),"")</f>
        <v/>
      </c>
      <c r="D225" t="inlineStr">
        <is>
          <t>Enrollment And Persistence</t>
        </is>
      </c>
      <c r="E225" t="inlineStr">
        <is>
          <t>Graduation Rates</t>
        </is>
      </c>
      <c r="F225" t="inlineStr">
        <is>
          <t>Four Year</t>
        </is>
      </c>
      <c r="G225" t="inlineStr">
        <is>
          <t>Did Not Persist</t>
        </is>
      </c>
      <c r="H225" t="inlineStr">
        <is>
          <t>Previous Cohort</t>
        </is>
      </c>
      <c r="I225" t="inlineStr">
        <is>
          <t>All</t>
        </is>
      </c>
      <c r="J225" t="inlineStr">
        <is>
          <t>All</t>
        </is>
      </c>
      <c r="K225" t="inlineStr">
        <is>
          <t>All</t>
        </is>
      </c>
      <c r="L225" t="inlineStr">
        <is>
          <t>Number</t>
        </is>
      </c>
    </row>
    <row r="226">
      <c r="A226" t="inlineStr">
        <is>
          <t>B508</t>
        </is>
      </c>
      <c r="B226" t="inlineStr">
        <is>
          <t xml:space="preserve">Total </t>
        </is>
      </c>
      <c r="C226">
        <f>IFERROR(IF(VLOOKUP($A226,'CDS-B'!$A:$L,3,FALSE)="","",(VLOOKUP($A226,'CDS-B'!$A:$L,3,FALSE))),"")</f>
        <v/>
      </c>
      <c r="D226" t="inlineStr">
        <is>
          <t>Enrollment And Persistence</t>
        </is>
      </c>
      <c r="E226" t="inlineStr">
        <is>
          <t>Graduation Rates</t>
        </is>
      </c>
      <c r="F226" t="inlineStr">
        <is>
          <t>Four Year</t>
        </is>
      </c>
      <c r="G226" t="inlineStr">
        <is>
          <t>Did Not Persist</t>
        </is>
      </c>
      <c r="H226" t="inlineStr">
        <is>
          <t>Previous Cohort</t>
        </is>
      </c>
      <c r="I226" t="inlineStr">
        <is>
          <t>All</t>
        </is>
      </c>
      <c r="J226" t="inlineStr">
        <is>
          <t>All</t>
        </is>
      </c>
      <c r="K226" t="inlineStr">
        <is>
          <t>All</t>
        </is>
      </c>
      <c r="L226" t="inlineStr">
        <is>
          <t>Number</t>
        </is>
      </c>
    </row>
    <row r="227">
      <c r="A227" t="inlineStr">
        <is>
          <t>B509</t>
        </is>
      </c>
      <c r="B227" t="inlineStr">
        <is>
          <t>Recipients of a Federal Pell Grant</t>
        </is>
      </c>
      <c r="C227">
        <f>IFERROR(IF(VLOOKUP($A227,'CDS-B'!$A:$L,3,FALSE)="","",(VLOOKUP($A227,'CDS-B'!$A:$L,3,FALSE))),"")</f>
        <v/>
      </c>
      <c r="D227" t="inlineStr">
        <is>
          <t>Enrollment And Persistence</t>
        </is>
      </c>
      <c r="E227" t="inlineStr">
        <is>
          <t>Graduation Rates</t>
        </is>
      </c>
      <c r="F227" t="inlineStr">
        <is>
          <t>Four Year</t>
        </is>
      </c>
      <c r="G227" t="inlineStr">
        <is>
          <t>Final Cohort</t>
        </is>
      </c>
      <c r="H227" t="inlineStr">
        <is>
          <t>Previous Cohort</t>
        </is>
      </c>
      <c r="I227" t="inlineStr">
        <is>
          <t>All</t>
        </is>
      </c>
      <c r="J227" t="inlineStr">
        <is>
          <t>All</t>
        </is>
      </c>
      <c r="K227" t="inlineStr">
        <is>
          <t>All</t>
        </is>
      </c>
      <c r="L227" t="inlineStr">
        <is>
          <t>Number</t>
        </is>
      </c>
    </row>
    <row r="228">
      <c r="A228" t="inlineStr">
        <is>
          <t>B510</t>
        </is>
      </c>
      <c r="B228" t="inlineStr">
        <is>
          <t>Recipients of a Subsidized Stafford Loan who did not receive a Pell Grant</t>
        </is>
      </c>
      <c r="C228">
        <f>IFERROR(IF(VLOOKUP($A228,'CDS-B'!$A:$L,3,FALSE)="","",(VLOOKUP($A228,'CDS-B'!$A:$L,3,FALSE))),"")</f>
        <v/>
      </c>
      <c r="D228" t="inlineStr">
        <is>
          <t>Enrollment And Persistence</t>
        </is>
      </c>
      <c r="E228" t="inlineStr">
        <is>
          <t>Graduation Rates</t>
        </is>
      </c>
      <c r="F228" t="inlineStr">
        <is>
          <t>Four Year</t>
        </is>
      </c>
      <c r="G228" t="inlineStr">
        <is>
          <t>Final Cohort</t>
        </is>
      </c>
      <c r="H228" t="inlineStr">
        <is>
          <t>Previous Cohort</t>
        </is>
      </c>
      <c r="I228" t="inlineStr">
        <is>
          <t>All</t>
        </is>
      </c>
      <c r="J228" t="inlineStr">
        <is>
          <t>All</t>
        </is>
      </c>
      <c r="K228" t="inlineStr">
        <is>
          <t>All</t>
        </is>
      </c>
      <c r="L228" t="inlineStr">
        <is>
          <t>Number</t>
        </is>
      </c>
    </row>
    <row r="229">
      <c r="A229" t="inlineStr">
        <is>
          <t>B511</t>
        </is>
      </c>
      <c r="B229" t="inlineStr">
        <is>
          <t>Students who did not receive either a Pell Grant or a subsidized Stafford Loan</t>
        </is>
      </c>
      <c r="C229">
        <f>IFERROR(IF(VLOOKUP($A229,'CDS-B'!$A:$L,3,FALSE)="","",(VLOOKUP($A229,'CDS-B'!$A:$L,3,FALSE))),"")</f>
        <v/>
      </c>
      <c r="D229" t="inlineStr">
        <is>
          <t>Enrollment And Persistence</t>
        </is>
      </c>
      <c r="E229" t="inlineStr">
        <is>
          <t>Graduation Rates</t>
        </is>
      </c>
      <c r="F229" t="inlineStr">
        <is>
          <t>Four Year</t>
        </is>
      </c>
      <c r="G229" t="inlineStr">
        <is>
          <t>Final Cohort</t>
        </is>
      </c>
      <c r="H229" t="inlineStr">
        <is>
          <t>Previous Cohort</t>
        </is>
      </c>
      <c r="I229" t="inlineStr">
        <is>
          <t>All</t>
        </is>
      </c>
      <c r="J229" t="inlineStr">
        <is>
          <t>All</t>
        </is>
      </c>
      <c r="K229" t="inlineStr">
        <is>
          <t>All</t>
        </is>
      </c>
      <c r="L229" t="inlineStr">
        <is>
          <t>Number</t>
        </is>
      </c>
    </row>
    <row r="230">
      <c r="A230" t="inlineStr">
        <is>
          <t>B512</t>
        </is>
      </c>
      <c r="B230" t="inlineStr">
        <is>
          <t xml:space="preserve">Total </t>
        </is>
      </c>
      <c r="C230">
        <f>IFERROR(IF(VLOOKUP($A230,'CDS-B'!$A:$L,3,FALSE)="","",(VLOOKUP($A230,'CDS-B'!$A:$L,3,FALSE))),"")</f>
        <v/>
      </c>
      <c r="D230" t="inlineStr">
        <is>
          <t>Enrollment And Persistence</t>
        </is>
      </c>
      <c r="E230" t="inlineStr">
        <is>
          <t>Graduation Rates</t>
        </is>
      </c>
      <c r="F230" t="inlineStr">
        <is>
          <t>Four Year</t>
        </is>
      </c>
      <c r="G230" t="inlineStr">
        <is>
          <t>Final Cohort</t>
        </is>
      </c>
      <c r="H230" t="inlineStr">
        <is>
          <t>Previous Cohort</t>
        </is>
      </c>
      <c r="I230" t="inlineStr">
        <is>
          <t>All</t>
        </is>
      </c>
      <c r="J230" t="inlineStr">
        <is>
          <t>All</t>
        </is>
      </c>
      <c r="K230" t="inlineStr">
        <is>
          <t>All</t>
        </is>
      </c>
      <c r="L230" t="inlineStr">
        <is>
          <t>Number</t>
        </is>
      </c>
    </row>
    <row r="231">
      <c r="A231" t="inlineStr">
        <is>
          <t>B513</t>
        </is>
      </c>
      <c r="B231" t="inlineStr">
        <is>
          <t>Recipients of a Federal Pell Grant</t>
        </is>
      </c>
      <c r="C231">
        <f>IFERROR(IF(VLOOKUP($A231,'CDS-B'!$A:$L,3,FALSE)="","",(VLOOKUP($A231,'CDS-B'!$A:$L,3,FALSE))),"")</f>
        <v/>
      </c>
      <c r="D231" t="inlineStr">
        <is>
          <t>Enrollment And Persistence</t>
        </is>
      </c>
      <c r="E231" t="inlineStr">
        <is>
          <t>Graduation Rates</t>
        </is>
      </c>
      <c r="F231" t="inlineStr">
        <is>
          <t>Four Year</t>
        </is>
      </c>
      <c r="G231" t="inlineStr">
        <is>
          <t>Completers Less Than Four</t>
        </is>
      </c>
      <c r="H231" t="inlineStr">
        <is>
          <t>Previous Cohort</t>
        </is>
      </c>
      <c r="I231" t="inlineStr">
        <is>
          <t>All</t>
        </is>
      </c>
      <c r="J231" t="inlineStr">
        <is>
          <t>All</t>
        </is>
      </c>
      <c r="K231" t="inlineStr">
        <is>
          <t>All</t>
        </is>
      </c>
      <c r="L231" t="inlineStr">
        <is>
          <t>Number</t>
        </is>
      </c>
    </row>
    <row r="232">
      <c r="A232" t="inlineStr">
        <is>
          <t>B514</t>
        </is>
      </c>
      <c r="B232" t="inlineStr">
        <is>
          <t>Recipients of a Subsidized Stafford Loan who did not receive a Pell Grant</t>
        </is>
      </c>
      <c r="C232">
        <f>IFERROR(IF(VLOOKUP($A232,'CDS-B'!$A:$L,3,FALSE)="","",(VLOOKUP($A232,'CDS-B'!$A:$L,3,FALSE))),"")</f>
        <v/>
      </c>
      <c r="D232" t="inlineStr">
        <is>
          <t>Enrollment And Persistence</t>
        </is>
      </c>
      <c r="E232" t="inlineStr">
        <is>
          <t>Graduation Rates</t>
        </is>
      </c>
      <c r="F232" t="inlineStr">
        <is>
          <t>Four Year</t>
        </is>
      </c>
      <c r="G232" t="inlineStr">
        <is>
          <t>Completers Less Than Four</t>
        </is>
      </c>
      <c r="H232" t="inlineStr">
        <is>
          <t>Previous Cohort</t>
        </is>
      </c>
      <c r="I232" t="inlineStr">
        <is>
          <t>All</t>
        </is>
      </c>
      <c r="J232" t="inlineStr">
        <is>
          <t>All</t>
        </is>
      </c>
      <c r="K232" t="inlineStr">
        <is>
          <t>All</t>
        </is>
      </c>
      <c r="L232" t="inlineStr">
        <is>
          <t>Number</t>
        </is>
      </c>
    </row>
    <row r="233">
      <c r="A233" t="inlineStr">
        <is>
          <t>B515</t>
        </is>
      </c>
      <c r="B233" t="inlineStr">
        <is>
          <t>Students who did not receive either a Pell Grant or a subsidized Stafford Loan</t>
        </is>
      </c>
      <c r="C233">
        <f>IFERROR(IF(VLOOKUP($A233,'CDS-B'!$A:$L,3,FALSE)="","",(VLOOKUP($A233,'CDS-B'!$A:$L,3,FALSE))),"")</f>
        <v/>
      </c>
      <c r="D233" t="inlineStr">
        <is>
          <t>Enrollment And Persistence</t>
        </is>
      </c>
      <c r="E233" t="inlineStr">
        <is>
          <t>Graduation Rates</t>
        </is>
      </c>
      <c r="F233" t="inlineStr">
        <is>
          <t>Four Year</t>
        </is>
      </c>
      <c r="G233" t="inlineStr">
        <is>
          <t>Completers Less Than Four</t>
        </is>
      </c>
      <c r="H233" t="inlineStr">
        <is>
          <t>Previous Cohort</t>
        </is>
      </c>
      <c r="I233" t="inlineStr">
        <is>
          <t>All</t>
        </is>
      </c>
      <c r="J233" t="inlineStr">
        <is>
          <t>All</t>
        </is>
      </c>
      <c r="K233" t="inlineStr">
        <is>
          <t>All</t>
        </is>
      </c>
      <c r="L233" t="inlineStr">
        <is>
          <t>Number</t>
        </is>
      </c>
    </row>
    <row r="234">
      <c r="A234" t="inlineStr">
        <is>
          <t>B516</t>
        </is>
      </c>
      <c r="B234" t="inlineStr">
        <is>
          <t xml:space="preserve">Total </t>
        </is>
      </c>
      <c r="C234">
        <f>IFERROR(IF(VLOOKUP($A234,'CDS-B'!$A:$L,3,FALSE)="","",(VLOOKUP($A234,'CDS-B'!$A:$L,3,FALSE))),"")</f>
        <v/>
      </c>
      <c r="D234" t="inlineStr">
        <is>
          <t>Enrollment And Persistence</t>
        </is>
      </c>
      <c r="E234" t="inlineStr">
        <is>
          <t>Graduation Rates</t>
        </is>
      </c>
      <c r="F234" t="inlineStr">
        <is>
          <t>Four Year</t>
        </is>
      </c>
      <c r="G234" t="inlineStr">
        <is>
          <t>Completers Less Than Four</t>
        </is>
      </c>
      <c r="H234" t="inlineStr">
        <is>
          <t>Previous Cohort</t>
        </is>
      </c>
      <c r="I234" t="inlineStr">
        <is>
          <t>All</t>
        </is>
      </c>
      <c r="J234" t="inlineStr">
        <is>
          <t>All</t>
        </is>
      </c>
      <c r="K234" t="inlineStr">
        <is>
          <t>All</t>
        </is>
      </c>
      <c r="L234" t="inlineStr">
        <is>
          <t>Number</t>
        </is>
      </c>
    </row>
    <row r="235">
      <c r="A235" t="inlineStr">
        <is>
          <t>B517</t>
        </is>
      </c>
      <c r="B235" t="inlineStr">
        <is>
          <t>Recipients of a Federal Pell Grant</t>
        </is>
      </c>
      <c r="C235">
        <f>IFERROR(IF(VLOOKUP($A235,'CDS-B'!$A:$L,3,FALSE)="","",(VLOOKUP($A235,'CDS-B'!$A:$L,3,FALSE))),"")</f>
        <v/>
      </c>
      <c r="D235" t="inlineStr">
        <is>
          <t>Enrollment And Persistence</t>
        </is>
      </c>
      <c r="E235" t="inlineStr">
        <is>
          <t>Graduation Rates</t>
        </is>
      </c>
      <c r="F235" t="inlineStr">
        <is>
          <t>Four Year</t>
        </is>
      </c>
      <c r="G235" t="inlineStr">
        <is>
          <t>Completers Less Than Five</t>
        </is>
      </c>
      <c r="H235" t="inlineStr">
        <is>
          <t>Previous Cohort</t>
        </is>
      </c>
      <c r="I235" t="inlineStr">
        <is>
          <t>All</t>
        </is>
      </c>
      <c r="J235" t="inlineStr">
        <is>
          <t>All</t>
        </is>
      </c>
      <c r="K235" t="inlineStr">
        <is>
          <t>All</t>
        </is>
      </c>
      <c r="L235" t="inlineStr">
        <is>
          <t>Number</t>
        </is>
      </c>
    </row>
    <row r="236">
      <c r="A236" t="inlineStr">
        <is>
          <t>B518</t>
        </is>
      </c>
      <c r="B236" t="inlineStr">
        <is>
          <t>Recipients of a Subsidized Stafford Loan who did not receive a Pell Grant</t>
        </is>
      </c>
      <c r="C236">
        <f>IFERROR(IF(VLOOKUP($A236,'CDS-B'!$A:$L,3,FALSE)="","",(VLOOKUP($A236,'CDS-B'!$A:$L,3,FALSE))),"")</f>
        <v/>
      </c>
      <c r="D236" t="inlineStr">
        <is>
          <t>Enrollment And Persistence</t>
        </is>
      </c>
      <c r="E236" t="inlineStr">
        <is>
          <t>Graduation Rates</t>
        </is>
      </c>
      <c r="F236" t="inlineStr">
        <is>
          <t>Four Year</t>
        </is>
      </c>
      <c r="G236" t="inlineStr">
        <is>
          <t>Completers Less Than Five</t>
        </is>
      </c>
      <c r="H236" t="inlineStr">
        <is>
          <t>Previous Cohort</t>
        </is>
      </c>
      <c r="I236" t="inlineStr">
        <is>
          <t>All</t>
        </is>
      </c>
      <c r="J236" t="inlineStr">
        <is>
          <t>All</t>
        </is>
      </c>
      <c r="K236" t="inlineStr">
        <is>
          <t>All</t>
        </is>
      </c>
      <c r="L236" t="inlineStr">
        <is>
          <t>Number</t>
        </is>
      </c>
    </row>
    <row r="237">
      <c r="A237" t="inlineStr">
        <is>
          <t>B519</t>
        </is>
      </c>
      <c r="B237" t="inlineStr">
        <is>
          <t>Students who did not receive either a Pell Grant or a subsidized Stafford Loan</t>
        </is>
      </c>
      <c r="C237">
        <f>IFERROR(IF(VLOOKUP($A237,'CDS-B'!$A:$L,3,FALSE)="","",(VLOOKUP($A237,'CDS-B'!$A:$L,3,FALSE))),"")</f>
        <v/>
      </c>
      <c r="D237" t="inlineStr">
        <is>
          <t>Enrollment And Persistence</t>
        </is>
      </c>
      <c r="E237" t="inlineStr">
        <is>
          <t>Graduation Rates</t>
        </is>
      </c>
      <c r="F237" t="inlineStr">
        <is>
          <t>Four Year</t>
        </is>
      </c>
      <c r="G237" t="inlineStr">
        <is>
          <t>Completers Less Than Five</t>
        </is>
      </c>
      <c r="H237" t="inlineStr">
        <is>
          <t>Previous Cohort</t>
        </is>
      </c>
      <c r="I237" t="inlineStr">
        <is>
          <t>All</t>
        </is>
      </c>
      <c r="J237" t="inlineStr">
        <is>
          <t>All</t>
        </is>
      </c>
      <c r="K237" t="inlineStr">
        <is>
          <t>All</t>
        </is>
      </c>
      <c r="L237" t="inlineStr">
        <is>
          <t>Number</t>
        </is>
      </c>
    </row>
    <row r="238">
      <c r="A238" t="inlineStr">
        <is>
          <t>B520</t>
        </is>
      </c>
      <c r="B238" t="inlineStr">
        <is>
          <t xml:space="preserve">Total </t>
        </is>
      </c>
      <c r="C238">
        <f>IFERROR(IF(VLOOKUP($A238,'CDS-B'!$A:$L,3,FALSE)="","",(VLOOKUP($A238,'CDS-B'!$A:$L,3,FALSE))),"")</f>
        <v/>
      </c>
      <c r="D238" t="inlineStr">
        <is>
          <t>Enrollment And Persistence</t>
        </is>
      </c>
      <c r="E238" t="inlineStr">
        <is>
          <t>Graduation Rates</t>
        </is>
      </c>
      <c r="F238" t="inlineStr">
        <is>
          <t>Four Year</t>
        </is>
      </c>
      <c r="G238" t="inlineStr">
        <is>
          <t>Completers Less Than Five</t>
        </is>
      </c>
      <c r="H238" t="inlineStr">
        <is>
          <t>Previous Cohort</t>
        </is>
      </c>
      <c r="I238" t="inlineStr">
        <is>
          <t>All</t>
        </is>
      </c>
      <c r="J238" t="inlineStr">
        <is>
          <t>All</t>
        </is>
      </c>
      <c r="K238" t="inlineStr">
        <is>
          <t>All</t>
        </is>
      </c>
      <c r="L238" t="inlineStr">
        <is>
          <t>Number</t>
        </is>
      </c>
    </row>
    <row r="239">
      <c r="A239" t="inlineStr">
        <is>
          <t>B521</t>
        </is>
      </c>
      <c r="B239" t="inlineStr">
        <is>
          <t>Recipients of a Federal Pell Grant</t>
        </is>
      </c>
      <c r="C239">
        <f>IFERROR(IF(VLOOKUP($A239,'CDS-B'!$A:$L,3,FALSE)="","",(VLOOKUP($A239,'CDS-B'!$A:$L,3,FALSE))),"")</f>
        <v/>
      </c>
      <c r="D239" t="inlineStr">
        <is>
          <t>Enrollment And Persistence</t>
        </is>
      </c>
      <c r="E239" t="inlineStr">
        <is>
          <t>Graduation Rates</t>
        </is>
      </c>
      <c r="F239" t="inlineStr">
        <is>
          <t>Four Year</t>
        </is>
      </c>
      <c r="G239" t="inlineStr">
        <is>
          <t>Completers Less Than Six</t>
        </is>
      </c>
      <c r="H239" t="inlineStr">
        <is>
          <t>Previous Cohort</t>
        </is>
      </c>
      <c r="I239" t="inlineStr">
        <is>
          <t>All</t>
        </is>
      </c>
      <c r="J239" t="inlineStr">
        <is>
          <t>All</t>
        </is>
      </c>
      <c r="K239" t="inlineStr">
        <is>
          <t>All</t>
        </is>
      </c>
      <c r="L239" t="inlineStr">
        <is>
          <t>Number</t>
        </is>
      </c>
    </row>
    <row r="240">
      <c r="A240" t="inlineStr">
        <is>
          <t>B522</t>
        </is>
      </c>
      <c r="B240" t="inlineStr">
        <is>
          <t>Recipients of a Subsidized Stafford Loan who did not receive a Pell Grant</t>
        </is>
      </c>
      <c r="C240">
        <f>IFERROR(IF(VLOOKUP($A240,'CDS-B'!$A:$L,3,FALSE)="","",(VLOOKUP($A240,'CDS-B'!$A:$L,3,FALSE))),"")</f>
        <v/>
      </c>
      <c r="D240" t="inlineStr">
        <is>
          <t>Enrollment And Persistence</t>
        </is>
      </c>
      <c r="E240" t="inlineStr">
        <is>
          <t>Graduation Rates</t>
        </is>
      </c>
      <c r="F240" t="inlineStr">
        <is>
          <t>Four Year</t>
        </is>
      </c>
      <c r="G240" t="inlineStr">
        <is>
          <t>Completers Less Than Six</t>
        </is>
      </c>
      <c r="H240" t="inlineStr">
        <is>
          <t>Previous Cohort</t>
        </is>
      </c>
      <c r="I240" t="inlineStr">
        <is>
          <t>All</t>
        </is>
      </c>
      <c r="J240" t="inlineStr">
        <is>
          <t>All</t>
        </is>
      </c>
      <c r="K240" t="inlineStr">
        <is>
          <t>All</t>
        </is>
      </c>
      <c r="L240" t="inlineStr">
        <is>
          <t>Number</t>
        </is>
      </c>
    </row>
    <row r="241">
      <c r="A241" t="inlineStr">
        <is>
          <t>B523</t>
        </is>
      </c>
      <c r="B241" t="inlineStr">
        <is>
          <t>Students who did not receive either a Pell Grant or a subsidized Stafford Loan</t>
        </is>
      </c>
      <c r="C241">
        <f>IFERROR(IF(VLOOKUP($A241,'CDS-B'!$A:$L,3,FALSE)="","",(VLOOKUP($A241,'CDS-B'!$A:$L,3,FALSE))),"")</f>
        <v/>
      </c>
      <c r="D241" t="inlineStr">
        <is>
          <t>Enrollment And Persistence</t>
        </is>
      </c>
      <c r="E241" t="inlineStr">
        <is>
          <t>Graduation Rates</t>
        </is>
      </c>
      <c r="F241" t="inlineStr">
        <is>
          <t>Four Year</t>
        </is>
      </c>
      <c r="G241" t="inlineStr">
        <is>
          <t>Completers Less Than Six</t>
        </is>
      </c>
      <c r="H241" t="inlineStr">
        <is>
          <t>Previous Cohort</t>
        </is>
      </c>
      <c r="I241" t="inlineStr">
        <is>
          <t>All</t>
        </is>
      </c>
      <c r="J241" t="inlineStr">
        <is>
          <t>All</t>
        </is>
      </c>
      <c r="K241" t="inlineStr">
        <is>
          <t>All</t>
        </is>
      </c>
      <c r="L241" t="inlineStr">
        <is>
          <t>Number</t>
        </is>
      </c>
    </row>
    <row r="242">
      <c r="A242" t="inlineStr">
        <is>
          <t>B524</t>
        </is>
      </c>
      <c r="B242" t="inlineStr">
        <is>
          <t xml:space="preserve">Total </t>
        </is>
      </c>
      <c r="C242">
        <f>IFERROR(IF(VLOOKUP($A242,'CDS-B'!$A:$L,3,FALSE)="","",(VLOOKUP($A242,'CDS-B'!$A:$L,3,FALSE))),"")</f>
        <v/>
      </c>
      <c r="D242" t="inlineStr">
        <is>
          <t>Enrollment And Persistence</t>
        </is>
      </c>
      <c r="E242" t="inlineStr">
        <is>
          <t>Graduation Rates</t>
        </is>
      </c>
      <c r="F242" t="inlineStr">
        <is>
          <t>Four Year</t>
        </is>
      </c>
      <c r="G242" t="inlineStr">
        <is>
          <t>Completers Less Than Six</t>
        </is>
      </c>
      <c r="H242" t="inlineStr">
        <is>
          <t>Previous Cohort</t>
        </is>
      </c>
      <c r="I242" t="inlineStr">
        <is>
          <t>All</t>
        </is>
      </c>
      <c r="J242" t="inlineStr">
        <is>
          <t>All</t>
        </is>
      </c>
      <c r="K242" t="inlineStr">
        <is>
          <t>All</t>
        </is>
      </c>
      <c r="L242" t="inlineStr">
        <is>
          <t>Number</t>
        </is>
      </c>
    </row>
    <row r="243">
      <c r="A243" t="inlineStr">
        <is>
          <t>B525</t>
        </is>
      </c>
      <c r="B243" t="inlineStr">
        <is>
          <t>Recipients of a Federal Pell Grant</t>
        </is>
      </c>
      <c r="C243">
        <f>IFERROR(IF(VLOOKUP($A243,'CDS-B'!$A:$L,3,FALSE)="","",(VLOOKUP($A243,'CDS-B'!$A:$L,3,FALSE))),"")</f>
        <v/>
      </c>
      <c r="D243" t="inlineStr">
        <is>
          <t>Enrollment And Persistence</t>
        </is>
      </c>
      <c r="E243" t="inlineStr">
        <is>
          <t>Graduation Rates</t>
        </is>
      </c>
      <c r="F243" t="inlineStr">
        <is>
          <t>Four Year</t>
        </is>
      </c>
      <c r="G243" t="inlineStr">
        <is>
          <t>Completers Total</t>
        </is>
      </c>
      <c r="H243" t="inlineStr">
        <is>
          <t>Previous Cohort</t>
        </is>
      </c>
      <c r="I243" t="inlineStr">
        <is>
          <t>All</t>
        </is>
      </c>
      <c r="J243" t="inlineStr">
        <is>
          <t>All</t>
        </is>
      </c>
      <c r="K243" t="inlineStr">
        <is>
          <t>All</t>
        </is>
      </c>
      <c r="L243" t="inlineStr">
        <is>
          <t>Number</t>
        </is>
      </c>
    </row>
    <row r="244">
      <c r="A244" t="inlineStr">
        <is>
          <t>B526</t>
        </is>
      </c>
      <c r="B244" t="inlineStr">
        <is>
          <t>Recipients of a Subsidized Stafford Loan who did not receive a Pell Grant</t>
        </is>
      </c>
      <c r="C244">
        <f>IFERROR(IF(VLOOKUP($A244,'CDS-B'!$A:$L,3,FALSE)="","",(VLOOKUP($A244,'CDS-B'!$A:$L,3,FALSE))),"")</f>
        <v/>
      </c>
      <c r="D244" t="inlineStr">
        <is>
          <t>Enrollment And Persistence</t>
        </is>
      </c>
      <c r="E244" t="inlineStr">
        <is>
          <t>Graduation Rates</t>
        </is>
      </c>
      <c r="F244" t="inlineStr">
        <is>
          <t>Four Year</t>
        </is>
      </c>
      <c r="G244" t="inlineStr">
        <is>
          <t>Completers Total</t>
        </is>
      </c>
      <c r="H244" t="inlineStr">
        <is>
          <t>Previous Cohort</t>
        </is>
      </c>
      <c r="I244" t="inlineStr">
        <is>
          <t>All</t>
        </is>
      </c>
      <c r="J244" t="inlineStr">
        <is>
          <t>All</t>
        </is>
      </c>
      <c r="K244" t="inlineStr">
        <is>
          <t>All</t>
        </is>
      </c>
      <c r="L244" t="inlineStr">
        <is>
          <t>Number</t>
        </is>
      </c>
    </row>
    <row r="245">
      <c r="A245" t="inlineStr">
        <is>
          <t>B527</t>
        </is>
      </c>
      <c r="B245" t="inlineStr">
        <is>
          <t>Students who did not receive either a Pell Grant or a subsidized Stafford Loan</t>
        </is>
      </c>
      <c r="C245">
        <f>IFERROR(IF(VLOOKUP($A245,'CDS-B'!$A:$L,3,FALSE)="","",(VLOOKUP($A245,'CDS-B'!$A:$L,3,FALSE))),"")</f>
        <v/>
      </c>
      <c r="D245" t="inlineStr">
        <is>
          <t>Enrollment And Persistence</t>
        </is>
      </c>
      <c r="E245" t="inlineStr">
        <is>
          <t>Graduation Rates</t>
        </is>
      </c>
      <c r="F245" t="inlineStr">
        <is>
          <t>Four Year</t>
        </is>
      </c>
      <c r="G245" t="inlineStr">
        <is>
          <t>Completers Total</t>
        </is>
      </c>
      <c r="H245" t="inlineStr">
        <is>
          <t>Previous Cohort</t>
        </is>
      </c>
      <c r="I245" t="inlineStr">
        <is>
          <t>All</t>
        </is>
      </c>
      <c r="J245" t="inlineStr">
        <is>
          <t>All</t>
        </is>
      </c>
      <c r="K245" t="inlineStr">
        <is>
          <t>All</t>
        </is>
      </c>
      <c r="L245" t="inlineStr">
        <is>
          <t>Number</t>
        </is>
      </c>
    </row>
    <row r="246">
      <c r="A246" t="inlineStr">
        <is>
          <t>B528</t>
        </is>
      </c>
      <c r="B246" t="inlineStr">
        <is>
          <t xml:space="preserve">Total </t>
        </is>
      </c>
      <c r="C246">
        <f>IFERROR(IF(VLOOKUP($A246,'CDS-B'!$A:$L,3,FALSE)="","",(VLOOKUP($A246,'CDS-B'!$A:$L,3,FALSE))),"")</f>
        <v/>
      </c>
      <c r="D246" t="inlineStr">
        <is>
          <t>Enrollment And Persistence</t>
        </is>
      </c>
      <c r="E246" t="inlineStr">
        <is>
          <t>Graduation Rates</t>
        </is>
      </c>
      <c r="F246" t="inlineStr">
        <is>
          <t>Four Year</t>
        </is>
      </c>
      <c r="G246" t="inlineStr">
        <is>
          <t>Completers Total</t>
        </is>
      </c>
      <c r="H246" t="inlineStr">
        <is>
          <t>Previous Cohort</t>
        </is>
      </c>
      <c r="I246" t="inlineStr">
        <is>
          <t>All</t>
        </is>
      </c>
      <c r="J246" t="inlineStr">
        <is>
          <t>All</t>
        </is>
      </c>
      <c r="K246" t="inlineStr">
        <is>
          <t>All</t>
        </is>
      </c>
      <c r="L246" t="inlineStr">
        <is>
          <t>Number</t>
        </is>
      </c>
    </row>
    <row r="247">
      <c r="A247" t="inlineStr">
        <is>
          <t>B529</t>
        </is>
      </c>
      <c r="B247" t="inlineStr">
        <is>
          <t>Recipients of a Federal Pell Grant</t>
        </is>
      </c>
      <c r="C247">
        <f>IFERROR(IF(VLOOKUP($A247,'CDS-B'!$A:$L,3,FALSE)="","",(VLOOKUP($A247,'CDS-B'!$A:$L,3,FALSE))),"")</f>
        <v/>
      </c>
      <c r="D247" t="inlineStr">
        <is>
          <t>Enrollment And Persistence</t>
        </is>
      </c>
      <c r="E247" t="inlineStr">
        <is>
          <t>Graduation Rates</t>
        </is>
      </c>
      <c r="F247" t="inlineStr">
        <is>
          <t>Four Year</t>
        </is>
      </c>
      <c r="G247" t="inlineStr">
        <is>
          <t>Six Year Grad Rate</t>
        </is>
      </c>
      <c r="H247" t="inlineStr">
        <is>
          <t>Previous Cohort</t>
        </is>
      </c>
      <c r="I247" t="inlineStr">
        <is>
          <t>All</t>
        </is>
      </c>
      <c r="J247" t="inlineStr">
        <is>
          <t>All</t>
        </is>
      </c>
      <c r="K247" t="inlineStr">
        <is>
          <t>All</t>
        </is>
      </c>
      <c r="L247" t="inlineStr">
        <is>
          <t>Whole Number or Round to Nearest Tenths</t>
        </is>
      </c>
    </row>
    <row r="248">
      <c r="A248" t="inlineStr">
        <is>
          <t>B530</t>
        </is>
      </c>
      <c r="B248" t="inlineStr">
        <is>
          <t>Recipients of a Subsidized Stafford Loan who did not receive a Pell Grant</t>
        </is>
      </c>
      <c r="C248">
        <f>IFERROR(IF(VLOOKUP($A248,'CDS-B'!$A:$L,3,FALSE)="","",(VLOOKUP($A248,'CDS-B'!$A:$L,3,FALSE))),"")</f>
        <v/>
      </c>
      <c r="D248" t="inlineStr">
        <is>
          <t>Enrollment And Persistence</t>
        </is>
      </c>
      <c r="E248" t="inlineStr">
        <is>
          <t>Graduation Rates</t>
        </is>
      </c>
      <c r="F248" t="inlineStr">
        <is>
          <t>Four Year</t>
        </is>
      </c>
      <c r="G248" t="inlineStr">
        <is>
          <t>Six Year Grad Rate</t>
        </is>
      </c>
      <c r="H248" t="inlineStr">
        <is>
          <t>Previous Cohort</t>
        </is>
      </c>
      <c r="I248" t="inlineStr">
        <is>
          <t>All</t>
        </is>
      </c>
      <c r="J248" t="inlineStr">
        <is>
          <t>All</t>
        </is>
      </c>
      <c r="K248" t="inlineStr">
        <is>
          <t>All</t>
        </is>
      </c>
      <c r="L248" t="inlineStr">
        <is>
          <t>Whole Number or Round to Nearest Tenths</t>
        </is>
      </c>
    </row>
    <row r="249">
      <c r="A249" t="inlineStr">
        <is>
          <t>B531</t>
        </is>
      </c>
      <c r="B249" t="inlineStr">
        <is>
          <t>Students who did not receive either a Pell Grant or a subsidized Stafford Loan</t>
        </is>
      </c>
      <c r="C249">
        <f>IFERROR(IF(VLOOKUP($A249,'CDS-B'!$A:$L,3,FALSE)="","",(VLOOKUP($A249,'CDS-B'!$A:$L,3,FALSE))),"")</f>
        <v/>
      </c>
      <c r="D249" t="inlineStr">
        <is>
          <t>Enrollment And Persistence</t>
        </is>
      </c>
      <c r="E249" t="inlineStr">
        <is>
          <t>Graduation Rates</t>
        </is>
      </c>
      <c r="F249" t="inlineStr">
        <is>
          <t>Four Year</t>
        </is>
      </c>
      <c r="G249" t="inlineStr">
        <is>
          <t>Six Year Grad Rate</t>
        </is>
      </c>
      <c r="H249" t="inlineStr">
        <is>
          <t>Previous Cohort</t>
        </is>
      </c>
      <c r="I249" t="inlineStr">
        <is>
          <t>All</t>
        </is>
      </c>
      <c r="J249" t="inlineStr">
        <is>
          <t>All</t>
        </is>
      </c>
      <c r="K249" t="inlineStr">
        <is>
          <t>All</t>
        </is>
      </c>
      <c r="L249" t="inlineStr">
        <is>
          <t>Whole Number or Round to Nearest Tenths</t>
        </is>
      </c>
    </row>
    <row r="250">
      <c r="A250" t="inlineStr">
        <is>
          <t>B532</t>
        </is>
      </c>
      <c r="B250" t="inlineStr">
        <is>
          <t xml:space="preserve">Total </t>
        </is>
      </c>
      <c r="C250">
        <f>IFERROR(IF(VLOOKUP($A250,'CDS-B'!$A:$L,3,FALSE)="","",(VLOOKUP($A250,'CDS-B'!$A:$L,3,FALSE))),"")</f>
        <v/>
      </c>
      <c r="D250" t="inlineStr">
        <is>
          <t>Enrollment And Persistence</t>
        </is>
      </c>
      <c r="E250" t="inlineStr">
        <is>
          <t>Graduation Rates</t>
        </is>
      </c>
      <c r="F250" t="inlineStr">
        <is>
          <t>Four Year</t>
        </is>
      </c>
      <c r="G250" t="inlineStr">
        <is>
          <t>Six Year Grad Rate</t>
        </is>
      </c>
      <c r="H250" t="inlineStr">
        <is>
          <t>Previous Cohort</t>
        </is>
      </c>
      <c r="I250" t="inlineStr">
        <is>
          <t>All</t>
        </is>
      </c>
      <c r="J250" t="inlineStr">
        <is>
          <t>All</t>
        </is>
      </c>
      <c r="K250" t="inlineStr">
        <is>
          <t>All</t>
        </is>
      </c>
      <c r="L250" t="inlineStr">
        <is>
          <t>Whole Number or Round to Nearest Tenths</t>
        </is>
      </c>
    </row>
    <row r="251">
      <c r="A251" t="inlineStr">
        <is>
          <t>B1201</t>
        </is>
      </c>
      <c r="B251" t="inlineStr">
        <is>
          <t>2021 Cohort</t>
        </is>
      </c>
      <c r="C251">
        <f>IFERROR(IF(VLOOKUP($A251,'CDS-B'!$A:$L,3,FALSE)="","",(VLOOKUP($A251,'CDS-B'!$A:$L,3,FALSE))),"")</f>
        <v/>
      </c>
      <c r="D251" t="inlineStr">
        <is>
          <t>Enrollment And Persistence</t>
        </is>
      </c>
      <c r="E251" t="inlineStr">
        <is>
          <t>Graduation Rates</t>
        </is>
      </c>
      <c r="F251" t="inlineStr">
        <is>
          <t>Two Year</t>
        </is>
      </c>
      <c r="G251" t="inlineStr">
        <is>
          <t>Initial Cohort</t>
        </is>
      </c>
      <c r="H251" t="inlineStr">
        <is>
          <t>Current Cohort</t>
        </is>
      </c>
      <c r="I251" t="inlineStr">
        <is>
          <t>All</t>
        </is>
      </c>
      <c r="J251" t="inlineStr">
        <is>
          <t>All</t>
        </is>
      </c>
      <c r="K251" t="inlineStr">
        <is>
          <t>All</t>
        </is>
      </c>
      <c r="L251" t="inlineStr">
        <is>
          <t>Number</t>
        </is>
      </c>
    </row>
    <row r="252">
      <c r="A252" t="inlineStr">
        <is>
          <t>B1202</t>
        </is>
      </c>
      <c r="B252" t="inlineStr">
        <is>
          <t>2020 Cohort</t>
        </is>
      </c>
      <c r="C252">
        <f>IFERROR(IF(VLOOKUP($A252,'CDS-B'!$A:$L,3,FALSE)="","",(VLOOKUP($A252,'CDS-B'!$A:$L,3,FALSE))),"")</f>
        <v/>
      </c>
      <c r="D252" t="inlineStr">
        <is>
          <t>Enrollment And Persistence</t>
        </is>
      </c>
      <c r="E252" t="inlineStr">
        <is>
          <t>Graduation Rates</t>
        </is>
      </c>
      <c r="F252" t="inlineStr">
        <is>
          <t>Two Year</t>
        </is>
      </c>
      <c r="G252" t="inlineStr">
        <is>
          <t>Initial Cohort</t>
        </is>
      </c>
      <c r="H252" t="inlineStr">
        <is>
          <t>Previous Year</t>
        </is>
      </c>
      <c r="I252" t="inlineStr">
        <is>
          <t>All</t>
        </is>
      </c>
      <c r="J252" t="inlineStr">
        <is>
          <t>All</t>
        </is>
      </c>
      <c r="K252" t="inlineStr">
        <is>
          <t>All</t>
        </is>
      </c>
      <c r="L252" t="inlineStr">
        <is>
          <t>Number</t>
        </is>
      </c>
    </row>
    <row r="253">
      <c r="A253" t="inlineStr">
        <is>
          <t>B1301</t>
        </is>
      </c>
      <c r="B253" t="inlineStr">
        <is>
          <t>2021 Cohort</t>
        </is>
      </c>
      <c r="C253">
        <f>IFERROR(IF(VLOOKUP($A253,'CDS-B'!$A:$L,3,FALSE)="","",(VLOOKUP($A253,'CDS-B'!$A:$L,3,FALSE))),"")</f>
        <v/>
      </c>
      <c r="D253" t="inlineStr">
        <is>
          <t>Enrollment And Persistence</t>
        </is>
      </c>
      <c r="E253" t="inlineStr">
        <is>
          <t>Graduation Rates</t>
        </is>
      </c>
      <c r="F253" t="inlineStr">
        <is>
          <t>Two Year</t>
        </is>
      </c>
      <c r="G253" t="inlineStr">
        <is>
          <t>Did Not Persist</t>
        </is>
      </c>
      <c r="H253" t="inlineStr">
        <is>
          <t>Current Cohort</t>
        </is>
      </c>
      <c r="I253" t="inlineStr">
        <is>
          <t>All</t>
        </is>
      </c>
      <c r="J253" t="inlineStr">
        <is>
          <t>All</t>
        </is>
      </c>
      <c r="K253" t="inlineStr">
        <is>
          <t>All</t>
        </is>
      </c>
      <c r="L253" t="inlineStr">
        <is>
          <t>Number</t>
        </is>
      </c>
    </row>
    <row r="254">
      <c r="A254" t="inlineStr">
        <is>
          <t>B1302</t>
        </is>
      </c>
      <c r="B254" t="inlineStr">
        <is>
          <t>2020 Cohort</t>
        </is>
      </c>
      <c r="C254">
        <f>IFERROR(IF(VLOOKUP($A254,'CDS-B'!$A:$L,3,FALSE)="","",(VLOOKUP($A254,'CDS-B'!$A:$L,3,FALSE))),"")</f>
        <v/>
      </c>
      <c r="D254" t="inlineStr">
        <is>
          <t>Enrollment And Persistence</t>
        </is>
      </c>
      <c r="E254" t="inlineStr">
        <is>
          <t>Graduation Rates</t>
        </is>
      </c>
      <c r="F254" t="inlineStr">
        <is>
          <t>Two Year</t>
        </is>
      </c>
      <c r="G254" t="inlineStr">
        <is>
          <t>Did Not Persist</t>
        </is>
      </c>
      <c r="H254" t="inlineStr">
        <is>
          <t>Previous Year</t>
        </is>
      </c>
      <c r="I254" t="inlineStr">
        <is>
          <t>All</t>
        </is>
      </c>
      <c r="J254" t="inlineStr">
        <is>
          <t>All</t>
        </is>
      </c>
      <c r="K254" t="inlineStr">
        <is>
          <t>All</t>
        </is>
      </c>
      <c r="L254" t="inlineStr">
        <is>
          <t>Number</t>
        </is>
      </c>
    </row>
    <row r="255">
      <c r="A255" t="inlineStr">
        <is>
          <t>B1401</t>
        </is>
      </c>
      <c r="B255" t="inlineStr">
        <is>
          <t>2021 Cohort</t>
        </is>
      </c>
      <c r="C255">
        <f>IFERROR(IF(VLOOKUP($A255,'CDS-B'!$A:$L,3,FALSE)="","",(VLOOKUP($A255,'CDS-B'!$A:$L,3,FALSE))),"")</f>
        <v/>
      </c>
      <c r="D255" t="inlineStr">
        <is>
          <t>Enrollment And Persistence</t>
        </is>
      </c>
      <c r="E255" t="inlineStr">
        <is>
          <t>Graduation Rates</t>
        </is>
      </c>
      <c r="F255" t="inlineStr">
        <is>
          <t>Two Year</t>
        </is>
      </c>
      <c r="G255" t="inlineStr">
        <is>
          <t>Final Cohort</t>
        </is>
      </c>
      <c r="H255" t="inlineStr">
        <is>
          <t>Current Cohort</t>
        </is>
      </c>
      <c r="I255" t="inlineStr">
        <is>
          <t>All</t>
        </is>
      </c>
      <c r="J255" t="inlineStr">
        <is>
          <t>All</t>
        </is>
      </c>
      <c r="K255" t="inlineStr">
        <is>
          <t>All</t>
        </is>
      </c>
      <c r="L255" t="inlineStr">
        <is>
          <t>Number</t>
        </is>
      </c>
    </row>
    <row r="256">
      <c r="A256" t="inlineStr">
        <is>
          <t>B1402</t>
        </is>
      </c>
      <c r="B256" t="inlineStr">
        <is>
          <t>2020 Cohort</t>
        </is>
      </c>
      <c r="C256">
        <f>IFERROR(IF(VLOOKUP($A256,'CDS-B'!$A:$L,3,FALSE)="","",(VLOOKUP($A256,'CDS-B'!$A:$L,3,FALSE))),"")</f>
        <v/>
      </c>
      <c r="D256" t="inlineStr">
        <is>
          <t>Enrollment And Persistence</t>
        </is>
      </c>
      <c r="E256" t="inlineStr">
        <is>
          <t>Graduation Rates</t>
        </is>
      </c>
      <c r="F256" t="inlineStr">
        <is>
          <t>Two Year</t>
        </is>
      </c>
      <c r="G256" t="inlineStr">
        <is>
          <t>Final Cohort</t>
        </is>
      </c>
      <c r="H256" t="inlineStr">
        <is>
          <t>Previous Year</t>
        </is>
      </c>
      <c r="I256" t="inlineStr">
        <is>
          <t>All</t>
        </is>
      </c>
      <c r="J256" t="inlineStr">
        <is>
          <t>All</t>
        </is>
      </c>
      <c r="K256" t="inlineStr">
        <is>
          <t>All</t>
        </is>
      </c>
      <c r="L256" t="inlineStr">
        <is>
          <t>Number</t>
        </is>
      </c>
    </row>
    <row r="257">
      <c r="A257" t="inlineStr">
        <is>
          <t>B1501</t>
        </is>
      </c>
      <c r="B257" t="inlineStr">
        <is>
          <t>2021 Cohort</t>
        </is>
      </c>
      <c r="C257">
        <f>IFERROR(IF(VLOOKUP($A257,'CDS-B'!$A:$L,3,FALSE)="","",(VLOOKUP($A257,'CDS-B'!$A:$L,3,FALSE))),"")</f>
        <v/>
      </c>
      <c r="D257" t="inlineStr">
        <is>
          <t>Enrollment And Persistence</t>
        </is>
      </c>
      <c r="E257" t="inlineStr">
        <is>
          <t>Graduation Rates</t>
        </is>
      </c>
      <c r="F257" t="inlineStr">
        <is>
          <t>Two Year</t>
        </is>
      </c>
      <c r="G257" t="inlineStr">
        <is>
          <t>Completers Prog Less Two Total</t>
        </is>
      </c>
      <c r="H257" t="inlineStr">
        <is>
          <t>Current Cohort</t>
        </is>
      </c>
      <c r="I257" t="inlineStr">
        <is>
          <t>All</t>
        </is>
      </c>
      <c r="J257" t="inlineStr">
        <is>
          <t>All</t>
        </is>
      </c>
      <c r="K257" t="inlineStr">
        <is>
          <t>All</t>
        </is>
      </c>
      <c r="L257" t="inlineStr">
        <is>
          <t>Number</t>
        </is>
      </c>
    </row>
    <row r="258">
      <c r="A258" t="inlineStr">
        <is>
          <t>B1502</t>
        </is>
      </c>
      <c r="B258" t="inlineStr">
        <is>
          <t>2020 Cohort</t>
        </is>
      </c>
      <c r="C258">
        <f>IFERROR(IF(VLOOKUP($A258,'CDS-B'!$A:$L,3,FALSE)="","",(VLOOKUP($A258,'CDS-B'!$A:$L,3,FALSE))),"")</f>
        <v/>
      </c>
      <c r="D258" t="inlineStr">
        <is>
          <t>Enrollment And Persistence</t>
        </is>
      </c>
      <c r="E258" t="inlineStr">
        <is>
          <t>Graduation Rates</t>
        </is>
      </c>
      <c r="F258" t="inlineStr">
        <is>
          <t>Two Year</t>
        </is>
      </c>
      <c r="G258" t="inlineStr">
        <is>
          <t>Completers Prog Less Two Total</t>
        </is>
      </c>
      <c r="H258" t="inlineStr">
        <is>
          <t>Previous Year</t>
        </is>
      </c>
      <c r="I258" t="inlineStr">
        <is>
          <t>All</t>
        </is>
      </c>
      <c r="J258" t="inlineStr">
        <is>
          <t>All</t>
        </is>
      </c>
      <c r="K258" t="inlineStr">
        <is>
          <t>All</t>
        </is>
      </c>
      <c r="L258" t="inlineStr">
        <is>
          <t>Number</t>
        </is>
      </c>
    </row>
    <row r="259">
      <c r="A259" t="inlineStr">
        <is>
          <t>B1601</t>
        </is>
      </c>
      <c r="B259" t="inlineStr">
        <is>
          <t>2021 Cohort</t>
        </is>
      </c>
      <c r="C259">
        <f>IFERROR(IF(VLOOKUP($A259,'CDS-B'!$A:$L,3,FALSE)="","",(VLOOKUP($A259,'CDS-B'!$A:$L,3,FALSE))),"")</f>
        <v/>
      </c>
      <c r="D259" t="inlineStr">
        <is>
          <t>Enrollment And Persistence</t>
        </is>
      </c>
      <c r="E259" t="inlineStr">
        <is>
          <t>Graduation Rates</t>
        </is>
      </c>
      <c r="F259" t="inlineStr">
        <is>
          <t>Two Year</t>
        </is>
      </c>
      <c r="G259" t="inlineStr">
        <is>
          <t>Completers Prog Less Two 150</t>
        </is>
      </c>
      <c r="H259" t="inlineStr">
        <is>
          <t>Current Cohort</t>
        </is>
      </c>
      <c r="I259" t="inlineStr">
        <is>
          <t>All</t>
        </is>
      </c>
      <c r="J259" t="inlineStr">
        <is>
          <t>All</t>
        </is>
      </c>
      <c r="K259" t="inlineStr">
        <is>
          <t>All</t>
        </is>
      </c>
      <c r="L259" t="inlineStr">
        <is>
          <t>Number</t>
        </is>
      </c>
    </row>
    <row r="260">
      <c r="A260" t="inlineStr">
        <is>
          <t>B1602</t>
        </is>
      </c>
      <c r="B260" t="inlineStr">
        <is>
          <t>2020 Cohort</t>
        </is>
      </c>
      <c r="C260">
        <f>IFERROR(IF(VLOOKUP($A260,'CDS-B'!$A:$L,3,FALSE)="","",(VLOOKUP($A260,'CDS-B'!$A:$L,3,FALSE))),"")</f>
        <v/>
      </c>
      <c r="D260" t="inlineStr">
        <is>
          <t>Enrollment And Persistence</t>
        </is>
      </c>
      <c r="E260" t="inlineStr">
        <is>
          <t>Graduation Rates</t>
        </is>
      </c>
      <c r="F260" t="inlineStr">
        <is>
          <t>Two Year</t>
        </is>
      </c>
      <c r="G260" t="inlineStr">
        <is>
          <t>Completers Prog Less Two 150</t>
        </is>
      </c>
      <c r="H260" t="inlineStr">
        <is>
          <t>Previous Year</t>
        </is>
      </c>
      <c r="I260" t="inlineStr">
        <is>
          <t>All</t>
        </is>
      </c>
      <c r="J260" t="inlineStr">
        <is>
          <t>All</t>
        </is>
      </c>
      <c r="K260" t="inlineStr">
        <is>
          <t>All</t>
        </is>
      </c>
      <c r="L260" t="inlineStr">
        <is>
          <t>Number</t>
        </is>
      </c>
    </row>
    <row r="261">
      <c r="A261" t="inlineStr">
        <is>
          <t>B1701</t>
        </is>
      </c>
      <c r="B261" t="inlineStr">
        <is>
          <t>2021 Cohort</t>
        </is>
      </c>
      <c r="C261">
        <f>IFERROR(IF(VLOOKUP($A261,'CDS-B'!$A:$L,3,FALSE)="","",(VLOOKUP($A261,'CDS-B'!$A:$L,3,FALSE))),"")</f>
        <v/>
      </c>
      <c r="D261" t="inlineStr">
        <is>
          <t>Enrollment And Persistence</t>
        </is>
      </c>
      <c r="E261" t="inlineStr">
        <is>
          <t>Graduation Rates</t>
        </is>
      </c>
      <c r="F261" t="inlineStr">
        <is>
          <t>Two Year</t>
        </is>
      </c>
      <c r="G261" t="inlineStr">
        <is>
          <t>Completers Prog Less Four Total</t>
        </is>
      </c>
      <c r="H261" t="inlineStr">
        <is>
          <t>Current Cohort</t>
        </is>
      </c>
      <c r="I261" t="inlineStr">
        <is>
          <t>All</t>
        </is>
      </c>
      <c r="J261" t="inlineStr">
        <is>
          <t>All</t>
        </is>
      </c>
      <c r="K261" t="inlineStr">
        <is>
          <t>All</t>
        </is>
      </c>
      <c r="L261" t="inlineStr">
        <is>
          <t>Number</t>
        </is>
      </c>
    </row>
    <row r="262">
      <c r="A262" t="inlineStr">
        <is>
          <t>B1702</t>
        </is>
      </c>
      <c r="B262" t="inlineStr">
        <is>
          <t>2020 Cohort</t>
        </is>
      </c>
      <c r="C262">
        <f>IFERROR(IF(VLOOKUP($A262,'CDS-B'!$A:$L,3,FALSE)="","",(VLOOKUP($A262,'CDS-B'!$A:$L,3,FALSE))),"")</f>
        <v/>
      </c>
      <c r="D262" t="inlineStr">
        <is>
          <t>Enrollment And Persistence</t>
        </is>
      </c>
      <c r="E262" t="inlineStr">
        <is>
          <t>Graduation Rates</t>
        </is>
      </c>
      <c r="F262" t="inlineStr">
        <is>
          <t>Two Year</t>
        </is>
      </c>
      <c r="G262" t="inlineStr">
        <is>
          <t>Completers Prog Less Four Total</t>
        </is>
      </c>
      <c r="H262" t="inlineStr">
        <is>
          <t>Previous Year</t>
        </is>
      </c>
      <c r="I262" t="inlineStr">
        <is>
          <t>All</t>
        </is>
      </c>
      <c r="J262" t="inlineStr">
        <is>
          <t>All</t>
        </is>
      </c>
      <c r="K262" t="inlineStr">
        <is>
          <t>All</t>
        </is>
      </c>
      <c r="L262" t="inlineStr">
        <is>
          <t>Number</t>
        </is>
      </c>
    </row>
    <row r="263">
      <c r="A263" t="inlineStr">
        <is>
          <t>B1801</t>
        </is>
      </c>
      <c r="B263" t="inlineStr">
        <is>
          <t>2021 Cohort</t>
        </is>
      </c>
      <c r="C263">
        <f>IFERROR(IF(VLOOKUP($A263,'CDS-B'!$A:$L,3,FALSE)="","",(VLOOKUP($A263,'CDS-B'!$A:$L,3,FALSE))),"")</f>
        <v/>
      </c>
      <c r="D263" t="inlineStr">
        <is>
          <t>Enrollment And Persistence</t>
        </is>
      </c>
      <c r="E263" t="inlineStr">
        <is>
          <t>Graduation Rates</t>
        </is>
      </c>
      <c r="F263" t="inlineStr">
        <is>
          <t>Two Year</t>
        </is>
      </c>
      <c r="G263" t="inlineStr">
        <is>
          <t>Completers Prog Less Four 150</t>
        </is>
      </c>
      <c r="H263" t="inlineStr">
        <is>
          <t>Current Cohort</t>
        </is>
      </c>
      <c r="I263" t="inlineStr">
        <is>
          <t>All</t>
        </is>
      </c>
      <c r="J263" t="inlineStr">
        <is>
          <t>All</t>
        </is>
      </c>
      <c r="K263" t="inlineStr">
        <is>
          <t>All</t>
        </is>
      </c>
      <c r="L263" t="inlineStr">
        <is>
          <t>Number</t>
        </is>
      </c>
    </row>
    <row r="264">
      <c r="A264" t="inlineStr">
        <is>
          <t>B1802</t>
        </is>
      </c>
      <c r="B264" t="inlineStr">
        <is>
          <t>2020 Cohort</t>
        </is>
      </c>
      <c r="C264">
        <f>IFERROR(IF(VLOOKUP($A264,'CDS-B'!$A:$L,3,FALSE)="","",(VLOOKUP($A264,'CDS-B'!$A:$L,3,FALSE))),"")</f>
        <v/>
      </c>
      <c r="D264" t="inlineStr">
        <is>
          <t>Enrollment And Persistence</t>
        </is>
      </c>
      <c r="E264" t="inlineStr">
        <is>
          <t>Graduation Rates</t>
        </is>
      </c>
      <c r="F264" t="inlineStr">
        <is>
          <t>Two Year</t>
        </is>
      </c>
      <c r="G264" t="inlineStr">
        <is>
          <t>Completers Prog Less Four 150</t>
        </is>
      </c>
      <c r="H264" t="inlineStr">
        <is>
          <t>Previous Year</t>
        </is>
      </c>
      <c r="I264" t="inlineStr">
        <is>
          <t>All</t>
        </is>
      </c>
      <c r="J264" t="inlineStr">
        <is>
          <t>All</t>
        </is>
      </c>
      <c r="K264" t="inlineStr">
        <is>
          <t>All</t>
        </is>
      </c>
      <c r="L264" t="inlineStr">
        <is>
          <t>Number</t>
        </is>
      </c>
    </row>
    <row r="265">
      <c r="A265" t="inlineStr">
        <is>
          <t>B1901</t>
        </is>
      </c>
      <c r="B265" t="inlineStr">
        <is>
          <t>2021 Cohort</t>
        </is>
      </c>
      <c r="C265">
        <f>IFERROR(IF(VLOOKUP($A265,'CDS-B'!$A:$L,3,FALSE)="","",(VLOOKUP($A265,'CDS-B'!$A:$L,3,FALSE))),"")</f>
        <v/>
      </c>
      <c r="D265" t="inlineStr">
        <is>
          <t>Enrollment And Persistence</t>
        </is>
      </c>
      <c r="E265" t="inlineStr">
        <is>
          <t>Graduation Rates</t>
        </is>
      </c>
      <c r="F265" t="inlineStr">
        <is>
          <t>Two Year</t>
        </is>
      </c>
      <c r="G265" t="inlineStr">
        <is>
          <t>Transfers Out Total</t>
        </is>
      </c>
      <c r="H265" t="inlineStr">
        <is>
          <t>Current Cohort</t>
        </is>
      </c>
      <c r="I265" t="inlineStr">
        <is>
          <t>All</t>
        </is>
      </c>
      <c r="J265" t="inlineStr">
        <is>
          <t>All</t>
        </is>
      </c>
      <c r="K265" t="inlineStr">
        <is>
          <t>All</t>
        </is>
      </c>
      <c r="L265" t="inlineStr">
        <is>
          <t>Number</t>
        </is>
      </c>
    </row>
    <row r="266">
      <c r="A266" t="inlineStr">
        <is>
          <t>B1902</t>
        </is>
      </c>
      <c r="B266" t="inlineStr">
        <is>
          <t>2020 Cohort</t>
        </is>
      </c>
      <c r="C266">
        <f>IFERROR(IF(VLOOKUP($A266,'CDS-B'!$A:$L,3,FALSE)="","",(VLOOKUP($A266,'CDS-B'!$A:$L,3,FALSE))),"")</f>
        <v/>
      </c>
      <c r="D266" t="inlineStr">
        <is>
          <t>Enrollment And Persistence</t>
        </is>
      </c>
      <c r="E266" t="inlineStr">
        <is>
          <t>Graduation Rates</t>
        </is>
      </c>
      <c r="F266" t="inlineStr">
        <is>
          <t>Two Year</t>
        </is>
      </c>
      <c r="G266" t="inlineStr">
        <is>
          <t>Transfers Out Total</t>
        </is>
      </c>
      <c r="H266" t="inlineStr">
        <is>
          <t>Previous Year</t>
        </is>
      </c>
      <c r="I266" t="inlineStr">
        <is>
          <t>All</t>
        </is>
      </c>
      <c r="J266" t="inlineStr">
        <is>
          <t>All</t>
        </is>
      </c>
      <c r="K266" t="inlineStr">
        <is>
          <t>All</t>
        </is>
      </c>
      <c r="L266" t="inlineStr">
        <is>
          <t>Number</t>
        </is>
      </c>
    </row>
    <row r="267">
      <c r="A267" t="inlineStr">
        <is>
          <t>B2001</t>
        </is>
      </c>
      <c r="B267" t="inlineStr">
        <is>
          <t>2021 Cohort</t>
        </is>
      </c>
      <c r="C267">
        <f>IFERROR(IF(VLOOKUP($A267,'CDS-B'!$A:$L,3,FALSE)="","",(VLOOKUP($A267,'CDS-B'!$A:$L,3,FALSE))),"")</f>
        <v/>
      </c>
      <c r="D267" t="inlineStr">
        <is>
          <t>Enrollment And Persistence</t>
        </is>
      </c>
      <c r="E267" t="inlineStr">
        <is>
          <t>Graduation Rates</t>
        </is>
      </c>
      <c r="F267" t="inlineStr">
        <is>
          <t>Two Year</t>
        </is>
      </c>
      <c r="G267" t="inlineStr">
        <is>
          <t>Transfers Out Two</t>
        </is>
      </c>
      <c r="H267" t="inlineStr">
        <is>
          <t>Current Cohort</t>
        </is>
      </c>
      <c r="I267" t="inlineStr">
        <is>
          <t>All</t>
        </is>
      </c>
      <c r="J267" t="inlineStr">
        <is>
          <t>All</t>
        </is>
      </c>
      <c r="K267" t="inlineStr">
        <is>
          <t>All</t>
        </is>
      </c>
      <c r="L267" t="inlineStr">
        <is>
          <t>Number</t>
        </is>
      </c>
    </row>
    <row r="268">
      <c r="A268" t="inlineStr">
        <is>
          <t>B2002</t>
        </is>
      </c>
      <c r="B268" t="inlineStr">
        <is>
          <t>2020 Cohort</t>
        </is>
      </c>
      <c r="C268">
        <f>IFERROR(IF(VLOOKUP($A268,'CDS-B'!$A:$L,3,FALSE)="","",(VLOOKUP($A268,'CDS-B'!$A:$L,3,FALSE))),"")</f>
        <v/>
      </c>
      <c r="D268" t="inlineStr">
        <is>
          <t>Enrollment And Persistence</t>
        </is>
      </c>
      <c r="E268" t="inlineStr">
        <is>
          <t>Graduation Rates</t>
        </is>
      </c>
      <c r="F268" t="inlineStr">
        <is>
          <t>Two Year</t>
        </is>
      </c>
      <c r="G268" t="inlineStr">
        <is>
          <t>Transfers Out Two</t>
        </is>
      </c>
      <c r="H268" t="inlineStr">
        <is>
          <t>Previous Year</t>
        </is>
      </c>
      <c r="I268" t="inlineStr">
        <is>
          <t>All</t>
        </is>
      </c>
      <c r="J268" t="inlineStr">
        <is>
          <t>All</t>
        </is>
      </c>
      <c r="K268" t="inlineStr">
        <is>
          <t>All</t>
        </is>
      </c>
      <c r="L268" t="inlineStr">
        <is>
          <t>Number</t>
        </is>
      </c>
    </row>
    <row r="269">
      <c r="A269" t="inlineStr">
        <is>
          <t>B2101</t>
        </is>
      </c>
      <c r="B269" t="inlineStr">
        <is>
          <t>2021 Cohort</t>
        </is>
      </c>
      <c r="C269">
        <f>IFERROR(IF(VLOOKUP($A269,'CDS-B'!$A:$L,3,FALSE)="","",(VLOOKUP($A269,'CDS-B'!$A:$L,3,FALSE))),"")</f>
        <v/>
      </c>
      <c r="D269" t="inlineStr">
        <is>
          <t>Enrollment And Persistence</t>
        </is>
      </c>
      <c r="E269" t="inlineStr">
        <is>
          <t>Graduation Rates</t>
        </is>
      </c>
      <c r="F269" t="inlineStr">
        <is>
          <t>Two Year</t>
        </is>
      </c>
      <c r="G269" t="inlineStr">
        <is>
          <t>Transfers Out Four</t>
        </is>
      </c>
      <c r="H269" t="inlineStr">
        <is>
          <t>Current Cohort</t>
        </is>
      </c>
      <c r="I269" t="inlineStr">
        <is>
          <t>All</t>
        </is>
      </c>
      <c r="J269" t="inlineStr">
        <is>
          <t>All</t>
        </is>
      </c>
      <c r="K269" t="inlineStr">
        <is>
          <t>All</t>
        </is>
      </c>
      <c r="L269" t="inlineStr">
        <is>
          <t>Number</t>
        </is>
      </c>
    </row>
    <row r="270">
      <c r="A270" t="inlineStr">
        <is>
          <t>B2102</t>
        </is>
      </c>
      <c r="B270" t="inlineStr">
        <is>
          <t>2020 Cohort</t>
        </is>
      </c>
      <c r="C270">
        <f>IFERROR(IF(VLOOKUP($A270,'CDS-B'!$A:$L,3,FALSE)="","",(VLOOKUP($A270,'CDS-B'!$A:$L,3,FALSE))),"")</f>
        <v/>
      </c>
      <c r="D270" t="inlineStr">
        <is>
          <t>Enrollment And Persistence</t>
        </is>
      </c>
      <c r="E270" t="inlineStr">
        <is>
          <t>Graduation Rates</t>
        </is>
      </c>
      <c r="F270" t="inlineStr">
        <is>
          <t>Two Year</t>
        </is>
      </c>
      <c r="G270" t="inlineStr">
        <is>
          <t>Transfers Out Four</t>
        </is>
      </c>
      <c r="H270" t="inlineStr">
        <is>
          <t>Previous Year</t>
        </is>
      </c>
      <c r="I270" t="inlineStr">
        <is>
          <t>All</t>
        </is>
      </c>
      <c r="J270" t="inlineStr">
        <is>
          <t>All</t>
        </is>
      </c>
      <c r="K270" t="inlineStr">
        <is>
          <t>All</t>
        </is>
      </c>
      <c r="L270" t="inlineStr">
        <is>
          <t>Number</t>
        </is>
      </c>
    </row>
    <row r="271">
      <c r="A271" t="inlineStr">
        <is>
          <t>C101</t>
        </is>
      </c>
      <c r="B271" t="inlineStr">
        <is>
          <t>Total first-time, first-year men who applied</t>
        </is>
      </c>
      <c r="C271">
        <f>IFERROR(IF(VLOOKUP($A271,'CDS-C'!$A:$L,3,FALSE)="","",(VLOOKUP($A271,'CDS-C'!$A:$L,3,FALSE))),"")</f>
        <v/>
      </c>
      <c r="D271" t="inlineStr">
        <is>
          <t>First-Time, First-Year Admission</t>
        </is>
      </c>
      <c r="E271" t="inlineStr">
        <is>
          <t>Applications</t>
        </is>
      </c>
      <c r="F271" t="inlineStr">
        <is>
          <t>Applied</t>
        </is>
      </c>
      <c r="G271" t="inlineStr">
        <is>
          <t>Undergraduates</t>
        </is>
      </c>
      <c r="H271" t="inlineStr">
        <is>
          <t>First-time, first-year</t>
        </is>
      </c>
      <c r="I271" t="inlineStr">
        <is>
          <t>All</t>
        </is>
      </c>
      <c r="J271" t="inlineStr">
        <is>
          <t>All</t>
        </is>
      </c>
      <c r="K271" t="inlineStr">
        <is>
          <t>Men</t>
        </is>
      </c>
      <c r="L271" t="inlineStr">
        <is>
          <t>Number</t>
        </is>
      </c>
    </row>
    <row r="272">
      <c r="A272" t="inlineStr">
        <is>
          <t>C102</t>
        </is>
      </c>
      <c r="B272" t="inlineStr">
        <is>
          <t>Total first-time, first-year women who applied</t>
        </is>
      </c>
      <c r="C272">
        <f>IFERROR(IF(VLOOKUP($A272,'CDS-C'!$A:$L,3,FALSE)="","",(VLOOKUP($A272,'CDS-C'!$A:$L,3,FALSE))),"")</f>
        <v/>
      </c>
      <c r="D272" t="inlineStr">
        <is>
          <t>First-Time, First-Year Admission</t>
        </is>
      </c>
      <c r="E272" t="inlineStr">
        <is>
          <t>Applications</t>
        </is>
      </c>
      <c r="F272" t="inlineStr">
        <is>
          <t>Applied</t>
        </is>
      </c>
      <c r="G272" t="inlineStr">
        <is>
          <t>Undergraduates</t>
        </is>
      </c>
      <c r="H272" t="inlineStr">
        <is>
          <t>First-time, first-year</t>
        </is>
      </c>
      <c r="I272" t="inlineStr">
        <is>
          <t>All</t>
        </is>
      </c>
      <c r="J272" t="inlineStr">
        <is>
          <t>All</t>
        </is>
      </c>
      <c r="K272" t="inlineStr">
        <is>
          <t>Women</t>
        </is>
      </c>
      <c r="L272" t="inlineStr">
        <is>
          <t>Number</t>
        </is>
      </c>
    </row>
    <row r="273">
      <c r="A273" t="inlineStr">
        <is>
          <t>C103</t>
        </is>
      </c>
      <c r="B273" t="inlineStr">
        <is>
          <t>Total first-time, first-year another gender who applied</t>
        </is>
      </c>
      <c r="C273">
        <f>IFERROR(IF(VLOOKUP($A273,'CDS-C'!$A:$L,3,FALSE)="","",(VLOOKUP($A273,'CDS-C'!$A:$L,3,FALSE))),"")</f>
        <v/>
      </c>
      <c r="D273" t="inlineStr">
        <is>
          <t>First-Time, First-Year Admission</t>
        </is>
      </c>
      <c r="E273" t="inlineStr">
        <is>
          <t>Applications</t>
        </is>
      </c>
      <c r="F273" t="inlineStr">
        <is>
          <t>Applied</t>
        </is>
      </c>
      <c r="G273" t="inlineStr">
        <is>
          <t>Undergraduates</t>
        </is>
      </c>
      <c r="H273" t="inlineStr">
        <is>
          <t>First-time, first-year</t>
        </is>
      </c>
      <c r="I273" t="inlineStr">
        <is>
          <t>All</t>
        </is>
      </c>
      <c r="J273" t="inlineStr">
        <is>
          <t>All</t>
        </is>
      </c>
      <c r="K273" t="inlineStr">
        <is>
          <t>Another Gender</t>
        </is>
      </c>
      <c r="L273" t="inlineStr">
        <is>
          <t>Number</t>
        </is>
      </c>
    </row>
    <row r="274">
      <c r="A274" t="inlineStr">
        <is>
          <t>C104</t>
        </is>
      </c>
      <c r="B274" t="inlineStr">
        <is>
          <t>Total first-time, first-year unknown gender who applied</t>
        </is>
      </c>
      <c r="C274">
        <f>IFERROR(IF(VLOOKUP($A274,'CDS-C'!$A:$L,3,FALSE)="","",(VLOOKUP($A274,'CDS-C'!$A:$L,3,FALSE))),"")</f>
        <v/>
      </c>
      <c r="D274" t="inlineStr">
        <is>
          <t>First-Time, First-Year Admission</t>
        </is>
      </c>
      <c r="E274" t="inlineStr">
        <is>
          <t>Applications</t>
        </is>
      </c>
      <c r="F274" t="inlineStr">
        <is>
          <t>Applied</t>
        </is>
      </c>
      <c r="G274" t="inlineStr">
        <is>
          <t>Undergraduates</t>
        </is>
      </c>
      <c r="H274" t="inlineStr">
        <is>
          <t>First-time, first-year</t>
        </is>
      </c>
      <c r="I274" t="inlineStr">
        <is>
          <t>All</t>
        </is>
      </c>
      <c r="J274" t="inlineStr">
        <is>
          <t>All</t>
        </is>
      </c>
      <c r="K274" t="inlineStr">
        <is>
          <t>Unknown</t>
        </is>
      </c>
      <c r="L274" t="inlineStr">
        <is>
          <t>Number</t>
        </is>
      </c>
    </row>
    <row r="275">
      <c r="A275" t="inlineStr">
        <is>
          <t>C105</t>
        </is>
      </c>
      <c r="B275" t="inlineStr">
        <is>
          <t>Total first-time, first-year men who were admitted</t>
        </is>
      </c>
      <c r="C275">
        <f>IFERROR(IF(VLOOKUP($A275,'CDS-C'!$A:$L,3,FALSE)="","",(VLOOKUP($A275,'CDS-C'!$A:$L,3,FALSE))),"")</f>
        <v/>
      </c>
      <c r="D275" t="inlineStr">
        <is>
          <t>First-Time, First-Year Admission</t>
        </is>
      </c>
      <c r="E275" t="inlineStr">
        <is>
          <t>Applications</t>
        </is>
      </c>
      <c r="F275" t="inlineStr">
        <is>
          <t>Admitted</t>
        </is>
      </c>
      <c r="G275" t="inlineStr">
        <is>
          <t>Undergraduates</t>
        </is>
      </c>
      <c r="H275" t="inlineStr">
        <is>
          <t>First-time, first-year</t>
        </is>
      </c>
      <c r="I275" t="inlineStr">
        <is>
          <t>All</t>
        </is>
      </c>
      <c r="J275" t="inlineStr">
        <is>
          <t>All</t>
        </is>
      </c>
      <c r="K275" t="inlineStr">
        <is>
          <t>Men</t>
        </is>
      </c>
      <c r="L275" t="inlineStr">
        <is>
          <t>Number</t>
        </is>
      </c>
    </row>
    <row r="276">
      <c r="A276" t="inlineStr">
        <is>
          <t>C106</t>
        </is>
      </c>
      <c r="B276" t="inlineStr">
        <is>
          <t>Total first-time, first-year women who were admitted</t>
        </is>
      </c>
      <c r="C276">
        <f>IFERROR(IF(VLOOKUP($A276,'CDS-C'!$A:$L,3,FALSE)="","",(VLOOKUP($A276,'CDS-C'!$A:$L,3,FALSE))),"")</f>
        <v/>
      </c>
      <c r="D276" t="inlineStr">
        <is>
          <t>First-Time, First-Year Admission</t>
        </is>
      </c>
      <c r="E276" t="inlineStr">
        <is>
          <t>Applications</t>
        </is>
      </c>
      <c r="F276" t="inlineStr">
        <is>
          <t>Admitted</t>
        </is>
      </c>
      <c r="G276" t="inlineStr">
        <is>
          <t>Undergraduates</t>
        </is>
      </c>
      <c r="H276" t="inlineStr">
        <is>
          <t>First-time, first-year</t>
        </is>
      </c>
      <c r="I276" t="inlineStr">
        <is>
          <t>All</t>
        </is>
      </c>
      <c r="J276" t="inlineStr">
        <is>
          <t>All</t>
        </is>
      </c>
      <c r="K276" t="inlineStr">
        <is>
          <t>Women</t>
        </is>
      </c>
      <c r="L276" t="inlineStr">
        <is>
          <t>Number</t>
        </is>
      </c>
    </row>
    <row r="277">
      <c r="A277" t="inlineStr">
        <is>
          <t>C107</t>
        </is>
      </c>
      <c r="B277" t="inlineStr">
        <is>
          <t>Total first-time, first-year another gender who were admitted</t>
        </is>
      </c>
      <c r="C277">
        <f>IFERROR(IF(VLOOKUP($A277,'CDS-C'!$A:$L,3,FALSE)="","",(VLOOKUP($A277,'CDS-C'!$A:$L,3,FALSE))),"")</f>
        <v/>
      </c>
      <c r="D277" t="inlineStr">
        <is>
          <t>First-Time, First-Year Admission</t>
        </is>
      </c>
      <c r="E277" t="inlineStr">
        <is>
          <t>Applications</t>
        </is>
      </c>
      <c r="F277" t="inlineStr">
        <is>
          <t>Admitted</t>
        </is>
      </c>
      <c r="G277" t="inlineStr">
        <is>
          <t>Undergraduates</t>
        </is>
      </c>
      <c r="H277" t="inlineStr">
        <is>
          <t>First-time, first-year</t>
        </is>
      </c>
      <c r="I277" t="inlineStr">
        <is>
          <t>All</t>
        </is>
      </c>
      <c r="J277" t="inlineStr">
        <is>
          <t>All</t>
        </is>
      </c>
      <c r="K277" t="inlineStr">
        <is>
          <t>Another Gender</t>
        </is>
      </c>
      <c r="L277" t="inlineStr">
        <is>
          <t>Number</t>
        </is>
      </c>
    </row>
    <row r="278">
      <c r="A278" t="inlineStr">
        <is>
          <t>C108</t>
        </is>
      </c>
      <c r="B278" t="inlineStr">
        <is>
          <t>Total first-time, first-year unknown gender who were admitted</t>
        </is>
      </c>
      <c r="C278">
        <f>IFERROR(IF(VLOOKUP($A278,'CDS-C'!$A:$L,3,FALSE)="","",(VLOOKUP($A278,'CDS-C'!$A:$L,3,FALSE))),"")</f>
        <v/>
      </c>
      <c r="D278" t="inlineStr">
        <is>
          <t>First-Time, First-Year Admission</t>
        </is>
      </c>
      <c r="E278" t="inlineStr">
        <is>
          <t>Applications</t>
        </is>
      </c>
      <c r="F278" t="inlineStr">
        <is>
          <t>Admitted</t>
        </is>
      </c>
      <c r="G278" t="inlineStr">
        <is>
          <t>Undergraduates</t>
        </is>
      </c>
      <c r="H278" t="inlineStr">
        <is>
          <t>First-time, first-year</t>
        </is>
      </c>
      <c r="I278" t="inlineStr">
        <is>
          <t>All</t>
        </is>
      </c>
      <c r="J278" t="inlineStr">
        <is>
          <t>All</t>
        </is>
      </c>
      <c r="K278" t="inlineStr">
        <is>
          <t>Unknown</t>
        </is>
      </c>
      <c r="L278" t="inlineStr">
        <is>
          <t>Number</t>
        </is>
      </c>
    </row>
    <row r="279">
      <c r="A279" t="inlineStr">
        <is>
          <t>C109</t>
        </is>
      </c>
      <c r="B279" t="inlineStr">
        <is>
          <t>Total full-time, first-time, first-year men who enrolled</t>
        </is>
      </c>
      <c r="C279">
        <f>IFERROR(IF(VLOOKUP($A279,'CDS-C'!$A:$L,3,FALSE)="","",(VLOOKUP($A279,'CDS-C'!$A:$L,3,FALSE))),"")</f>
        <v/>
      </c>
      <c r="D279" t="inlineStr">
        <is>
          <t>First-Time, First-Year Admission</t>
        </is>
      </c>
      <c r="E279" t="inlineStr">
        <is>
          <t>Applications</t>
        </is>
      </c>
      <c r="F279" t="inlineStr">
        <is>
          <t>Enrolled</t>
        </is>
      </c>
      <c r="G279" t="inlineStr">
        <is>
          <t>Undergraduates</t>
        </is>
      </c>
      <c r="H279" t="inlineStr">
        <is>
          <t>First-time, first-year</t>
        </is>
      </c>
      <c r="I279" t="inlineStr">
        <is>
          <t>All</t>
        </is>
      </c>
      <c r="J279" t="inlineStr">
        <is>
          <t>All</t>
        </is>
      </c>
      <c r="K279" t="inlineStr">
        <is>
          <t>Men</t>
        </is>
      </c>
      <c r="L279" t="inlineStr">
        <is>
          <t>Number</t>
        </is>
      </c>
    </row>
    <row r="280">
      <c r="A280" t="inlineStr">
        <is>
          <t>C110</t>
        </is>
      </c>
      <c r="B280" t="inlineStr">
        <is>
          <t>Total part-time, first-time, first-year men who enrolled</t>
        </is>
      </c>
      <c r="C280">
        <f>IFERROR(IF(VLOOKUP($A280,'CDS-C'!$A:$L,3,FALSE)="","",(VLOOKUP($A280,'CDS-C'!$A:$L,3,FALSE))),"")</f>
        <v/>
      </c>
      <c r="D280" t="inlineStr">
        <is>
          <t>First-Time, First-Year Admission</t>
        </is>
      </c>
      <c r="E280" t="inlineStr">
        <is>
          <t>Applications</t>
        </is>
      </c>
      <c r="F280" t="inlineStr">
        <is>
          <t>Enrolled</t>
        </is>
      </c>
      <c r="G280" t="inlineStr">
        <is>
          <t>Undergraduates</t>
        </is>
      </c>
      <c r="H280" t="inlineStr">
        <is>
          <t>First-time, first-year</t>
        </is>
      </c>
      <c r="I280" t="inlineStr">
        <is>
          <t>All</t>
        </is>
      </c>
      <c r="J280" t="inlineStr">
        <is>
          <t>PT</t>
        </is>
      </c>
      <c r="K280" t="inlineStr">
        <is>
          <t>Men</t>
        </is>
      </c>
      <c r="L280" t="inlineStr">
        <is>
          <t>Number</t>
        </is>
      </c>
    </row>
    <row r="281">
      <c r="A281" t="inlineStr">
        <is>
          <t>C111</t>
        </is>
      </c>
      <c r="B281" t="inlineStr">
        <is>
          <t>Total full-time, first-time, first-year women who enrolled</t>
        </is>
      </c>
      <c r="C281">
        <f>IFERROR(IF(VLOOKUP($A281,'CDS-C'!$A:$L,3,FALSE)="","",(VLOOKUP($A281,'CDS-C'!$A:$L,3,FALSE))),"")</f>
        <v/>
      </c>
      <c r="D281" t="inlineStr">
        <is>
          <t>First-Time, First-Year Admission</t>
        </is>
      </c>
      <c r="E281" t="inlineStr">
        <is>
          <t>Applications</t>
        </is>
      </c>
      <c r="F281" t="inlineStr">
        <is>
          <t>Enrolled</t>
        </is>
      </c>
      <c r="G281" t="inlineStr">
        <is>
          <t>Undergraduates</t>
        </is>
      </c>
      <c r="H281" t="inlineStr">
        <is>
          <t>First-time, first-year</t>
        </is>
      </c>
      <c r="I281" t="inlineStr">
        <is>
          <t>All</t>
        </is>
      </c>
      <c r="J281" t="inlineStr">
        <is>
          <t>FT</t>
        </is>
      </c>
      <c r="K281" t="inlineStr">
        <is>
          <t>Women</t>
        </is>
      </c>
      <c r="L281" t="inlineStr">
        <is>
          <t>Number</t>
        </is>
      </c>
    </row>
    <row r="282">
      <c r="A282" t="inlineStr">
        <is>
          <t>C112</t>
        </is>
      </c>
      <c r="B282" t="inlineStr">
        <is>
          <t>Total part-time, first-time, first-year women who enrolled</t>
        </is>
      </c>
      <c r="C282">
        <f>IFERROR(IF(VLOOKUP($A282,'CDS-C'!$A:$L,3,FALSE)="","",(VLOOKUP($A282,'CDS-C'!$A:$L,3,FALSE))),"")</f>
        <v/>
      </c>
      <c r="D282" t="inlineStr">
        <is>
          <t>First-Time, First-Year Admission</t>
        </is>
      </c>
      <c r="E282" t="inlineStr">
        <is>
          <t>Applications</t>
        </is>
      </c>
      <c r="F282" t="inlineStr">
        <is>
          <t>Enrolled</t>
        </is>
      </c>
      <c r="G282" t="inlineStr">
        <is>
          <t>Undergraduates</t>
        </is>
      </c>
      <c r="H282" t="inlineStr">
        <is>
          <t>First-time, first-year</t>
        </is>
      </c>
      <c r="I282" t="inlineStr">
        <is>
          <t>All</t>
        </is>
      </c>
      <c r="J282" t="inlineStr">
        <is>
          <t>PT</t>
        </is>
      </c>
      <c r="K282" t="inlineStr">
        <is>
          <t>Women</t>
        </is>
      </c>
      <c r="L282" t="inlineStr">
        <is>
          <t>Number</t>
        </is>
      </c>
    </row>
    <row r="283">
      <c r="A283" t="inlineStr">
        <is>
          <t>C113</t>
        </is>
      </c>
      <c r="B283" t="inlineStr">
        <is>
          <t>Total full-time, first-time, first-year another gender who enrolled</t>
        </is>
      </c>
      <c r="C283">
        <f>IFERROR(IF(VLOOKUP($A283,'CDS-C'!$A:$L,3,FALSE)="","",(VLOOKUP($A283,'CDS-C'!$A:$L,3,FALSE))),"")</f>
        <v/>
      </c>
      <c r="D283" t="inlineStr">
        <is>
          <t>First-Time, First-Year Admission</t>
        </is>
      </c>
      <c r="E283" t="inlineStr">
        <is>
          <t>Applications</t>
        </is>
      </c>
      <c r="F283" t="inlineStr">
        <is>
          <t>Enrolled</t>
        </is>
      </c>
      <c r="G283" t="inlineStr">
        <is>
          <t>Undergraduates</t>
        </is>
      </c>
      <c r="H283" t="inlineStr">
        <is>
          <t>First-time, first-year</t>
        </is>
      </c>
      <c r="I283" t="inlineStr">
        <is>
          <t>All</t>
        </is>
      </c>
      <c r="J283" t="inlineStr">
        <is>
          <t>FT</t>
        </is>
      </c>
      <c r="K283" t="inlineStr">
        <is>
          <t>Another Gender</t>
        </is>
      </c>
      <c r="L283" t="inlineStr">
        <is>
          <t>Number</t>
        </is>
      </c>
    </row>
    <row r="284">
      <c r="A284" t="inlineStr">
        <is>
          <t>C114</t>
        </is>
      </c>
      <c r="B284" t="inlineStr">
        <is>
          <t>Total part-time, first-time, first-year another gender who enrolled</t>
        </is>
      </c>
      <c r="C284">
        <f>IFERROR(IF(VLOOKUP($A284,'CDS-C'!$A:$L,3,FALSE)="","",(VLOOKUP($A284,'CDS-C'!$A:$L,3,FALSE))),"")</f>
        <v/>
      </c>
      <c r="D284" t="inlineStr">
        <is>
          <t>First-Time, First-Year Admission</t>
        </is>
      </c>
      <c r="E284" t="inlineStr">
        <is>
          <t>Applications</t>
        </is>
      </c>
      <c r="F284" t="inlineStr">
        <is>
          <t>Enrolled</t>
        </is>
      </c>
      <c r="G284" t="inlineStr">
        <is>
          <t>Undergraduates</t>
        </is>
      </c>
      <c r="H284" t="inlineStr">
        <is>
          <t>First-time, first-year</t>
        </is>
      </c>
      <c r="I284" t="inlineStr">
        <is>
          <t>All</t>
        </is>
      </c>
      <c r="J284" t="inlineStr">
        <is>
          <t>PT</t>
        </is>
      </c>
      <c r="K284" t="inlineStr">
        <is>
          <t>Another Gender</t>
        </is>
      </c>
      <c r="L284" t="inlineStr">
        <is>
          <t>Number</t>
        </is>
      </c>
    </row>
    <row r="285">
      <c r="A285" t="inlineStr">
        <is>
          <t>C115</t>
        </is>
      </c>
      <c r="B285" t="inlineStr">
        <is>
          <t>Total full-time, first-time, first-year unknown gender who enrolled</t>
        </is>
      </c>
      <c r="C285">
        <f>IFERROR(IF(VLOOKUP($A285,'CDS-C'!$A:$L,3,FALSE)="","",(VLOOKUP($A285,'CDS-C'!$A:$L,3,FALSE))),"")</f>
        <v/>
      </c>
      <c r="D285" t="inlineStr">
        <is>
          <t>First-Time, First-Year Admission</t>
        </is>
      </c>
      <c r="E285" t="inlineStr">
        <is>
          <t>Applications</t>
        </is>
      </c>
      <c r="F285" t="inlineStr">
        <is>
          <t>Enrolled</t>
        </is>
      </c>
      <c r="G285" t="inlineStr">
        <is>
          <t>Undergraduates</t>
        </is>
      </c>
      <c r="H285" t="inlineStr">
        <is>
          <t>First-time, first-year</t>
        </is>
      </c>
      <c r="I285" t="inlineStr">
        <is>
          <t>All</t>
        </is>
      </c>
      <c r="J285" t="inlineStr">
        <is>
          <t>FT</t>
        </is>
      </c>
      <c r="K285" t="inlineStr">
        <is>
          <t>Unknown</t>
        </is>
      </c>
      <c r="L285" t="inlineStr">
        <is>
          <t>Number</t>
        </is>
      </c>
    </row>
    <row r="286">
      <c r="A286" t="inlineStr">
        <is>
          <t>C116</t>
        </is>
      </c>
      <c r="B286" t="inlineStr">
        <is>
          <t>Total part-time, first-time, first-year unknown gender who enrolled</t>
        </is>
      </c>
      <c r="C286">
        <f>IFERROR(IF(VLOOKUP($A286,'CDS-C'!$A:$L,3,FALSE)="","",(VLOOKUP($A286,'CDS-C'!$A:$L,3,FALSE))),"")</f>
        <v/>
      </c>
      <c r="D286" t="inlineStr">
        <is>
          <t>First-Time, First-Year Admission</t>
        </is>
      </c>
      <c r="E286" t="inlineStr">
        <is>
          <t>Applications</t>
        </is>
      </c>
      <c r="F286" t="inlineStr">
        <is>
          <t>Enrolled</t>
        </is>
      </c>
      <c r="G286" t="inlineStr">
        <is>
          <t>Undergraduates</t>
        </is>
      </c>
      <c r="H286" t="inlineStr">
        <is>
          <t>First-time, first-year</t>
        </is>
      </c>
      <c r="I286" t="inlineStr">
        <is>
          <t>All</t>
        </is>
      </c>
      <c r="J286" t="inlineStr">
        <is>
          <t>PT</t>
        </is>
      </c>
      <c r="K286" t="inlineStr">
        <is>
          <t>Unknown</t>
        </is>
      </c>
      <c r="L286" t="inlineStr">
        <is>
          <t>Number</t>
        </is>
      </c>
    </row>
    <row r="287">
      <c r="A287" t="inlineStr">
        <is>
          <t>C117</t>
        </is>
      </c>
      <c r="B287" t="inlineStr">
        <is>
          <t>Total first-time, first-year students who applied</t>
        </is>
      </c>
      <c r="C287">
        <f>IFERROR(IF(VLOOKUP($A287,'CDS-C'!$A:$L,3,FALSE)="","",(VLOOKUP($A287,'CDS-C'!$A:$L,3,FALSE))),"")</f>
        <v/>
      </c>
      <c r="D287" t="inlineStr">
        <is>
          <t>First-Time, First-Year Admission</t>
        </is>
      </c>
      <c r="E287" t="inlineStr">
        <is>
          <t>Applications</t>
        </is>
      </c>
      <c r="F287" t="inlineStr">
        <is>
          <t>Applied</t>
        </is>
      </c>
      <c r="G287" t="inlineStr">
        <is>
          <t>Undergraduates</t>
        </is>
      </c>
      <c r="H287" t="inlineStr">
        <is>
          <t>First-time, first-year</t>
        </is>
      </c>
      <c r="I287" t="inlineStr">
        <is>
          <t>All</t>
        </is>
      </c>
      <c r="J287" t="inlineStr">
        <is>
          <t>All</t>
        </is>
      </c>
      <c r="K287" t="inlineStr">
        <is>
          <t>All</t>
        </is>
      </c>
      <c r="L287" t="inlineStr">
        <is>
          <t>Number</t>
        </is>
      </c>
    </row>
    <row r="288">
      <c r="A288" t="inlineStr">
        <is>
          <t>C118</t>
        </is>
      </c>
      <c r="B288" t="inlineStr">
        <is>
          <t>Total first-time, first-year students who were admitted</t>
        </is>
      </c>
      <c r="C288">
        <f>IFERROR(IF(VLOOKUP($A288,'CDS-C'!$A:$L,3,FALSE)="","",(VLOOKUP($A288,'CDS-C'!$A:$L,3,FALSE))),"")</f>
        <v/>
      </c>
      <c r="D288" t="inlineStr">
        <is>
          <t>First-Time, First-Year Admission</t>
        </is>
      </c>
      <c r="E288" t="inlineStr">
        <is>
          <t>Applications</t>
        </is>
      </c>
      <c r="F288" t="inlineStr">
        <is>
          <t>Admitted</t>
        </is>
      </c>
      <c r="G288" t="inlineStr">
        <is>
          <t>Undergraduates</t>
        </is>
      </c>
      <c r="H288" t="inlineStr">
        <is>
          <t>First-time, first-year</t>
        </is>
      </c>
      <c r="I288" t="inlineStr">
        <is>
          <t>All</t>
        </is>
      </c>
      <c r="J288" t="inlineStr">
        <is>
          <t>All</t>
        </is>
      </c>
      <c r="K288" t="inlineStr">
        <is>
          <t>All</t>
        </is>
      </c>
      <c r="L288" t="inlineStr">
        <is>
          <t>Number</t>
        </is>
      </c>
    </row>
    <row r="289">
      <c r="A289" t="inlineStr">
        <is>
          <t>C119</t>
        </is>
      </c>
      <c r="B289" t="inlineStr">
        <is>
          <t>Total first-time, first-year students who enrolled</t>
        </is>
      </c>
      <c r="C289">
        <f>IFERROR(IF(VLOOKUP($A289,'CDS-C'!$A:$L,3,FALSE)="","",(VLOOKUP($A289,'CDS-C'!$A:$L,3,FALSE))),"")</f>
        <v/>
      </c>
      <c r="D289" t="inlineStr">
        <is>
          <t>First-Time, First-Year Admission</t>
        </is>
      </c>
      <c r="E289" t="inlineStr">
        <is>
          <t>Applications</t>
        </is>
      </c>
      <c r="F289" t="inlineStr">
        <is>
          <t>Enrolled</t>
        </is>
      </c>
      <c r="G289" t="inlineStr">
        <is>
          <t>Undergraduates</t>
        </is>
      </c>
      <c r="H289" t="inlineStr">
        <is>
          <t>First-time, first-year</t>
        </is>
      </c>
      <c r="I289" t="inlineStr">
        <is>
          <t>All</t>
        </is>
      </c>
      <c r="J289" t="inlineStr">
        <is>
          <t>All</t>
        </is>
      </c>
      <c r="K289" t="inlineStr">
        <is>
          <t>All</t>
        </is>
      </c>
      <c r="L289" t="inlineStr">
        <is>
          <t>Number</t>
        </is>
      </c>
    </row>
    <row r="290">
      <c r="A290" t="inlineStr">
        <is>
          <t>C120</t>
        </is>
      </c>
      <c r="B290" t="inlineStr">
        <is>
          <t>Total first-time, first-year who applied</t>
        </is>
      </c>
      <c r="C290">
        <f>IFERROR(IF(VLOOKUP($A290,'CDS-C'!$A:$L,3,FALSE)="","",(VLOOKUP($A290,'CDS-C'!$A:$L,3,FALSE))),"")</f>
        <v/>
      </c>
      <c r="D290" t="inlineStr">
        <is>
          <t>First-Time, First-Year Admission</t>
        </is>
      </c>
      <c r="E290" t="inlineStr">
        <is>
          <t>Applications</t>
        </is>
      </c>
      <c r="F290" t="inlineStr">
        <is>
          <t>Applied</t>
        </is>
      </c>
      <c r="G290" t="inlineStr">
        <is>
          <t>Undergraduates</t>
        </is>
      </c>
      <c r="H290" t="inlineStr">
        <is>
          <t>First-time, first-year</t>
        </is>
      </c>
      <c r="I290" t="inlineStr">
        <is>
          <t>In-State</t>
        </is>
      </c>
      <c r="J290" t="inlineStr">
        <is>
          <t>All</t>
        </is>
      </c>
      <c r="K290" t="inlineStr">
        <is>
          <t>All</t>
        </is>
      </c>
      <c r="L290" t="inlineStr">
        <is>
          <t>Number</t>
        </is>
      </c>
    </row>
    <row r="291">
      <c r="A291" t="inlineStr">
        <is>
          <t>C121</t>
        </is>
      </c>
      <c r="B291" t="inlineStr">
        <is>
          <t>Total first-time, first-year who were admitted</t>
        </is>
      </c>
      <c r="C291">
        <f>IFERROR(IF(VLOOKUP($A291,'CDS-C'!$A:$L,3,FALSE)="","",(VLOOKUP($A291,'CDS-C'!$A:$L,3,FALSE))),"")</f>
        <v/>
      </c>
      <c r="D291" t="inlineStr">
        <is>
          <t>First-Time, First-Year Admission</t>
        </is>
      </c>
      <c r="E291" t="inlineStr">
        <is>
          <t>Applications</t>
        </is>
      </c>
      <c r="F291" t="inlineStr">
        <is>
          <t>Admitted</t>
        </is>
      </c>
      <c r="G291" t="inlineStr">
        <is>
          <t>Undergraduates</t>
        </is>
      </c>
      <c r="H291" t="inlineStr">
        <is>
          <t>First-time, first-year</t>
        </is>
      </c>
      <c r="I291" t="inlineStr">
        <is>
          <t>In-State</t>
        </is>
      </c>
      <c r="J291" t="inlineStr">
        <is>
          <t>All</t>
        </is>
      </c>
      <c r="K291" t="inlineStr">
        <is>
          <t>All</t>
        </is>
      </c>
      <c r="L291" t="inlineStr">
        <is>
          <t>Number</t>
        </is>
      </c>
    </row>
    <row r="292">
      <c r="A292" t="inlineStr">
        <is>
          <t>C122</t>
        </is>
      </c>
      <c r="B292" t="inlineStr">
        <is>
          <t>Total first-time, first-year who enrolled</t>
        </is>
      </c>
      <c r="C292">
        <f>IFERROR(IF(VLOOKUP($A292,'CDS-C'!$A:$L,3,FALSE)="","",(VLOOKUP($A292,'CDS-C'!$A:$L,3,FALSE))),"")</f>
        <v/>
      </c>
      <c r="D292" t="inlineStr">
        <is>
          <t>First-Time, First-Year Admission</t>
        </is>
      </c>
      <c r="E292" t="inlineStr">
        <is>
          <t>Applications</t>
        </is>
      </c>
      <c r="F292" t="inlineStr">
        <is>
          <t>Enrolled</t>
        </is>
      </c>
      <c r="G292" t="inlineStr">
        <is>
          <t>Undergraduates</t>
        </is>
      </c>
      <c r="H292" t="inlineStr">
        <is>
          <t>First-time, first-year</t>
        </is>
      </c>
      <c r="I292" t="inlineStr">
        <is>
          <t>In-State</t>
        </is>
      </c>
      <c r="J292" t="inlineStr">
        <is>
          <t>All</t>
        </is>
      </c>
      <c r="K292" t="inlineStr">
        <is>
          <t>All</t>
        </is>
      </c>
      <c r="L292" t="inlineStr">
        <is>
          <t>Number</t>
        </is>
      </c>
    </row>
    <row r="293">
      <c r="A293" t="inlineStr">
        <is>
          <t>C123</t>
        </is>
      </c>
      <c r="B293" t="inlineStr">
        <is>
          <t>Total first-time, first-year who applied</t>
        </is>
      </c>
      <c r="C293">
        <f>IFERROR(IF(VLOOKUP($A293,'CDS-C'!$A:$L,3,FALSE)="","",(VLOOKUP($A293,'CDS-C'!$A:$L,3,FALSE))),"")</f>
        <v/>
      </c>
      <c r="D293" t="inlineStr">
        <is>
          <t>First-Time, First-Year Admission</t>
        </is>
      </c>
      <c r="E293" t="inlineStr">
        <is>
          <t>Applications</t>
        </is>
      </c>
      <c r="F293" t="inlineStr">
        <is>
          <t>Applied</t>
        </is>
      </c>
      <c r="G293" t="inlineStr">
        <is>
          <t>Undergraduates</t>
        </is>
      </c>
      <c r="H293" t="inlineStr">
        <is>
          <t>First-time, first-year</t>
        </is>
      </c>
      <c r="I293" t="inlineStr">
        <is>
          <t>Out-of-State</t>
        </is>
      </c>
      <c r="J293" t="inlineStr">
        <is>
          <t>All</t>
        </is>
      </c>
      <c r="K293" t="inlineStr">
        <is>
          <t>All</t>
        </is>
      </c>
      <c r="L293" t="inlineStr">
        <is>
          <t>Number</t>
        </is>
      </c>
    </row>
    <row r="294">
      <c r="A294" t="inlineStr">
        <is>
          <t>C124</t>
        </is>
      </c>
      <c r="B294" t="inlineStr">
        <is>
          <t>Total first-time, first-year who were admitted</t>
        </is>
      </c>
      <c r="C294">
        <f>IFERROR(IF(VLOOKUP($A294,'CDS-C'!$A:$L,3,FALSE)="","",(VLOOKUP($A294,'CDS-C'!$A:$L,3,FALSE))),"")</f>
        <v/>
      </c>
      <c r="D294" t="inlineStr">
        <is>
          <t>First-Time, First-Year Admission</t>
        </is>
      </c>
      <c r="E294" t="inlineStr">
        <is>
          <t>Applications</t>
        </is>
      </c>
      <c r="F294" t="inlineStr">
        <is>
          <t>Admitted</t>
        </is>
      </c>
      <c r="G294" t="inlineStr">
        <is>
          <t>Undergraduates</t>
        </is>
      </c>
      <c r="H294" t="inlineStr">
        <is>
          <t>First-time, first-year</t>
        </is>
      </c>
      <c r="I294" t="inlineStr">
        <is>
          <t>Out-of-State</t>
        </is>
      </c>
      <c r="J294" t="inlineStr">
        <is>
          <t>All</t>
        </is>
      </c>
      <c r="K294" t="inlineStr">
        <is>
          <t>All</t>
        </is>
      </c>
      <c r="L294" t="inlineStr">
        <is>
          <t>Number</t>
        </is>
      </c>
    </row>
    <row r="295">
      <c r="A295" t="inlineStr">
        <is>
          <t>C125</t>
        </is>
      </c>
      <c r="B295" t="inlineStr">
        <is>
          <t>Total first-time, first-year who enrolled</t>
        </is>
      </c>
      <c r="C295">
        <f>IFERROR(IF(VLOOKUP($A295,'CDS-C'!$A:$L,3,FALSE)="","",(VLOOKUP($A295,'CDS-C'!$A:$L,3,FALSE))),"")</f>
        <v/>
      </c>
      <c r="D295" t="inlineStr">
        <is>
          <t>First-Time, First-Year Admission</t>
        </is>
      </c>
      <c r="E295" t="inlineStr">
        <is>
          <t>Applications</t>
        </is>
      </c>
      <c r="F295" t="inlineStr">
        <is>
          <t>Enrolled</t>
        </is>
      </c>
      <c r="G295" t="inlineStr">
        <is>
          <t>Undergraduates</t>
        </is>
      </c>
      <c r="H295" t="inlineStr">
        <is>
          <t>First-time, first-year</t>
        </is>
      </c>
      <c r="I295" t="inlineStr">
        <is>
          <t>Out-of-State</t>
        </is>
      </c>
      <c r="J295" t="inlineStr">
        <is>
          <t>All</t>
        </is>
      </c>
      <c r="K295" t="inlineStr">
        <is>
          <t>All</t>
        </is>
      </c>
      <c r="L295" t="inlineStr">
        <is>
          <t>Number</t>
        </is>
      </c>
    </row>
    <row r="296">
      <c r="A296" t="inlineStr">
        <is>
          <t>C126</t>
        </is>
      </c>
      <c r="B296" t="inlineStr">
        <is>
          <t>Total first-time, first-year who applied</t>
        </is>
      </c>
      <c r="C296">
        <f>IFERROR(IF(VLOOKUP($A296,'CDS-C'!$A:$L,3,FALSE)="","",(VLOOKUP($A296,'CDS-C'!$A:$L,3,FALSE))),"")</f>
        <v/>
      </c>
      <c r="D296" t="inlineStr">
        <is>
          <t>First-Time, First-Year Admission</t>
        </is>
      </c>
      <c r="E296" t="inlineStr">
        <is>
          <t>Applications</t>
        </is>
      </c>
      <c r="F296" t="inlineStr">
        <is>
          <t>Applied</t>
        </is>
      </c>
      <c r="G296" t="inlineStr">
        <is>
          <t>Undergraduates</t>
        </is>
      </c>
      <c r="H296" t="inlineStr">
        <is>
          <t>First-time, first-year</t>
        </is>
      </c>
      <c r="I296" t="inlineStr">
        <is>
          <t>Nonresidents</t>
        </is>
      </c>
      <c r="J296" t="inlineStr">
        <is>
          <t>All</t>
        </is>
      </c>
      <c r="K296" t="inlineStr">
        <is>
          <t>All</t>
        </is>
      </c>
      <c r="L296" t="inlineStr">
        <is>
          <t>Number</t>
        </is>
      </c>
    </row>
    <row r="297">
      <c r="A297" t="inlineStr">
        <is>
          <t>C127</t>
        </is>
      </c>
      <c r="B297" t="inlineStr">
        <is>
          <t>Total first-time, first-year who were admitted</t>
        </is>
      </c>
      <c r="C297">
        <f>IFERROR(IF(VLOOKUP($A297,'CDS-C'!$A:$L,3,FALSE)="","",(VLOOKUP($A297,'CDS-C'!$A:$L,3,FALSE))),"")</f>
        <v/>
      </c>
      <c r="D297" t="inlineStr">
        <is>
          <t>First-Time, First-Year Admission</t>
        </is>
      </c>
      <c r="E297" t="inlineStr">
        <is>
          <t>Applications</t>
        </is>
      </c>
      <c r="F297" t="inlineStr">
        <is>
          <t>Admitted</t>
        </is>
      </c>
      <c r="G297" t="inlineStr">
        <is>
          <t>Undergraduates</t>
        </is>
      </c>
      <c r="H297" t="inlineStr">
        <is>
          <t>First-time, first-year</t>
        </is>
      </c>
      <c r="I297" t="inlineStr">
        <is>
          <t>Nonresidents</t>
        </is>
      </c>
      <c r="J297" t="inlineStr">
        <is>
          <t>All</t>
        </is>
      </c>
      <c r="K297" t="inlineStr">
        <is>
          <t>All</t>
        </is>
      </c>
      <c r="L297" t="inlineStr">
        <is>
          <t>Number</t>
        </is>
      </c>
    </row>
    <row r="298">
      <c r="A298" t="inlineStr">
        <is>
          <t>C128</t>
        </is>
      </c>
      <c r="B298" t="inlineStr">
        <is>
          <t>Total first-time, first-year who enrolled</t>
        </is>
      </c>
      <c r="C298">
        <f>IFERROR(IF(VLOOKUP($A298,'CDS-C'!$A:$L,3,FALSE)="","",(VLOOKUP($A298,'CDS-C'!$A:$L,3,FALSE))),"")</f>
        <v/>
      </c>
      <c r="D298" t="inlineStr">
        <is>
          <t>First-Time, First-Year Admission</t>
        </is>
      </c>
      <c r="E298" t="inlineStr">
        <is>
          <t>Applications</t>
        </is>
      </c>
      <c r="F298" t="inlineStr">
        <is>
          <t>Enrolled</t>
        </is>
      </c>
      <c r="G298" t="inlineStr">
        <is>
          <t>Undergraduates</t>
        </is>
      </c>
      <c r="H298" t="inlineStr">
        <is>
          <t>First-time, first-year</t>
        </is>
      </c>
      <c r="I298" t="inlineStr">
        <is>
          <t>Nonresidents</t>
        </is>
      </c>
      <c r="J298" t="inlineStr">
        <is>
          <t>All</t>
        </is>
      </c>
      <c r="K298" t="inlineStr">
        <is>
          <t>All</t>
        </is>
      </c>
      <c r="L298" t="inlineStr">
        <is>
          <t>Number</t>
        </is>
      </c>
    </row>
    <row r="299">
      <c r="A299" t="inlineStr">
        <is>
          <t>C129</t>
        </is>
      </c>
      <c r="B299" t="inlineStr">
        <is>
          <t>Total first-time, first-year who applied</t>
        </is>
      </c>
      <c r="C299">
        <f>IFERROR(IF(VLOOKUP($A299,'CDS-C'!$A:$L,3,FALSE)="","",(VLOOKUP($A299,'CDS-C'!$A:$L,3,FALSE))),"")</f>
        <v/>
      </c>
      <c r="D299" t="inlineStr">
        <is>
          <t>First-Time, First-Year Admission</t>
        </is>
      </c>
      <c r="E299" t="inlineStr">
        <is>
          <t>Applications</t>
        </is>
      </c>
      <c r="F299" t="inlineStr">
        <is>
          <t>Applied</t>
        </is>
      </c>
      <c r="G299" t="inlineStr">
        <is>
          <t>Undergraduates</t>
        </is>
      </c>
      <c r="H299" t="inlineStr">
        <is>
          <t>First-time, first-year</t>
        </is>
      </c>
      <c r="I299" t="inlineStr">
        <is>
          <t>Unknown</t>
        </is>
      </c>
      <c r="J299" t="inlineStr">
        <is>
          <t>All</t>
        </is>
      </c>
      <c r="K299" t="inlineStr">
        <is>
          <t>All</t>
        </is>
      </c>
      <c r="L299" t="inlineStr">
        <is>
          <t>Number</t>
        </is>
      </c>
    </row>
    <row r="300">
      <c r="A300" t="inlineStr">
        <is>
          <t>C130</t>
        </is>
      </c>
      <c r="B300" t="inlineStr">
        <is>
          <t>Total first-time, first-year who were admitted</t>
        </is>
      </c>
      <c r="C300">
        <f>IFERROR(IF(VLOOKUP($A300,'CDS-C'!$A:$L,3,FALSE)="","",(VLOOKUP($A300,'CDS-C'!$A:$L,3,FALSE))),"")</f>
        <v/>
      </c>
      <c r="D300" t="inlineStr">
        <is>
          <t>First-Time, First-Year Admission</t>
        </is>
      </c>
      <c r="E300" t="inlineStr">
        <is>
          <t>Applications</t>
        </is>
      </c>
      <c r="F300" t="inlineStr">
        <is>
          <t>Admitted</t>
        </is>
      </c>
      <c r="G300" t="inlineStr">
        <is>
          <t>Undergraduates</t>
        </is>
      </c>
      <c r="H300" t="inlineStr">
        <is>
          <t>First-time, first-year</t>
        </is>
      </c>
      <c r="I300" t="inlineStr">
        <is>
          <t>Unknown</t>
        </is>
      </c>
      <c r="J300" t="inlineStr">
        <is>
          <t>All</t>
        </is>
      </c>
      <c r="K300" t="inlineStr">
        <is>
          <t>All</t>
        </is>
      </c>
      <c r="L300" t="inlineStr">
        <is>
          <t>Number</t>
        </is>
      </c>
    </row>
    <row r="301">
      <c r="A301" t="inlineStr">
        <is>
          <t>C131</t>
        </is>
      </c>
      <c r="B301" t="inlineStr">
        <is>
          <t>Total first-time, first-year who enrolled</t>
        </is>
      </c>
      <c r="C301">
        <f>IFERROR(IF(VLOOKUP($A301,'CDS-C'!$A:$L,3,FALSE)="","",(VLOOKUP($A301,'CDS-C'!$A:$L,3,FALSE))),"")</f>
        <v/>
      </c>
      <c r="D301" t="inlineStr">
        <is>
          <t>First-Time, First-Year Admission</t>
        </is>
      </c>
      <c r="E301" t="inlineStr">
        <is>
          <t>Applications</t>
        </is>
      </c>
      <c r="F301" t="inlineStr">
        <is>
          <t>Enrolled</t>
        </is>
      </c>
      <c r="G301" t="inlineStr">
        <is>
          <t>Undergraduates</t>
        </is>
      </c>
      <c r="H301" t="inlineStr">
        <is>
          <t>First-time, first-year</t>
        </is>
      </c>
      <c r="I301" t="inlineStr">
        <is>
          <t>Unknown</t>
        </is>
      </c>
      <c r="J301" t="inlineStr">
        <is>
          <t>All</t>
        </is>
      </c>
      <c r="K301" t="inlineStr">
        <is>
          <t>All</t>
        </is>
      </c>
      <c r="L301" t="inlineStr">
        <is>
          <t>Number</t>
        </is>
      </c>
    </row>
    <row r="302">
      <c r="A302" t="inlineStr">
        <is>
          <t>C201</t>
        </is>
      </c>
      <c r="B302" t="inlineStr">
        <is>
          <t>Do you have a policy of placing students on a waiting list?</t>
        </is>
      </c>
      <c r="C302">
        <f>IFERROR(IF(VLOOKUP($A302,'CDS-C'!$A:$L,3,FALSE)="","",(VLOOKUP($A302,'CDS-C'!$A:$L,3,FALSE))),"")</f>
        <v/>
      </c>
      <c r="D302" t="inlineStr">
        <is>
          <t>First-Time, First-Year Admission</t>
        </is>
      </c>
      <c r="E302" t="inlineStr">
        <is>
          <t>Wait List</t>
        </is>
      </c>
      <c r="F302" t="inlineStr">
        <is>
          <t>Policy</t>
        </is>
      </c>
      <c r="G302" t="inlineStr">
        <is>
          <t>Undergraduates</t>
        </is>
      </c>
      <c r="H302" t="inlineStr">
        <is>
          <t>First-time, first-year</t>
        </is>
      </c>
      <c r="I302" t="inlineStr">
        <is>
          <t>All</t>
        </is>
      </c>
      <c r="J302" t="inlineStr">
        <is>
          <t>All</t>
        </is>
      </c>
      <c r="K302" t="inlineStr">
        <is>
          <t>All</t>
        </is>
      </c>
      <c r="L302" t="inlineStr">
        <is>
          <t>YN</t>
        </is>
      </c>
    </row>
    <row r="303">
      <c r="A303" t="inlineStr">
        <is>
          <t>C202</t>
        </is>
      </c>
      <c r="B303" t="inlineStr">
        <is>
          <t>Number of qualified applicants offered a place on waiting list:</t>
        </is>
      </c>
      <c r="C303">
        <f>IFERROR(IF(VLOOKUP($A303,'CDS-C'!$A:$L,3,FALSE)="","",(VLOOKUP($A303,'CDS-C'!$A:$L,3,FALSE))),"")</f>
        <v/>
      </c>
      <c r="D303" t="inlineStr">
        <is>
          <t>First-Time, First-Year Admission</t>
        </is>
      </c>
      <c r="E303" t="inlineStr">
        <is>
          <t>Wait List</t>
        </is>
      </c>
      <c r="F303" t="inlineStr">
        <is>
          <t>Applied</t>
        </is>
      </c>
      <c r="G303" t="inlineStr">
        <is>
          <t>Undergraduates</t>
        </is>
      </c>
      <c r="H303" t="inlineStr">
        <is>
          <t>First-time, first-year</t>
        </is>
      </c>
      <c r="I303" t="inlineStr">
        <is>
          <t>All</t>
        </is>
      </c>
      <c r="J303" t="inlineStr">
        <is>
          <t>All</t>
        </is>
      </c>
      <c r="K303" t="inlineStr">
        <is>
          <t>All</t>
        </is>
      </c>
      <c r="L303" t="inlineStr">
        <is>
          <t>Number</t>
        </is>
      </c>
    </row>
    <row r="304">
      <c r="A304" t="inlineStr">
        <is>
          <t>C203</t>
        </is>
      </c>
      <c r="B304" t="inlineStr">
        <is>
          <t>Number accepting a place on the waiting list:</t>
        </is>
      </c>
      <c r="C304">
        <f>IFERROR(IF(VLOOKUP($A304,'CDS-C'!$A:$L,3,FALSE)="","",(VLOOKUP($A304,'CDS-C'!$A:$L,3,FALSE))),"")</f>
        <v/>
      </c>
      <c r="D304" t="inlineStr">
        <is>
          <t>First-Time, First-Year Admission</t>
        </is>
      </c>
      <c r="E304" t="inlineStr">
        <is>
          <t>Wait List</t>
        </is>
      </c>
      <c r="F304" t="inlineStr">
        <is>
          <t>Accepting Offer</t>
        </is>
      </c>
      <c r="G304" t="inlineStr">
        <is>
          <t>Undergraduates</t>
        </is>
      </c>
      <c r="H304" t="inlineStr">
        <is>
          <t>First-time, first-year</t>
        </is>
      </c>
      <c r="I304" t="inlineStr">
        <is>
          <t>All</t>
        </is>
      </c>
      <c r="J304" t="inlineStr">
        <is>
          <t>All</t>
        </is>
      </c>
      <c r="K304" t="inlineStr">
        <is>
          <t>All</t>
        </is>
      </c>
      <c r="L304" t="inlineStr">
        <is>
          <t>Number</t>
        </is>
      </c>
    </row>
    <row r="305">
      <c r="A305" t="inlineStr">
        <is>
          <t>C204</t>
        </is>
      </c>
      <c r="B305" t="inlineStr">
        <is>
          <t>Number of wait-listed students admitted:</t>
        </is>
      </c>
      <c r="C305">
        <f>IFERROR(IF(VLOOKUP($A305,'CDS-C'!$A:$L,3,FALSE)="","",(VLOOKUP($A305,'CDS-C'!$A:$L,3,FALSE))),"")</f>
        <v/>
      </c>
      <c r="D305" t="inlineStr">
        <is>
          <t>First-Time, First-Year Admission</t>
        </is>
      </c>
      <c r="E305" t="inlineStr">
        <is>
          <t>Wait List</t>
        </is>
      </c>
      <c r="F305" t="inlineStr">
        <is>
          <t>Admitted</t>
        </is>
      </c>
      <c r="G305" t="inlineStr">
        <is>
          <t>Undergraduates</t>
        </is>
      </c>
      <c r="H305" t="inlineStr">
        <is>
          <t>First-time, first-year</t>
        </is>
      </c>
      <c r="I305" t="inlineStr">
        <is>
          <t>All</t>
        </is>
      </c>
      <c r="J305" t="inlineStr">
        <is>
          <t>All</t>
        </is>
      </c>
      <c r="K305" t="inlineStr">
        <is>
          <t>All</t>
        </is>
      </c>
      <c r="L305" t="inlineStr">
        <is>
          <t>Number</t>
        </is>
      </c>
    </row>
    <row r="306">
      <c r="A306" t="inlineStr">
        <is>
          <t>C205</t>
        </is>
      </c>
      <c r="B306" t="inlineStr">
        <is>
          <t>Is your waiting list ranked?</t>
        </is>
      </c>
      <c r="C306">
        <f>IFERROR(IF(VLOOKUP($A306,'CDS-C'!$A:$L,3,FALSE)="","",(VLOOKUP($A306,'CDS-C'!$A:$L,3,FALSE))),"")</f>
        <v/>
      </c>
      <c r="D306" t="inlineStr">
        <is>
          <t>First-Time, First-Year Admission</t>
        </is>
      </c>
      <c r="E306" t="inlineStr">
        <is>
          <t>Wait List</t>
        </is>
      </c>
      <c r="F306" t="inlineStr">
        <is>
          <t>Policy</t>
        </is>
      </c>
      <c r="G306" t="inlineStr">
        <is>
          <t>Undergraduates</t>
        </is>
      </c>
      <c r="H306" t="inlineStr">
        <is>
          <t>First-time, first-year</t>
        </is>
      </c>
      <c r="I306" t="inlineStr">
        <is>
          <t>All</t>
        </is>
      </c>
      <c r="J306" t="inlineStr">
        <is>
          <t>All</t>
        </is>
      </c>
      <c r="K306" t="inlineStr">
        <is>
          <t>All</t>
        </is>
      </c>
      <c r="L306" t="inlineStr">
        <is>
          <t>YN</t>
        </is>
      </c>
    </row>
    <row r="307">
      <c r="A307" t="inlineStr">
        <is>
          <t>C206</t>
        </is>
      </c>
      <c r="B307" t="inlineStr">
        <is>
          <t>If yes, do you release that information to students?</t>
        </is>
      </c>
      <c r="C307">
        <f>IFERROR(IF(VLOOKUP($A307,'CDS-C'!$A:$L,3,FALSE)="","",(VLOOKUP($A307,'CDS-C'!$A:$L,3,FALSE))),"")</f>
        <v/>
      </c>
      <c r="D307" t="inlineStr">
        <is>
          <t>First-Time, First-Year Admission</t>
        </is>
      </c>
      <c r="E307" t="inlineStr">
        <is>
          <t>Wait List</t>
        </is>
      </c>
      <c r="F307" t="inlineStr">
        <is>
          <t>Policy</t>
        </is>
      </c>
      <c r="G307" t="inlineStr">
        <is>
          <t>Undergraduates</t>
        </is>
      </c>
      <c r="H307" t="inlineStr">
        <is>
          <t>First-time, first-year</t>
        </is>
      </c>
      <c r="I307" t="inlineStr">
        <is>
          <t>All</t>
        </is>
      </c>
      <c r="J307" t="inlineStr">
        <is>
          <t>All</t>
        </is>
      </c>
      <c r="K307" t="inlineStr">
        <is>
          <t>All</t>
        </is>
      </c>
      <c r="L307" t="inlineStr">
        <is>
          <t>YN</t>
        </is>
      </c>
    </row>
    <row r="308">
      <c r="A308" t="inlineStr">
        <is>
          <t>C207</t>
        </is>
      </c>
      <c r="B308" t="inlineStr">
        <is>
          <t>Do you release that information to school counselors?</t>
        </is>
      </c>
      <c r="C308">
        <f>IFERROR(IF(VLOOKUP($A308,'CDS-C'!$A:$L,3,FALSE)="","",(VLOOKUP($A308,'CDS-C'!$A:$L,3,FALSE))),"")</f>
        <v/>
      </c>
      <c r="D308" t="inlineStr">
        <is>
          <t>First-Time, First-Year Admission</t>
        </is>
      </c>
      <c r="E308" t="inlineStr">
        <is>
          <t>Wait List</t>
        </is>
      </c>
      <c r="F308" t="inlineStr">
        <is>
          <t>Policy</t>
        </is>
      </c>
      <c r="G308" t="inlineStr">
        <is>
          <t>Undergraduates</t>
        </is>
      </c>
      <c r="H308" t="inlineStr">
        <is>
          <t>First-time, first-year</t>
        </is>
      </c>
      <c r="I308" t="inlineStr">
        <is>
          <t>All</t>
        </is>
      </c>
      <c r="J308" t="inlineStr">
        <is>
          <t>All</t>
        </is>
      </c>
      <c r="K308" t="inlineStr">
        <is>
          <t>All</t>
        </is>
      </c>
      <c r="L308" t="inlineStr">
        <is>
          <t>YN</t>
        </is>
      </c>
    </row>
    <row r="309">
      <c r="A309" t="inlineStr">
        <is>
          <t>C301</t>
        </is>
      </c>
      <c r="B309" t="inlineStr">
        <is>
          <t>High school diploma is required and GED is accepted</t>
        </is>
      </c>
      <c r="C309">
        <f>IFERROR(IF(VLOOKUP($A309,'CDS-C'!$A:$L,3,FALSE)="","",(VLOOKUP($A309,'CDS-C'!$A:$L,3,FALSE))),"")</f>
        <v/>
      </c>
      <c r="D309" t="inlineStr">
        <is>
          <t>First-Time, First-Year Admission</t>
        </is>
      </c>
      <c r="E309" t="inlineStr">
        <is>
          <t>Admissions Requirements</t>
        </is>
      </c>
      <c r="F309" t="inlineStr">
        <is>
          <t>High School completion</t>
        </is>
      </c>
      <c r="G309" t="inlineStr">
        <is>
          <t>Undergraduates</t>
        </is>
      </c>
      <c r="H309" t="inlineStr">
        <is>
          <t>First-time, first-year</t>
        </is>
      </c>
      <c r="I309" t="inlineStr">
        <is>
          <t>All</t>
        </is>
      </c>
      <c r="J309" t="inlineStr">
        <is>
          <t>All</t>
        </is>
      </c>
      <c r="K309" t="inlineStr">
        <is>
          <t>All</t>
        </is>
      </c>
      <c r="L309" t="inlineStr">
        <is>
          <t>x</t>
        </is>
      </c>
    </row>
    <row r="310">
      <c r="A310" t="inlineStr">
        <is>
          <t>C302</t>
        </is>
      </c>
      <c r="B310" t="inlineStr">
        <is>
          <t>High school diploma is required and GED is not accepted</t>
        </is>
      </c>
      <c r="C310">
        <f>IFERROR(IF(VLOOKUP($A310,'CDS-C'!$A:$L,3,FALSE)="","",(VLOOKUP($A310,'CDS-C'!$A:$L,3,FALSE))),"")</f>
        <v/>
      </c>
      <c r="D310" t="inlineStr">
        <is>
          <t>First-Time, First-Year Admission</t>
        </is>
      </c>
      <c r="E310" t="inlineStr">
        <is>
          <t>Admissions Requirements</t>
        </is>
      </c>
      <c r="F310" t="inlineStr">
        <is>
          <t>High School completion</t>
        </is>
      </c>
      <c r="G310" t="inlineStr">
        <is>
          <t>Undergraduates</t>
        </is>
      </c>
      <c r="H310" t="inlineStr">
        <is>
          <t>First-time, first-year</t>
        </is>
      </c>
      <c r="I310" t="inlineStr">
        <is>
          <t>All</t>
        </is>
      </c>
      <c r="J310" t="inlineStr">
        <is>
          <t>All</t>
        </is>
      </c>
      <c r="K310" t="inlineStr">
        <is>
          <t>All</t>
        </is>
      </c>
      <c r="L310" t="inlineStr">
        <is>
          <t>x</t>
        </is>
      </c>
    </row>
    <row r="311">
      <c r="A311" t="inlineStr">
        <is>
          <t>C303</t>
        </is>
      </c>
      <c r="B311" t="inlineStr">
        <is>
          <t>High school diploma or equivalent is not required</t>
        </is>
      </c>
      <c r="C311">
        <f>IFERROR(IF(VLOOKUP($A311,'CDS-C'!$A:$L,3,FALSE)="","",(VLOOKUP($A311,'CDS-C'!$A:$L,3,FALSE))),"")</f>
        <v/>
      </c>
      <c r="D311" t="inlineStr">
        <is>
          <t>First-Time, First-Year Admission</t>
        </is>
      </c>
      <c r="E311" t="inlineStr">
        <is>
          <t>Admissions Requirements</t>
        </is>
      </c>
      <c r="F311" t="inlineStr">
        <is>
          <t>High School completion</t>
        </is>
      </c>
      <c r="G311" t="inlineStr">
        <is>
          <t>Undergraduates</t>
        </is>
      </c>
      <c r="H311" t="inlineStr">
        <is>
          <t>First-time, first-year</t>
        </is>
      </c>
      <c r="I311" t="inlineStr">
        <is>
          <t>All</t>
        </is>
      </c>
      <c r="J311" t="inlineStr">
        <is>
          <t>All</t>
        </is>
      </c>
      <c r="K311" t="inlineStr">
        <is>
          <t>All</t>
        </is>
      </c>
      <c r="L311" t="inlineStr">
        <is>
          <t>x</t>
        </is>
      </c>
    </row>
    <row r="312">
      <c r="A312" t="inlineStr">
        <is>
          <t>C401</t>
        </is>
      </c>
      <c r="B312" t="inlineStr">
        <is>
          <t>Require</t>
        </is>
      </c>
      <c r="C312">
        <f>IFERROR(IF(VLOOKUP($A312,'CDS-C'!$A:$L,3,FALSE)="","",(VLOOKUP($A312,'CDS-C'!$A:$L,3,FALSE))),"")</f>
        <v/>
      </c>
      <c r="D312" t="inlineStr">
        <is>
          <t>First-Time, First-Year Admission</t>
        </is>
      </c>
      <c r="E312" t="inlineStr">
        <is>
          <t>Admissions Requirements</t>
        </is>
      </c>
      <c r="F312" t="inlineStr">
        <is>
          <t xml:space="preserve">College-preparatory Program </t>
        </is>
      </c>
      <c r="G312" t="inlineStr">
        <is>
          <t>Undergraduates</t>
        </is>
      </c>
      <c r="H312" t="inlineStr">
        <is>
          <t>First-time, first-year</t>
        </is>
      </c>
      <c r="I312" t="inlineStr">
        <is>
          <t>All</t>
        </is>
      </c>
      <c r="J312" t="inlineStr">
        <is>
          <t>All</t>
        </is>
      </c>
      <c r="K312" t="inlineStr">
        <is>
          <t>All</t>
        </is>
      </c>
      <c r="L312" t="inlineStr">
        <is>
          <t>x</t>
        </is>
      </c>
    </row>
    <row r="313">
      <c r="A313" t="inlineStr">
        <is>
          <t>C402</t>
        </is>
      </c>
      <c r="B313" t="inlineStr">
        <is>
          <t>Recommend</t>
        </is>
      </c>
      <c r="C313">
        <f>IFERROR(IF(VLOOKUP($A313,'CDS-C'!$A:$L,3,FALSE)="","",(VLOOKUP($A313,'CDS-C'!$A:$L,3,FALSE))),"")</f>
        <v/>
      </c>
      <c r="D313" t="inlineStr">
        <is>
          <t>First-Time, First-Year Admission</t>
        </is>
      </c>
      <c r="E313" t="inlineStr">
        <is>
          <t>Admissions Requirements</t>
        </is>
      </c>
      <c r="F313" t="inlineStr">
        <is>
          <t xml:space="preserve">College-preparatory Program </t>
        </is>
      </c>
      <c r="G313" t="inlineStr">
        <is>
          <t>Undergraduates</t>
        </is>
      </c>
      <c r="H313" t="inlineStr">
        <is>
          <t>First-time, first-year</t>
        </is>
      </c>
      <c r="I313" t="inlineStr">
        <is>
          <t>All</t>
        </is>
      </c>
      <c r="J313" t="inlineStr">
        <is>
          <t>All</t>
        </is>
      </c>
      <c r="K313" t="inlineStr">
        <is>
          <t>All</t>
        </is>
      </c>
      <c r="L313" t="inlineStr">
        <is>
          <t>x</t>
        </is>
      </c>
    </row>
    <row r="314">
      <c r="A314" t="inlineStr">
        <is>
          <t>C403</t>
        </is>
      </c>
      <c r="B314" t="inlineStr">
        <is>
          <t>Neither require nor recommend</t>
        </is>
      </c>
      <c r="C314">
        <f>IFERROR(IF(VLOOKUP($A314,'CDS-C'!$A:$L,3,FALSE)="","",(VLOOKUP($A314,'CDS-C'!$A:$L,3,FALSE))),"")</f>
        <v/>
      </c>
      <c r="D314" t="inlineStr">
        <is>
          <t>First-Time, First-Year Admission</t>
        </is>
      </c>
      <c r="E314" t="inlineStr">
        <is>
          <t>Admissions Requirements</t>
        </is>
      </c>
      <c r="F314" t="inlineStr">
        <is>
          <t xml:space="preserve">College-preparatory Program </t>
        </is>
      </c>
      <c r="G314" t="inlineStr">
        <is>
          <t>Undergraduates</t>
        </is>
      </c>
      <c r="H314" t="inlineStr">
        <is>
          <t>First-time, first-year</t>
        </is>
      </c>
      <c r="I314" t="inlineStr">
        <is>
          <t>All</t>
        </is>
      </c>
      <c r="J314" t="inlineStr">
        <is>
          <t>All</t>
        </is>
      </c>
      <c r="K314" t="inlineStr">
        <is>
          <t>All</t>
        </is>
      </c>
      <c r="L314" t="inlineStr">
        <is>
          <t>x</t>
        </is>
      </c>
    </row>
    <row r="315">
      <c r="A315" t="inlineStr">
        <is>
          <t>C501</t>
        </is>
      </c>
      <c r="B315" t="inlineStr">
        <is>
          <t>Total academic units</t>
        </is>
      </c>
      <c r="C315">
        <f>IFERROR(IF(VLOOKUP($A315,'CDS-C'!$A:$L,3,FALSE)="","",(VLOOKUP($A315,'CDS-C'!$A:$L,3,FALSE))),"")</f>
        <v/>
      </c>
      <c r="D315" t="inlineStr">
        <is>
          <t>First-Time, First-Year Admission</t>
        </is>
      </c>
      <c r="E315" t="inlineStr">
        <is>
          <t>Admissions Requirements</t>
        </is>
      </c>
      <c r="F315" t="inlineStr">
        <is>
          <t>High School Units Required</t>
        </is>
      </c>
      <c r="G315" t="inlineStr">
        <is>
          <t>Undergraduates</t>
        </is>
      </c>
      <c r="H315" t="inlineStr">
        <is>
          <t>First-time, first-year</t>
        </is>
      </c>
      <c r="I315" t="inlineStr">
        <is>
          <t>All</t>
        </is>
      </c>
      <c r="J315" t="inlineStr">
        <is>
          <t>All</t>
        </is>
      </c>
      <c r="K315" t="inlineStr">
        <is>
          <t>All</t>
        </is>
      </c>
      <c r="L315" t="inlineStr">
        <is>
          <t>Carnegie units</t>
        </is>
      </c>
    </row>
    <row r="316">
      <c r="A316" t="inlineStr">
        <is>
          <t>C502</t>
        </is>
      </c>
      <c r="B316" t="inlineStr">
        <is>
          <t>English</t>
        </is>
      </c>
      <c r="C316">
        <f>IFERROR(IF(VLOOKUP($A316,'CDS-C'!$A:$L,3,FALSE)="","",(VLOOKUP($A316,'CDS-C'!$A:$L,3,FALSE))),"")</f>
        <v/>
      </c>
      <c r="D316" t="inlineStr">
        <is>
          <t>First-Time, First-Year Admission</t>
        </is>
      </c>
      <c r="E316" t="inlineStr">
        <is>
          <t>Admissions Requirements</t>
        </is>
      </c>
      <c r="F316" t="inlineStr">
        <is>
          <t>High School Units Required</t>
        </is>
      </c>
      <c r="G316" t="inlineStr">
        <is>
          <t>Undergraduates</t>
        </is>
      </c>
      <c r="H316" t="inlineStr">
        <is>
          <t>First-time, first-year</t>
        </is>
      </c>
      <c r="I316" t="inlineStr">
        <is>
          <t>All</t>
        </is>
      </c>
      <c r="J316" t="inlineStr">
        <is>
          <t>All</t>
        </is>
      </c>
      <c r="K316" t="inlineStr">
        <is>
          <t>All</t>
        </is>
      </c>
      <c r="L316" t="inlineStr">
        <is>
          <t>Carnegie units</t>
        </is>
      </c>
    </row>
    <row r="317">
      <c r="A317" t="inlineStr">
        <is>
          <t>C503</t>
        </is>
      </c>
      <c r="B317" t="inlineStr">
        <is>
          <t>Mathematics</t>
        </is>
      </c>
      <c r="C317">
        <f>IFERROR(IF(VLOOKUP($A317,'CDS-C'!$A:$L,3,FALSE)="","",(VLOOKUP($A317,'CDS-C'!$A:$L,3,FALSE))),"")</f>
        <v/>
      </c>
      <c r="D317" t="inlineStr">
        <is>
          <t>First-Time, First-Year Admission</t>
        </is>
      </c>
      <c r="E317" t="inlineStr">
        <is>
          <t>Admissions Requirements</t>
        </is>
      </c>
      <c r="F317" t="inlineStr">
        <is>
          <t>High School Units Required</t>
        </is>
      </c>
      <c r="G317" t="inlineStr">
        <is>
          <t>Undergraduates</t>
        </is>
      </c>
      <c r="H317" t="inlineStr">
        <is>
          <t>First-time, first-year</t>
        </is>
      </c>
      <c r="I317" t="inlineStr">
        <is>
          <t>All</t>
        </is>
      </c>
      <c r="J317" t="inlineStr">
        <is>
          <t>All</t>
        </is>
      </c>
      <c r="K317" t="inlineStr">
        <is>
          <t>All</t>
        </is>
      </c>
      <c r="L317" t="inlineStr">
        <is>
          <t>Carnegie units</t>
        </is>
      </c>
    </row>
    <row r="318">
      <c r="A318" t="inlineStr">
        <is>
          <t>C504</t>
        </is>
      </c>
      <c r="B318" t="inlineStr">
        <is>
          <t>Science</t>
        </is>
      </c>
      <c r="C318">
        <f>IFERROR(IF(VLOOKUP($A318,'CDS-C'!$A:$L,3,FALSE)="","",(VLOOKUP($A318,'CDS-C'!$A:$L,3,FALSE))),"")</f>
        <v/>
      </c>
      <c r="D318" t="inlineStr">
        <is>
          <t>First-Time, First-Year Admission</t>
        </is>
      </c>
      <c r="E318" t="inlineStr">
        <is>
          <t>Admissions Requirements</t>
        </is>
      </c>
      <c r="F318" t="inlineStr">
        <is>
          <t>High School Units Required</t>
        </is>
      </c>
      <c r="G318" t="inlineStr">
        <is>
          <t>Undergraduates</t>
        </is>
      </c>
      <c r="H318" t="inlineStr">
        <is>
          <t>First-time, first-year</t>
        </is>
      </c>
      <c r="I318" t="inlineStr">
        <is>
          <t>All</t>
        </is>
      </c>
      <c r="J318" t="inlineStr">
        <is>
          <t>All</t>
        </is>
      </c>
      <c r="K318" t="inlineStr">
        <is>
          <t>All</t>
        </is>
      </c>
      <c r="L318" t="inlineStr">
        <is>
          <t>Carnegie units</t>
        </is>
      </c>
    </row>
    <row r="319">
      <c r="A319" t="inlineStr">
        <is>
          <t>C505</t>
        </is>
      </c>
      <c r="B319" t="inlineStr">
        <is>
          <t xml:space="preserve">    Of these, units that must be lab</t>
        </is>
      </c>
      <c r="C319">
        <f>IFERROR(IF(VLOOKUP($A319,'CDS-C'!$A:$L,3,FALSE)="","",(VLOOKUP($A319,'CDS-C'!$A:$L,3,FALSE))),"")</f>
        <v/>
      </c>
      <c r="D319" t="inlineStr">
        <is>
          <t>First-Time, First-Year Admission</t>
        </is>
      </c>
      <c r="E319" t="inlineStr">
        <is>
          <t>Admissions Requirements</t>
        </is>
      </c>
      <c r="F319" t="inlineStr">
        <is>
          <t>High School Units Required</t>
        </is>
      </c>
      <c r="G319" t="inlineStr">
        <is>
          <t>Undergraduates</t>
        </is>
      </c>
      <c r="H319" t="inlineStr">
        <is>
          <t>First-time, first-year</t>
        </is>
      </c>
      <c r="I319" t="inlineStr">
        <is>
          <t>All</t>
        </is>
      </c>
      <c r="J319" t="inlineStr">
        <is>
          <t>All</t>
        </is>
      </c>
      <c r="K319" t="inlineStr">
        <is>
          <t>All</t>
        </is>
      </c>
      <c r="L319" t="inlineStr">
        <is>
          <t>Carnegie units</t>
        </is>
      </c>
    </row>
    <row r="320">
      <c r="A320" t="inlineStr">
        <is>
          <t>C506</t>
        </is>
      </c>
      <c r="B320" t="inlineStr">
        <is>
          <t>Foreign language</t>
        </is>
      </c>
      <c r="C320">
        <f>IFERROR(IF(VLOOKUP($A320,'CDS-C'!$A:$L,3,FALSE)="","",(VLOOKUP($A320,'CDS-C'!$A:$L,3,FALSE))),"")</f>
        <v/>
      </c>
      <c r="D320" t="inlineStr">
        <is>
          <t>First-Time, First-Year Admission</t>
        </is>
      </c>
      <c r="E320" t="inlineStr">
        <is>
          <t>Admissions Requirements</t>
        </is>
      </c>
      <c r="F320" t="inlineStr">
        <is>
          <t>High School Units Required</t>
        </is>
      </c>
      <c r="G320" t="inlineStr">
        <is>
          <t>Undergraduates</t>
        </is>
      </c>
      <c r="H320" t="inlineStr">
        <is>
          <t>First-time, first-year</t>
        </is>
      </c>
      <c r="I320" t="inlineStr">
        <is>
          <t>All</t>
        </is>
      </c>
      <c r="J320" t="inlineStr">
        <is>
          <t>All</t>
        </is>
      </c>
      <c r="K320" t="inlineStr">
        <is>
          <t>All</t>
        </is>
      </c>
      <c r="L320" t="inlineStr">
        <is>
          <t>Carnegie units</t>
        </is>
      </c>
    </row>
    <row r="321">
      <c r="A321" t="inlineStr">
        <is>
          <t>C507</t>
        </is>
      </c>
      <c r="B321" t="inlineStr">
        <is>
          <t>Social studies</t>
        </is>
      </c>
      <c r="C321">
        <f>IFERROR(IF(VLOOKUP($A321,'CDS-C'!$A:$L,3,FALSE)="","",(VLOOKUP($A321,'CDS-C'!$A:$L,3,FALSE))),"")</f>
        <v/>
      </c>
      <c r="D321" t="inlineStr">
        <is>
          <t>First-Time, First-Year Admission</t>
        </is>
      </c>
      <c r="E321" t="inlineStr">
        <is>
          <t>Admissions Requirements</t>
        </is>
      </c>
      <c r="F321" t="inlineStr">
        <is>
          <t>High School Units Required</t>
        </is>
      </c>
      <c r="G321" t="inlineStr">
        <is>
          <t>Undergraduates</t>
        </is>
      </c>
      <c r="H321" t="inlineStr">
        <is>
          <t>First-time, first-year</t>
        </is>
      </c>
      <c r="I321" t="inlineStr">
        <is>
          <t>All</t>
        </is>
      </c>
      <c r="J321" t="inlineStr">
        <is>
          <t>All</t>
        </is>
      </c>
      <c r="K321" t="inlineStr">
        <is>
          <t>All</t>
        </is>
      </c>
      <c r="L321" t="inlineStr">
        <is>
          <t>Carnegie units</t>
        </is>
      </c>
    </row>
    <row r="322">
      <c r="A322" t="inlineStr">
        <is>
          <t>C508</t>
        </is>
      </c>
      <c r="B322" t="inlineStr">
        <is>
          <t>History</t>
        </is>
      </c>
      <c r="C322">
        <f>IFERROR(IF(VLOOKUP($A322,'CDS-C'!$A:$L,3,FALSE)="","",(VLOOKUP($A322,'CDS-C'!$A:$L,3,FALSE))),"")</f>
        <v/>
      </c>
      <c r="D322" t="inlineStr">
        <is>
          <t>First-Time, First-Year Admission</t>
        </is>
      </c>
      <c r="E322" t="inlineStr">
        <is>
          <t>Admissions Requirements</t>
        </is>
      </c>
      <c r="F322" t="inlineStr">
        <is>
          <t>High School Units Required</t>
        </is>
      </c>
      <c r="G322" t="inlineStr">
        <is>
          <t>Undergraduates</t>
        </is>
      </c>
      <c r="H322" t="inlineStr">
        <is>
          <t>First-time, first-year</t>
        </is>
      </c>
      <c r="I322" t="inlineStr">
        <is>
          <t>All</t>
        </is>
      </c>
      <c r="J322" t="inlineStr">
        <is>
          <t>All</t>
        </is>
      </c>
      <c r="K322" t="inlineStr">
        <is>
          <t>All</t>
        </is>
      </c>
      <c r="L322" t="inlineStr">
        <is>
          <t>Carnegie units</t>
        </is>
      </c>
    </row>
    <row r="323">
      <c r="A323" t="inlineStr">
        <is>
          <t>C509</t>
        </is>
      </c>
      <c r="B323" t="inlineStr">
        <is>
          <t>Academic electives</t>
        </is>
      </c>
      <c r="C323">
        <f>IFERROR(IF(VLOOKUP($A323,'CDS-C'!$A:$L,3,FALSE)="","",(VLOOKUP($A323,'CDS-C'!$A:$L,3,FALSE))),"")</f>
        <v/>
      </c>
      <c r="D323" t="inlineStr">
        <is>
          <t>First-Time, First-Year Admission</t>
        </is>
      </c>
      <c r="E323" t="inlineStr">
        <is>
          <t>Admissions Requirements</t>
        </is>
      </c>
      <c r="F323" t="inlineStr">
        <is>
          <t>High School Units Required</t>
        </is>
      </c>
      <c r="G323" t="inlineStr">
        <is>
          <t>Undergraduates</t>
        </is>
      </c>
      <c r="H323" t="inlineStr">
        <is>
          <t>First-time, first-year</t>
        </is>
      </c>
      <c r="I323" t="inlineStr">
        <is>
          <t>All</t>
        </is>
      </c>
      <c r="J323" t="inlineStr">
        <is>
          <t>All</t>
        </is>
      </c>
      <c r="K323" t="inlineStr">
        <is>
          <t>All</t>
        </is>
      </c>
      <c r="L323" t="inlineStr">
        <is>
          <t>Carnegie units</t>
        </is>
      </c>
    </row>
    <row r="324">
      <c r="A324" t="inlineStr">
        <is>
          <t>C510</t>
        </is>
      </c>
      <c r="B324" t="inlineStr">
        <is>
          <t>Computer Science</t>
        </is>
      </c>
      <c r="C324">
        <f>IFERROR(IF(VLOOKUP($A324,'CDS-C'!$A:$L,3,FALSE)="","",(VLOOKUP($A324,'CDS-C'!$A:$L,3,FALSE))),"")</f>
        <v/>
      </c>
      <c r="D324" t="inlineStr">
        <is>
          <t>First-Time, First-Year Admission</t>
        </is>
      </c>
      <c r="E324" t="inlineStr">
        <is>
          <t>Admissions Requirements</t>
        </is>
      </c>
      <c r="F324" t="inlineStr">
        <is>
          <t>High School Units Required</t>
        </is>
      </c>
      <c r="G324" t="inlineStr">
        <is>
          <t>Undergraduates</t>
        </is>
      </c>
      <c r="H324" t="inlineStr">
        <is>
          <t>First-time, first-year</t>
        </is>
      </c>
      <c r="I324" t="inlineStr">
        <is>
          <t>All</t>
        </is>
      </c>
      <c r="J324" t="inlineStr">
        <is>
          <t>All</t>
        </is>
      </c>
      <c r="K324" t="inlineStr">
        <is>
          <t>All</t>
        </is>
      </c>
      <c r="L324" t="inlineStr">
        <is>
          <t>Carnegie units</t>
        </is>
      </c>
    </row>
    <row r="325">
      <c r="A325" t="inlineStr">
        <is>
          <t>C511</t>
        </is>
      </c>
      <c r="B325" t="inlineStr">
        <is>
          <t>Visual/Performing Arts</t>
        </is>
      </c>
      <c r="C325">
        <f>IFERROR(IF(VLOOKUP($A325,'CDS-C'!$A:$L,3,FALSE)="","",(VLOOKUP($A325,'CDS-C'!$A:$L,3,FALSE))),"")</f>
        <v/>
      </c>
      <c r="D325" t="inlineStr">
        <is>
          <t>First-Time, First-Year Admission</t>
        </is>
      </c>
      <c r="E325" t="inlineStr">
        <is>
          <t>Admissions Requirements</t>
        </is>
      </c>
      <c r="F325" t="inlineStr">
        <is>
          <t>High School Units Required</t>
        </is>
      </c>
      <c r="G325" t="inlineStr">
        <is>
          <t>Undergraduates</t>
        </is>
      </c>
      <c r="H325" t="inlineStr">
        <is>
          <t>First-time, first-year</t>
        </is>
      </c>
      <c r="I325" t="inlineStr">
        <is>
          <t>All</t>
        </is>
      </c>
      <c r="J325" t="inlineStr">
        <is>
          <t>All</t>
        </is>
      </c>
      <c r="K325" t="inlineStr">
        <is>
          <t>All</t>
        </is>
      </c>
      <c r="L325" t="inlineStr">
        <is>
          <t>Carnegie units</t>
        </is>
      </c>
    </row>
    <row r="326">
      <c r="A326" t="inlineStr">
        <is>
          <t>C512</t>
        </is>
      </c>
      <c r="B326" t="inlineStr">
        <is>
          <t>Other (specify)</t>
        </is>
      </c>
      <c r="C326">
        <f>IFERROR(IF(VLOOKUP($A326,'CDS-C'!$A:$L,3,FALSE)="","",(VLOOKUP($A326,'CDS-C'!$A:$L,3,FALSE))),"")</f>
        <v/>
      </c>
      <c r="D326" t="inlineStr">
        <is>
          <t>First-Time, First-Year Admission</t>
        </is>
      </c>
      <c r="E326" t="inlineStr">
        <is>
          <t>Admissions Requirements</t>
        </is>
      </c>
      <c r="F326" t="inlineStr">
        <is>
          <t>High School Units Required</t>
        </is>
      </c>
      <c r="G326" t="inlineStr">
        <is>
          <t>Undergraduates</t>
        </is>
      </c>
      <c r="H326" t="inlineStr">
        <is>
          <t>First-time, first-year</t>
        </is>
      </c>
      <c r="I326" t="inlineStr">
        <is>
          <t>All</t>
        </is>
      </c>
      <c r="J326" t="inlineStr">
        <is>
          <t>All</t>
        </is>
      </c>
      <c r="K326" t="inlineStr">
        <is>
          <t>All</t>
        </is>
      </c>
      <c r="L326" t="inlineStr">
        <is>
          <t>Text</t>
        </is>
      </c>
    </row>
    <row r="327">
      <c r="A327" t="inlineStr">
        <is>
          <t>C513</t>
        </is>
      </c>
      <c r="B327" t="inlineStr">
        <is>
          <t>Total academic units</t>
        </is>
      </c>
      <c r="C327">
        <f>IFERROR(IF(VLOOKUP($A327,'CDS-C'!$A:$L,3,FALSE)="","",(VLOOKUP($A327,'CDS-C'!$A:$L,3,FALSE))),"")</f>
        <v/>
      </c>
      <c r="D327" t="inlineStr">
        <is>
          <t>First-Time, First-Year Admission</t>
        </is>
      </c>
      <c r="E327" t="inlineStr">
        <is>
          <t>Admissions Requirements</t>
        </is>
      </c>
      <c r="F327" t="inlineStr">
        <is>
          <t>High School Units Recommended</t>
        </is>
      </c>
      <c r="G327" t="inlineStr">
        <is>
          <t>Undergraduates</t>
        </is>
      </c>
      <c r="H327" t="inlineStr">
        <is>
          <t>First-time, first-year</t>
        </is>
      </c>
      <c r="I327" t="inlineStr">
        <is>
          <t>All</t>
        </is>
      </c>
      <c r="J327" t="inlineStr">
        <is>
          <t>All</t>
        </is>
      </c>
      <c r="K327" t="inlineStr">
        <is>
          <t>All</t>
        </is>
      </c>
      <c r="L327" t="inlineStr">
        <is>
          <t>Carnegie units</t>
        </is>
      </c>
    </row>
    <row r="328">
      <c r="A328" t="inlineStr">
        <is>
          <t>C514</t>
        </is>
      </c>
      <c r="B328" t="inlineStr">
        <is>
          <t>English</t>
        </is>
      </c>
      <c r="C328">
        <f>IFERROR(IF(VLOOKUP($A328,'CDS-C'!$A:$L,3,FALSE)="","",(VLOOKUP($A328,'CDS-C'!$A:$L,3,FALSE))),"")</f>
        <v/>
      </c>
      <c r="D328" t="inlineStr">
        <is>
          <t>First-Time, First-Year Admission</t>
        </is>
      </c>
      <c r="E328" t="inlineStr">
        <is>
          <t>Admissions Requirements</t>
        </is>
      </c>
      <c r="F328" t="inlineStr">
        <is>
          <t>High School Units Recommended</t>
        </is>
      </c>
      <c r="G328" t="inlineStr">
        <is>
          <t>Undergraduates</t>
        </is>
      </c>
      <c r="H328" t="inlineStr">
        <is>
          <t>First-time, first-year</t>
        </is>
      </c>
      <c r="I328" t="inlineStr">
        <is>
          <t>All</t>
        </is>
      </c>
      <c r="J328" t="inlineStr">
        <is>
          <t>All</t>
        </is>
      </c>
      <c r="K328" t="inlineStr">
        <is>
          <t>All</t>
        </is>
      </c>
      <c r="L328" t="inlineStr">
        <is>
          <t>Carnegie units</t>
        </is>
      </c>
    </row>
    <row r="329">
      <c r="A329" t="inlineStr">
        <is>
          <t>C515</t>
        </is>
      </c>
      <c r="B329" t="inlineStr">
        <is>
          <t>Mathematics</t>
        </is>
      </c>
      <c r="C329">
        <f>IFERROR(IF(VLOOKUP($A329,'CDS-C'!$A:$L,3,FALSE)="","",(VLOOKUP($A329,'CDS-C'!$A:$L,3,FALSE))),"")</f>
        <v/>
      </c>
      <c r="D329" t="inlineStr">
        <is>
          <t>First-Time, First-Year Admission</t>
        </is>
      </c>
      <c r="E329" t="inlineStr">
        <is>
          <t>Admissions Requirements</t>
        </is>
      </c>
      <c r="F329" t="inlineStr">
        <is>
          <t>High School Units Recommended</t>
        </is>
      </c>
      <c r="G329" t="inlineStr">
        <is>
          <t>Undergraduates</t>
        </is>
      </c>
      <c r="H329" t="inlineStr">
        <is>
          <t>First-time, first-year</t>
        </is>
      </c>
      <c r="I329" t="inlineStr">
        <is>
          <t>All</t>
        </is>
      </c>
      <c r="J329" t="inlineStr">
        <is>
          <t>All</t>
        </is>
      </c>
      <c r="K329" t="inlineStr">
        <is>
          <t>All</t>
        </is>
      </c>
      <c r="L329" t="inlineStr">
        <is>
          <t>Carnegie units</t>
        </is>
      </c>
    </row>
    <row r="330">
      <c r="A330" t="inlineStr">
        <is>
          <t>C516</t>
        </is>
      </c>
      <c r="B330" t="inlineStr">
        <is>
          <t>Science</t>
        </is>
      </c>
      <c r="C330">
        <f>IFERROR(IF(VLOOKUP($A330,'CDS-C'!$A:$L,3,FALSE)="","",(VLOOKUP($A330,'CDS-C'!$A:$L,3,FALSE))),"")</f>
        <v/>
      </c>
      <c r="D330" t="inlineStr">
        <is>
          <t>First-Time, First-Year Admission</t>
        </is>
      </c>
      <c r="E330" t="inlineStr">
        <is>
          <t>Admissions Requirements</t>
        </is>
      </c>
      <c r="F330" t="inlineStr">
        <is>
          <t>High School Units Recommended</t>
        </is>
      </c>
      <c r="G330" t="inlineStr">
        <is>
          <t>Undergraduates</t>
        </is>
      </c>
      <c r="H330" t="inlineStr">
        <is>
          <t>First-time, first-year</t>
        </is>
      </c>
      <c r="I330" t="inlineStr">
        <is>
          <t>All</t>
        </is>
      </c>
      <c r="J330" t="inlineStr">
        <is>
          <t>All</t>
        </is>
      </c>
      <c r="K330" t="inlineStr">
        <is>
          <t>All</t>
        </is>
      </c>
      <c r="L330" t="inlineStr">
        <is>
          <t>Carnegie units</t>
        </is>
      </c>
    </row>
    <row r="331">
      <c r="A331" t="inlineStr">
        <is>
          <t>C517</t>
        </is>
      </c>
      <c r="B331" t="inlineStr">
        <is>
          <t xml:space="preserve">    Of these, units that must be lab</t>
        </is>
      </c>
      <c r="C331">
        <f>IFERROR(IF(VLOOKUP($A331,'CDS-C'!$A:$L,3,FALSE)="","",(VLOOKUP($A331,'CDS-C'!$A:$L,3,FALSE))),"")</f>
        <v/>
      </c>
      <c r="D331" t="inlineStr">
        <is>
          <t>First-Time, First-Year Admission</t>
        </is>
      </c>
      <c r="E331" t="inlineStr">
        <is>
          <t>Admissions Requirements</t>
        </is>
      </c>
      <c r="F331" t="inlineStr">
        <is>
          <t>High School Units Recommended</t>
        </is>
      </c>
      <c r="G331" t="inlineStr">
        <is>
          <t>Undergraduates</t>
        </is>
      </c>
      <c r="H331" t="inlineStr">
        <is>
          <t>First-time, first-year</t>
        </is>
      </c>
      <c r="I331" t="inlineStr">
        <is>
          <t>All</t>
        </is>
      </c>
      <c r="J331" t="inlineStr">
        <is>
          <t>All</t>
        </is>
      </c>
      <c r="K331" t="inlineStr">
        <is>
          <t>All</t>
        </is>
      </c>
      <c r="L331" t="inlineStr">
        <is>
          <t>Carnegie units</t>
        </is>
      </c>
    </row>
    <row r="332">
      <c r="A332" t="inlineStr">
        <is>
          <t>C518</t>
        </is>
      </c>
      <c r="B332" t="inlineStr">
        <is>
          <t>Foreign language</t>
        </is>
      </c>
      <c r="C332">
        <f>IFERROR(IF(VLOOKUP($A332,'CDS-C'!$A:$L,3,FALSE)="","",(VLOOKUP($A332,'CDS-C'!$A:$L,3,FALSE))),"")</f>
        <v/>
      </c>
      <c r="D332" t="inlineStr">
        <is>
          <t>First-Time, First-Year Admission</t>
        </is>
      </c>
      <c r="E332" t="inlineStr">
        <is>
          <t>Admissions Requirements</t>
        </is>
      </c>
      <c r="F332" t="inlineStr">
        <is>
          <t>High School Units Recommended</t>
        </is>
      </c>
      <c r="G332" t="inlineStr">
        <is>
          <t>Undergraduates</t>
        </is>
      </c>
      <c r="H332" t="inlineStr">
        <is>
          <t>First-time, first-year</t>
        </is>
      </c>
      <c r="I332" t="inlineStr">
        <is>
          <t>All</t>
        </is>
      </c>
      <c r="J332" t="inlineStr">
        <is>
          <t>All</t>
        </is>
      </c>
      <c r="K332" t="inlineStr">
        <is>
          <t>All</t>
        </is>
      </c>
      <c r="L332" t="inlineStr">
        <is>
          <t>Carnegie units</t>
        </is>
      </c>
    </row>
    <row r="333">
      <c r="A333" t="inlineStr">
        <is>
          <t>C519</t>
        </is>
      </c>
      <c r="B333" t="inlineStr">
        <is>
          <t>Social studies</t>
        </is>
      </c>
      <c r="C333">
        <f>IFERROR(IF(VLOOKUP($A333,'CDS-C'!$A:$L,3,FALSE)="","",(VLOOKUP($A333,'CDS-C'!$A:$L,3,FALSE))),"")</f>
        <v/>
      </c>
      <c r="D333" t="inlineStr">
        <is>
          <t>First-Time, First-Year Admission</t>
        </is>
      </c>
      <c r="E333" t="inlineStr">
        <is>
          <t>Admissions Requirements</t>
        </is>
      </c>
      <c r="F333" t="inlineStr">
        <is>
          <t>High School Units Recommended</t>
        </is>
      </c>
      <c r="G333" t="inlineStr">
        <is>
          <t>Undergraduates</t>
        </is>
      </c>
      <c r="H333" t="inlineStr">
        <is>
          <t>First-time, first-year</t>
        </is>
      </c>
      <c r="I333" t="inlineStr">
        <is>
          <t>All</t>
        </is>
      </c>
      <c r="J333" t="inlineStr">
        <is>
          <t>All</t>
        </is>
      </c>
      <c r="K333" t="inlineStr">
        <is>
          <t>All</t>
        </is>
      </c>
      <c r="L333" t="inlineStr">
        <is>
          <t>Carnegie units</t>
        </is>
      </c>
    </row>
    <row r="334">
      <c r="A334" t="inlineStr">
        <is>
          <t>C520</t>
        </is>
      </c>
      <c r="B334" t="inlineStr">
        <is>
          <t>History</t>
        </is>
      </c>
      <c r="C334">
        <f>IFERROR(IF(VLOOKUP($A334,'CDS-C'!$A:$L,3,FALSE)="","",(VLOOKUP($A334,'CDS-C'!$A:$L,3,FALSE))),"")</f>
        <v/>
      </c>
      <c r="D334" t="inlineStr">
        <is>
          <t>First-Time, First-Year Admission</t>
        </is>
      </c>
      <c r="E334" t="inlineStr">
        <is>
          <t>Admissions Requirements</t>
        </is>
      </c>
      <c r="F334" t="inlineStr">
        <is>
          <t>High School Units Recommended</t>
        </is>
      </c>
      <c r="G334" t="inlineStr">
        <is>
          <t>Undergraduates</t>
        </is>
      </c>
      <c r="H334" t="inlineStr">
        <is>
          <t>First-time, first-year</t>
        </is>
      </c>
      <c r="I334" t="inlineStr">
        <is>
          <t>All</t>
        </is>
      </c>
      <c r="J334" t="inlineStr">
        <is>
          <t>All</t>
        </is>
      </c>
      <c r="K334" t="inlineStr">
        <is>
          <t>All</t>
        </is>
      </c>
      <c r="L334" t="inlineStr">
        <is>
          <t>Carnegie units</t>
        </is>
      </c>
    </row>
    <row r="335">
      <c r="A335" t="inlineStr">
        <is>
          <t>C521</t>
        </is>
      </c>
      <c r="B335" t="inlineStr">
        <is>
          <t>Academic electives</t>
        </is>
      </c>
      <c r="C335">
        <f>IFERROR(IF(VLOOKUP($A335,'CDS-C'!$A:$L,3,FALSE)="","",(VLOOKUP($A335,'CDS-C'!$A:$L,3,FALSE))),"")</f>
        <v/>
      </c>
      <c r="D335" t="inlineStr">
        <is>
          <t>First-Time, First-Year Admission</t>
        </is>
      </c>
      <c r="E335" t="inlineStr">
        <is>
          <t>Admissions Requirements</t>
        </is>
      </c>
      <c r="F335" t="inlineStr">
        <is>
          <t>High School Units Recommended</t>
        </is>
      </c>
      <c r="G335" t="inlineStr">
        <is>
          <t>Undergraduates</t>
        </is>
      </c>
      <c r="H335" t="inlineStr">
        <is>
          <t>First-time, first-year</t>
        </is>
      </c>
      <c r="I335" t="inlineStr">
        <is>
          <t>All</t>
        </is>
      </c>
      <c r="J335" t="inlineStr">
        <is>
          <t>All</t>
        </is>
      </c>
      <c r="K335" t="inlineStr">
        <is>
          <t>All</t>
        </is>
      </c>
      <c r="L335" t="inlineStr">
        <is>
          <t>Carnegie units</t>
        </is>
      </c>
    </row>
    <row r="336">
      <c r="A336" t="inlineStr">
        <is>
          <t>C522</t>
        </is>
      </c>
      <c r="B336" t="inlineStr">
        <is>
          <t>Computer Science</t>
        </is>
      </c>
      <c r="C336">
        <f>IFERROR(IF(VLOOKUP($A336,'CDS-C'!$A:$L,3,FALSE)="","",(VLOOKUP($A336,'CDS-C'!$A:$L,3,FALSE))),"")</f>
        <v/>
      </c>
      <c r="D336" t="inlineStr">
        <is>
          <t>First-Time, First-Year Admission</t>
        </is>
      </c>
      <c r="E336" t="inlineStr">
        <is>
          <t>Admissions Requirements</t>
        </is>
      </c>
      <c r="F336" t="inlineStr">
        <is>
          <t>High School Units Recommended</t>
        </is>
      </c>
      <c r="G336" t="inlineStr">
        <is>
          <t>Undergraduates</t>
        </is>
      </c>
      <c r="H336" t="inlineStr">
        <is>
          <t>First-time, first-year</t>
        </is>
      </c>
      <c r="I336" t="inlineStr">
        <is>
          <t>All</t>
        </is>
      </c>
      <c r="J336" t="inlineStr">
        <is>
          <t>All</t>
        </is>
      </c>
      <c r="K336" t="inlineStr">
        <is>
          <t>All</t>
        </is>
      </c>
      <c r="L336" t="inlineStr">
        <is>
          <t>Carnegie units</t>
        </is>
      </c>
    </row>
    <row r="337">
      <c r="A337" t="inlineStr">
        <is>
          <t>C523</t>
        </is>
      </c>
      <c r="B337" t="inlineStr">
        <is>
          <t>Visual/Performing Arts</t>
        </is>
      </c>
      <c r="C337">
        <f>IFERROR(IF(VLOOKUP($A337,'CDS-C'!$A:$L,3,FALSE)="","",(VLOOKUP($A337,'CDS-C'!$A:$L,3,FALSE))),"")</f>
        <v/>
      </c>
      <c r="D337" t="inlineStr">
        <is>
          <t>First-Time, First-Year Admission</t>
        </is>
      </c>
      <c r="E337" t="inlineStr">
        <is>
          <t>Admissions Requirements</t>
        </is>
      </c>
      <c r="F337" t="inlineStr">
        <is>
          <t>High School Units Recommended</t>
        </is>
      </c>
      <c r="G337" t="inlineStr">
        <is>
          <t>Undergraduates</t>
        </is>
      </c>
      <c r="H337" t="inlineStr">
        <is>
          <t>First-time, first-year</t>
        </is>
      </c>
      <c r="I337" t="inlineStr">
        <is>
          <t>All</t>
        </is>
      </c>
      <c r="J337" t="inlineStr">
        <is>
          <t>All</t>
        </is>
      </c>
      <c r="K337" t="inlineStr">
        <is>
          <t>All</t>
        </is>
      </c>
      <c r="L337" t="inlineStr">
        <is>
          <t>Carnegie units</t>
        </is>
      </c>
    </row>
    <row r="338">
      <c r="A338" t="inlineStr">
        <is>
          <t>C524</t>
        </is>
      </c>
      <c r="B338" t="inlineStr">
        <is>
          <t>Other (specify)</t>
        </is>
      </c>
      <c r="C338">
        <f>IFERROR(IF(VLOOKUP($A338,'CDS-C'!$A:$L,3,FALSE)="","",(VLOOKUP($A338,'CDS-C'!$A:$L,3,FALSE))),"")</f>
        <v/>
      </c>
      <c r="D338" t="inlineStr">
        <is>
          <t>First-Time, First-Year Admission</t>
        </is>
      </c>
      <c r="E338" t="inlineStr">
        <is>
          <t>Admissions Requirements</t>
        </is>
      </c>
      <c r="F338" t="inlineStr">
        <is>
          <t>High School Units Recommended</t>
        </is>
      </c>
      <c r="G338" t="inlineStr">
        <is>
          <t>Undergraduates</t>
        </is>
      </c>
      <c r="H338" t="inlineStr">
        <is>
          <t>First-time, first-year</t>
        </is>
      </c>
      <c r="I338" t="inlineStr">
        <is>
          <t>All</t>
        </is>
      </c>
      <c r="J338" t="inlineStr">
        <is>
          <t>All</t>
        </is>
      </c>
      <c r="K338" t="inlineStr">
        <is>
          <t>All</t>
        </is>
      </c>
      <c r="L338" t="inlineStr">
        <is>
          <t>Carnegie units</t>
        </is>
      </c>
    </row>
    <row r="339">
      <c r="A339" t="inlineStr">
        <is>
          <t>C601</t>
        </is>
      </c>
      <c r="B339" t="inlineStr">
        <is>
          <t xml:space="preserve">Open admission policy as described above for all students </t>
        </is>
      </c>
      <c r="C339">
        <f>IFERROR(IF(VLOOKUP($A339,'CDS-C'!$A:$L,3,FALSE)="","",(VLOOKUP($A339,'CDS-C'!$A:$L,3,FALSE))),"")</f>
        <v/>
      </c>
      <c r="D339" t="inlineStr">
        <is>
          <t>First-Time, First-Year Admission</t>
        </is>
      </c>
      <c r="E339" t="inlineStr">
        <is>
          <t>Basis for Selection</t>
        </is>
      </c>
      <c r="F339" t="inlineStr">
        <is>
          <t>High School Completion</t>
        </is>
      </c>
      <c r="G339" t="inlineStr">
        <is>
          <t>Undergraduates</t>
        </is>
      </c>
      <c r="H339" t="inlineStr">
        <is>
          <t>First-time, first-year</t>
        </is>
      </c>
      <c r="I339" t="inlineStr">
        <is>
          <t>All</t>
        </is>
      </c>
      <c r="J339" t="inlineStr">
        <is>
          <t>All</t>
        </is>
      </c>
      <c r="K339" t="inlineStr">
        <is>
          <t>All</t>
        </is>
      </c>
      <c r="L339" t="inlineStr">
        <is>
          <t>x</t>
        </is>
      </c>
    </row>
    <row r="340">
      <c r="A340" t="inlineStr">
        <is>
          <t>C602</t>
        </is>
      </c>
      <c r="B340" t="inlineStr">
        <is>
          <t>selective admission for out-of-state students</t>
        </is>
      </c>
      <c r="C340">
        <f>IFERROR(IF(VLOOKUP($A340,'CDS-C'!$A:$L,3,FALSE)="","",(VLOOKUP($A340,'CDS-C'!$A:$L,3,FALSE))),"")</f>
        <v/>
      </c>
      <c r="D340" t="inlineStr">
        <is>
          <t>First-Time, First-Year Admission</t>
        </is>
      </c>
      <c r="E340" t="inlineStr">
        <is>
          <t>Basis for Selection</t>
        </is>
      </c>
      <c r="F340" t="inlineStr">
        <is>
          <t>High School Completion</t>
        </is>
      </c>
      <c r="G340" t="inlineStr">
        <is>
          <t>Undergraduates</t>
        </is>
      </c>
      <c r="H340" t="inlineStr">
        <is>
          <t>First-time, first-year</t>
        </is>
      </c>
      <c r="I340" t="inlineStr">
        <is>
          <t>All</t>
        </is>
      </c>
      <c r="J340" t="inlineStr">
        <is>
          <t>All</t>
        </is>
      </c>
      <c r="K340" t="inlineStr">
        <is>
          <t>All</t>
        </is>
      </c>
      <c r="L340" t="inlineStr">
        <is>
          <t>x</t>
        </is>
      </c>
    </row>
    <row r="341">
      <c r="A341" t="inlineStr">
        <is>
          <t>C603</t>
        </is>
      </c>
      <c r="B341" t="inlineStr">
        <is>
          <t>selective admission to some programs</t>
        </is>
      </c>
      <c r="C341">
        <f>IFERROR(IF(VLOOKUP($A341,'CDS-C'!$A:$L,3,FALSE)="","",(VLOOKUP($A341,'CDS-C'!$A:$L,3,FALSE))),"")</f>
        <v/>
      </c>
      <c r="D341" t="inlineStr">
        <is>
          <t>First-Time, First-Year Admission</t>
        </is>
      </c>
      <c r="E341" t="inlineStr">
        <is>
          <t>Basis for Selection</t>
        </is>
      </c>
      <c r="F341" t="inlineStr">
        <is>
          <t>High School Completion</t>
        </is>
      </c>
      <c r="G341" t="inlineStr">
        <is>
          <t>Undergraduates</t>
        </is>
      </c>
      <c r="H341" t="inlineStr">
        <is>
          <t>First-time, first-year</t>
        </is>
      </c>
      <c r="I341" t="inlineStr">
        <is>
          <t>All</t>
        </is>
      </c>
      <c r="J341" t="inlineStr">
        <is>
          <t>All</t>
        </is>
      </c>
      <c r="K341" t="inlineStr">
        <is>
          <t>All</t>
        </is>
      </c>
      <c r="L341" t="inlineStr">
        <is>
          <t>x</t>
        </is>
      </c>
    </row>
    <row r="342">
      <c r="A342" t="inlineStr">
        <is>
          <t>C604</t>
        </is>
      </c>
      <c r="B342" t="inlineStr">
        <is>
          <t>other (explain):</t>
        </is>
      </c>
      <c r="C342">
        <f>IFERROR(IF(VLOOKUP($A342,'CDS-C'!$A:$L,3,FALSE)="","",(VLOOKUP($A342,'CDS-C'!$A:$L,3,FALSE))),"")</f>
        <v/>
      </c>
      <c r="D342" t="inlineStr">
        <is>
          <t>First-Time, First-Year Admission</t>
        </is>
      </c>
      <c r="E342" t="inlineStr">
        <is>
          <t>Basis for Selection</t>
        </is>
      </c>
      <c r="F342" t="inlineStr">
        <is>
          <t>High School Completion</t>
        </is>
      </c>
      <c r="G342" t="inlineStr">
        <is>
          <t>Undergraduates</t>
        </is>
      </c>
      <c r="H342" t="inlineStr">
        <is>
          <t>First-time, first-year</t>
        </is>
      </c>
      <c r="I342" t="inlineStr">
        <is>
          <t>All</t>
        </is>
      </c>
      <c r="J342" t="inlineStr">
        <is>
          <t>All</t>
        </is>
      </c>
      <c r="K342" t="inlineStr">
        <is>
          <t>All</t>
        </is>
      </c>
      <c r="L342" t="inlineStr">
        <is>
          <t>x</t>
        </is>
      </c>
    </row>
    <row r="343">
      <c r="A343" t="inlineStr">
        <is>
          <t>C701</t>
        </is>
      </c>
      <c r="B343" t="inlineStr">
        <is>
          <t>Rigor of secondary school record</t>
        </is>
      </c>
      <c r="C343">
        <f>IFERROR(IF(VLOOKUP($A343,'CDS-C'!$A:$L,3,FALSE)="","",(VLOOKUP($A343,'CDS-C'!$A:$L,3,FALSE))),"")</f>
        <v/>
      </c>
      <c r="D343" t="inlineStr">
        <is>
          <t>First-Time, First-Year Admission</t>
        </is>
      </c>
      <c r="E343" t="inlineStr">
        <is>
          <t>Basis for Selection</t>
        </is>
      </c>
      <c r="F343" t="inlineStr">
        <is>
          <t>Academic Factors</t>
        </is>
      </c>
      <c r="G343" t="inlineStr">
        <is>
          <t>Undergraduates</t>
        </is>
      </c>
      <c r="H343" t="inlineStr">
        <is>
          <t>First-time, first-year</t>
        </is>
      </c>
      <c r="I343" t="inlineStr">
        <is>
          <t>All</t>
        </is>
      </c>
      <c r="J343" t="inlineStr">
        <is>
          <t>All</t>
        </is>
      </c>
      <c r="K343" t="inlineStr">
        <is>
          <t>All</t>
        </is>
      </c>
      <c r="L343" t="inlineStr">
        <is>
          <t>Text</t>
        </is>
      </c>
    </row>
    <row r="344">
      <c r="A344" t="inlineStr">
        <is>
          <t>C702</t>
        </is>
      </c>
      <c r="B344" t="inlineStr">
        <is>
          <t>Class rank</t>
        </is>
      </c>
      <c r="C344">
        <f>IFERROR(IF(VLOOKUP($A344,'CDS-C'!$A:$L,3,FALSE)="","",(VLOOKUP($A344,'CDS-C'!$A:$L,3,FALSE))),"")</f>
        <v/>
      </c>
      <c r="D344" t="inlineStr">
        <is>
          <t>First-Time, First-Year Admission</t>
        </is>
      </c>
      <c r="E344" t="inlineStr">
        <is>
          <t>Basis for Selection</t>
        </is>
      </c>
      <c r="F344" t="inlineStr">
        <is>
          <t>Academic Factors</t>
        </is>
      </c>
      <c r="G344" t="inlineStr">
        <is>
          <t>Undergraduates</t>
        </is>
      </c>
      <c r="H344" t="inlineStr">
        <is>
          <t>First-time, first-year</t>
        </is>
      </c>
      <c r="I344" t="inlineStr">
        <is>
          <t>All</t>
        </is>
      </c>
      <c r="J344" t="inlineStr">
        <is>
          <t>All</t>
        </is>
      </c>
      <c r="K344" t="inlineStr">
        <is>
          <t>All</t>
        </is>
      </c>
      <c r="L344" t="inlineStr">
        <is>
          <t>Text</t>
        </is>
      </c>
    </row>
    <row r="345">
      <c r="A345" t="inlineStr">
        <is>
          <t>C703</t>
        </is>
      </c>
      <c r="B345" t="inlineStr">
        <is>
          <t>Academic GPA</t>
        </is>
      </c>
      <c r="C345">
        <f>IFERROR(IF(VLOOKUP($A345,'CDS-C'!$A:$L,3,FALSE)="","",(VLOOKUP($A345,'CDS-C'!$A:$L,3,FALSE))),"")</f>
        <v/>
      </c>
      <c r="D345" t="inlineStr">
        <is>
          <t>First-Time, First-Year Admission</t>
        </is>
      </c>
      <c r="E345" t="inlineStr">
        <is>
          <t>Basis for Selection</t>
        </is>
      </c>
      <c r="F345" t="inlineStr">
        <is>
          <t>Academic Factors</t>
        </is>
      </c>
      <c r="G345" t="inlineStr">
        <is>
          <t>Undergraduates</t>
        </is>
      </c>
      <c r="H345" t="inlineStr">
        <is>
          <t>First-time, first-year</t>
        </is>
      </c>
      <c r="I345" t="inlineStr">
        <is>
          <t>All</t>
        </is>
      </c>
      <c r="J345" t="inlineStr">
        <is>
          <t>All</t>
        </is>
      </c>
      <c r="K345" t="inlineStr">
        <is>
          <t>All</t>
        </is>
      </c>
      <c r="L345" t="inlineStr">
        <is>
          <t>Text</t>
        </is>
      </c>
    </row>
    <row r="346">
      <c r="A346" t="inlineStr">
        <is>
          <t>C704</t>
        </is>
      </c>
      <c r="B346" t="inlineStr">
        <is>
          <t>Standardized test scores</t>
        </is>
      </c>
      <c r="C346">
        <f>IFERROR(IF(VLOOKUP($A346,'CDS-C'!$A:$L,3,FALSE)="","",(VLOOKUP($A346,'CDS-C'!$A:$L,3,FALSE))),"")</f>
        <v/>
      </c>
      <c r="D346" t="inlineStr">
        <is>
          <t>First-Time, First-Year Admission</t>
        </is>
      </c>
      <c r="E346" t="inlineStr">
        <is>
          <t>Basis for Selection</t>
        </is>
      </c>
      <c r="F346" t="inlineStr">
        <is>
          <t>Academic Factors</t>
        </is>
      </c>
      <c r="G346" t="inlineStr">
        <is>
          <t>Undergraduates</t>
        </is>
      </c>
      <c r="H346" t="inlineStr">
        <is>
          <t>First-time, first-year</t>
        </is>
      </c>
      <c r="I346" t="inlineStr">
        <is>
          <t>All</t>
        </is>
      </c>
      <c r="J346" t="inlineStr">
        <is>
          <t>All</t>
        </is>
      </c>
      <c r="K346" t="inlineStr">
        <is>
          <t>All</t>
        </is>
      </c>
      <c r="L346" t="inlineStr">
        <is>
          <t>Text</t>
        </is>
      </c>
    </row>
    <row r="347">
      <c r="A347" t="inlineStr">
        <is>
          <t>C705</t>
        </is>
      </c>
      <c r="B347" t="inlineStr">
        <is>
          <t>Application Essay</t>
        </is>
      </c>
      <c r="C347">
        <f>IFERROR(IF(VLOOKUP($A347,'CDS-C'!$A:$L,3,FALSE)="","",(VLOOKUP($A347,'CDS-C'!$A:$L,3,FALSE))),"")</f>
        <v/>
      </c>
      <c r="D347" t="inlineStr">
        <is>
          <t>First-Time, First-Year Admission</t>
        </is>
      </c>
      <c r="E347" t="inlineStr">
        <is>
          <t>Basis for Selection</t>
        </is>
      </c>
      <c r="F347" t="inlineStr">
        <is>
          <t>Academic Factors</t>
        </is>
      </c>
      <c r="G347" t="inlineStr">
        <is>
          <t>Undergraduates</t>
        </is>
      </c>
      <c r="H347" t="inlineStr">
        <is>
          <t>First-time, first-year</t>
        </is>
      </c>
      <c r="I347" t="inlineStr">
        <is>
          <t>All</t>
        </is>
      </c>
      <c r="J347" t="inlineStr">
        <is>
          <t>All</t>
        </is>
      </c>
      <c r="K347" t="inlineStr">
        <is>
          <t>All</t>
        </is>
      </c>
      <c r="L347" t="inlineStr">
        <is>
          <t>Text</t>
        </is>
      </c>
    </row>
    <row r="348">
      <c r="A348" t="inlineStr">
        <is>
          <t>C706</t>
        </is>
      </c>
      <c r="B348" t="inlineStr">
        <is>
          <t>Recommendation(s)</t>
        </is>
      </c>
      <c r="C348">
        <f>IFERROR(IF(VLOOKUP($A348,'CDS-C'!$A:$L,3,FALSE)="","",(VLOOKUP($A348,'CDS-C'!$A:$L,3,FALSE))),"")</f>
        <v/>
      </c>
      <c r="D348" t="inlineStr">
        <is>
          <t>First-Time, First-Year Admission</t>
        </is>
      </c>
      <c r="E348" t="inlineStr">
        <is>
          <t>Basis for Selection</t>
        </is>
      </c>
      <c r="F348" t="inlineStr">
        <is>
          <t>Academic Factors</t>
        </is>
      </c>
      <c r="G348" t="inlineStr">
        <is>
          <t>Undergraduates</t>
        </is>
      </c>
      <c r="H348" t="inlineStr">
        <is>
          <t>First-time, first-year</t>
        </is>
      </c>
      <c r="I348" t="inlineStr">
        <is>
          <t>All</t>
        </is>
      </c>
      <c r="J348" t="inlineStr">
        <is>
          <t>All</t>
        </is>
      </c>
      <c r="K348" t="inlineStr">
        <is>
          <t>All</t>
        </is>
      </c>
      <c r="L348" t="inlineStr">
        <is>
          <t>Text</t>
        </is>
      </c>
    </row>
    <row r="349">
      <c r="A349" t="inlineStr">
        <is>
          <t>C707</t>
        </is>
      </c>
      <c r="B349" t="inlineStr">
        <is>
          <t>Interview</t>
        </is>
      </c>
      <c r="C349">
        <f>IFERROR(IF(VLOOKUP($A349,'CDS-C'!$A:$L,3,FALSE)="","",(VLOOKUP($A349,'CDS-C'!$A:$L,3,FALSE))),"")</f>
        <v/>
      </c>
      <c r="D349" t="inlineStr">
        <is>
          <t>First-Time, First-Year Admission</t>
        </is>
      </c>
      <c r="E349" t="inlineStr">
        <is>
          <t>Basis for Selection</t>
        </is>
      </c>
      <c r="F349" t="inlineStr">
        <is>
          <t>Nonacademic Factors</t>
        </is>
      </c>
      <c r="G349" t="inlineStr">
        <is>
          <t>Undergraduates</t>
        </is>
      </c>
      <c r="H349" t="inlineStr">
        <is>
          <t>First-time, first-year</t>
        </is>
      </c>
      <c r="I349" t="inlineStr">
        <is>
          <t>All</t>
        </is>
      </c>
      <c r="J349" t="inlineStr">
        <is>
          <t>All</t>
        </is>
      </c>
      <c r="K349" t="inlineStr">
        <is>
          <t>All</t>
        </is>
      </c>
      <c r="L349" t="inlineStr">
        <is>
          <t>Text</t>
        </is>
      </c>
    </row>
    <row r="350">
      <c r="A350" t="inlineStr">
        <is>
          <t>C708</t>
        </is>
      </c>
      <c r="B350" t="inlineStr">
        <is>
          <t>Extracurricular activities</t>
        </is>
      </c>
      <c r="C350">
        <f>IFERROR(IF(VLOOKUP($A350,'CDS-C'!$A:$L,3,FALSE)="","",(VLOOKUP($A350,'CDS-C'!$A:$L,3,FALSE))),"")</f>
        <v/>
      </c>
      <c r="D350" t="inlineStr">
        <is>
          <t>First-Time, First-Year Admission</t>
        </is>
      </c>
      <c r="E350" t="inlineStr">
        <is>
          <t>Basis for Selection</t>
        </is>
      </c>
      <c r="F350" t="inlineStr">
        <is>
          <t>Nonacademic Factors</t>
        </is>
      </c>
      <c r="G350" t="inlineStr">
        <is>
          <t>Undergraduates</t>
        </is>
      </c>
      <c r="H350" t="inlineStr">
        <is>
          <t>First-time, first-year</t>
        </is>
      </c>
      <c r="I350" t="inlineStr">
        <is>
          <t>All</t>
        </is>
      </c>
      <c r="J350" t="inlineStr">
        <is>
          <t>All</t>
        </is>
      </c>
      <c r="K350" t="inlineStr">
        <is>
          <t>All</t>
        </is>
      </c>
      <c r="L350" t="inlineStr">
        <is>
          <t>Text</t>
        </is>
      </c>
    </row>
    <row r="351">
      <c r="A351" t="inlineStr">
        <is>
          <t>C709</t>
        </is>
      </c>
      <c r="B351" t="inlineStr">
        <is>
          <t>Talent/ability</t>
        </is>
      </c>
      <c r="C351">
        <f>IFERROR(IF(VLOOKUP($A351,'CDS-C'!$A:$L,3,FALSE)="","",(VLOOKUP($A351,'CDS-C'!$A:$L,3,FALSE))),"")</f>
        <v/>
      </c>
      <c r="D351" t="inlineStr">
        <is>
          <t>First-Time, First-Year Admission</t>
        </is>
      </c>
      <c r="E351" t="inlineStr">
        <is>
          <t>Basis for Selection</t>
        </is>
      </c>
      <c r="F351" t="inlineStr">
        <is>
          <t>Nonacademic Factors</t>
        </is>
      </c>
      <c r="G351" t="inlineStr">
        <is>
          <t>Undergraduates</t>
        </is>
      </c>
      <c r="H351" t="inlineStr">
        <is>
          <t>First-time, first-year</t>
        </is>
      </c>
      <c r="I351" t="inlineStr">
        <is>
          <t>All</t>
        </is>
      </c>
      <c r="J351" t="inlineStr">
        <is>
          <t>All</t>
        </is>
      </c>
      <c r="K351" t="inlineStr">
        <is>
          <t>All</t>
        </is>
      </c>
      <c r="L351" t="inlineStr">
        <is>
          <t>Text</t>
        </is>
      </c>
    </row>
    <row r="352">
      <c r="A352" t="inlineStr">
        <is>
          <t>C710</t>
        </is>
      </c>
      <c r="B352" t="inlineStr">
        <is>
          <t>Character/personal qualities</t>
        </is>
      </c>
      <c r="C352">
        <f>IFERROR(IF(VLOOKUP($A352,'CDS-C'!$A:$L,3,FALSE)="","",(VLOOKUP($A352,'CDS-C'!$A:$L,3,FALSE))),"")</f>
        <v/>
      </c>
      <c r="D352" t="inlineStr">
        <is>
          <t>First-Time, First-Year Admission</t>
        </is>
      </c>
      <c r="E352" t="inlineStr">
        <is>
          <t>Basis for Selection</t>
        </is>
      </c>
      <c r="F352" t="inlineStr">
        <is>
          <t>Nonacademic Factors</t>
        </is>
      </c>
      <c r="G352" t="inlineStr">
        <is>
          <t>Undergraduates</t>
        </is>
      </c>
      <c r="H352" t="inlineStr">
        <is>
          <t>First-time, first-year</t>
        </is>
      </c>
      <c r="I352" t="inlineStr">
        <is>
          <t>All</t>
        </is>
      </c>
      <c r="J352" t="inlineStr">
        <is>
          <t>All</t>
        </is>
      </c>
      <c r="K352" t="inlineStr">
        <is>
          <t>All</t>
        </is>
      </c>
      <c r="L352" t="inlineStr">
        <is>
          <t>Text</t>
        </is>
      </c>
    </row>
    <row r="353">
      <c r="A353" t="inlineStr">
        <is>
          <t>C711</t>
        </is>
      </c>
      <c r="B353" t="inlineStr">
        <is>
          <t xml:space="preserve">First generation </t>
        </is>
      </c>
      <c r="C353">
        <f>IFERROR(IF(VLOOKUP($A353,'CDS-C'!$A:$L,3,FALSE)="","",(VLOOKUP($A353,'CDS-C'!$A:$L,3,FALSE))),"")</f>
        <v/>
      </c>
      <c r="D353" t="inlineStr">
        <is>
          <t>First-Time, First-Year Admission</t>
        </is>
      </c>
      <c r="E353" t="inlineStr">
        <is>
          <t>Basis for Selection</t>
        </is>
      </c>
      <c r="F353" t="inlineStr">
        <is>
          <t>Nonacademic Factors</t>
        </is>
      </c>
      <c r="G353" t="inlineStr">
        <is>
          <t>Undergraduates</t>
        </is>
      </c>
      <c r="H353" t="inlineStr">
        <is>
          <t>First-time, first-year</t>
        </is>
      </c>
      <c r="I353" t="inlineStr">
        <is>
          <t>All</t>
        </is>
      </c>
      <c r="J353" t="inlineStr">
        <is>
          <t>All</t>
        </is>
      </c>
      <c r="K353" t="inlineStr">
        <is>
          <t>All</t>
        </is>
      </c>
      <c r="L353" t="inlineStr">
        <is>
          <t>Text</t>
        </is>
      </c>
    </row>
    <row r="354">
      <c r="A354" t="inlineStr">
        <is>
          <t>C712</t>
        </is>
      </c>
      <c r="B354" t="inlineStr">
        <is>
          <t>Alumni/ae relation</t>
        </is>
      </c>
      <c r="C354">
        <f>IFERROR(IF(VLOOKUP($A354,'CDS-C'!$A:$L,3,FALSE)="","",(VLOOKUP($A354,'CDS-C'!$A:$L,3,FALSE))),"")</f>
        <v/>
      </c>
      <c r="D354" t="inlineStr">
        <is>
          <t>First-Time, First-Year Admission</t>
        </is>
      </c>
      <c r="E354" t="inlineStr">
        <is>
          <t>Basis for Selection</t>
        </is>
      </c>
      <c r="F354" t="inlineStr">
        <is>
          <t>Nonacademic Factors</t>
        </is>
      </c>
      <c r="G354" t="inlineStr">
        <is>
          <t>Undergraduates</t>
        </is>
      </c>
      <c r="H354" t="inlineStr">
        <is>
          <t>First-time, first-year</t>
        </is>
      </c>
      <c r="I354" t="inlineStr">
        <is>
          <t>All</t>
        </is>
      </c>
      <c r="J354" t="inlineStr">
        <is>
          <t>All</t>
        </is>
      </c>
      <c r="K354" t="inlineStr">
        <is>
          <t>All</t>
        </is>
      </c>
      <c r="L354" t="inlineStr">
        <is>
          <t>Text</t>
        </is>
      </c>
    </row>
    <row r="355">
      <c r="A355" t="inlineStr">
        <is>
          <t>C713</t>
        </is>
      </c>
      <c r="B355" t="inlineStr">
        <is>
          <t>Geographical residence</t>
        </is>
      </c>
      <c r="C355">
        <f>IFERROR(IF(VLOOKUP($A355,'CDS-C'!$A:$L,3,FALSE)="","",(VLOOKUP($A355,'CDS-C'!$A:$L,3,FALSE))),"")</f>
        <v/>
      </c>
      <c r="D355" t="inlineStr">
        <is>
          <t>First-Time, First-Year Admission</t>
        </is>
      </c>
      <c r="E355" t="inlineStr">
        <is>
          <t>Basis for Selection</t>
        </is>
      </c>
      <c r="F355" t="inlineStr">
        <is>
          <t>Nonacademic Factors</t>
        </is>
      </c>
      <c r="G355" t="inlineStr">
        <is>
          <t>Undergraduates</t>
        </is>
      </c>
      <c r="H355" t="inlineStr">
        <is>
          <t>First-time, first-year</t>
        </is>
      </c>
      <c r="I355" t="inlineStr">
        <is>
          <t>All</t>
        </is>
      </c>
      <c r="J355" t="inlineStr">
        <is>
          <t>All</t>
        </is>
      </c>
      <c r="K355" t="inlineStr">
        <is>
          <t>All</t>
        </is>
      </c>
      <c r="L355" t="inlineStr">
        <is>
          <t>Text</t>
        </is>
      </c>
    </row>
    <row r="356">
      <c r="A356" t="inlineStr">
        <is>
          <t>C714</t>
        </is>
      </c>
      <c r="B356" t="inlineStr">
        <is>
          <t>State residency</t>
        </is>
      </c>
      <c r="C356">
        <f>IFERROR(IF(VLOOKUP($A356,'CDS-C'!$A:$L,3,FALSE)="","",(VLOOKUP($A356,'CDS-C'!$A:$L,3,FALSE))),"")</f>
        <v/>
      </c>
      <c r="D356" t="inlineStr">
        <is>
          <t>First-Time, First-Year Admission</t>
        </is>
      </c>
      <c r="E356" t="inlineStr">
        <is>
          <t>Basis for Selection</t>
        </is>
      </c>
      <c r="F356" t="inlineStr">
        <is>
          <t>Nonacademic Factors</t>
        </is>
      </c>
      <c r="G356" t="inlineStr">
        <is>
          <t>Undergraduates</t>
        </is>
      </c>
      <c r="H356" t="inlineStr">
        <is>
          <t>First-time, first-year</t>
        </is>
      </c>
      <c r="I356" t="inlineStr">
        <is>
          <t>All</t>
        </is>
      </c>
      <c r="J356" t="inlineStr">
        <is>
          <t>All</t>
        </is>
      </c>
      <c r="K356" t="inlineStr">
        <is>
          <t>All</t>
        </is>
      </c>
      <c r="L356" t="inlineStr">
        <is>
          <t>Text</t>
        </is>
      </c>
    </row>
    <row r="357">
      <c r="A357" t="inlineStr">
        <is>
          <t>C715</t>
        </is>
      </c>
      <c r="B357" t="inlineStr">
        <is>
          <t>Religious affiliation/commitment</t>
        </is>
      </c>
      <c r="C357">
        <f>IFERROR(IF(VLOOKUP($A357,'CDS-C'!$A:$L,3,FALSE)="","",(VLOOKUP($A357,'CDS-C'!$A:$L,3,FALSE))),"")</f>
        <v/>
      </c>
      <c r="D357" t="inlineStr">
        <is>
          <t>First-Time, First-Year Admission</t>
        </is>
      </c>
      <c r="E357" t="inlineStr">
        <is>
          <t>Basis for Selection</t>
        </is>
      </c>
      <c r="F357" t="inlineStr">
        <is>
          <t>Nonacademic Factors</t>
        </is>
      </c>
      <c r="G357" t="inlineStr">
        <is>
          <t>Undergraduates</t>
        </is>
      </c>
      <c r="H357" t="inlineStr">
        <is>
          <t>First-time, first-year</t>
        </is>
      </c>
      <c r="I357" t="inlineStr">
        <is>
          <t>All</t>
        </is>
      </c>
      <c r="J357" t="inlineStr">
        <is>
          <t>All</t>
        </is>
      </c>
      <c r="K357" t="inlineStr">
        <is>
          <t>All</t>
        </is>
      </c>
      <c r="L357" t="inlineStr">
        <is>
          <t>Text</t>
        </is>
      </c>
    </row>
    <row r="358">
      <c r="A358" t="inlineStr">
        <is>
          <t>C716</t>
        </is>
      </c>
      <c r="B358" t="inlineStr">
        <is>
          <t>Volunteer work</t>
        </is>
      </c>
      <c r="C358">
        <f>IFERROR(IF(VLOOKUP($A358,'CDS-C'!$A:$L,3,FALSE)="","",(VLOOKUP($A358,'CDS-C'!$A:$L,3,FALSE))),"")</f>
        <v/>
      </c>
      <c r="D358" t="inlineStr">
        <is>
          <t>First-Time, First-Year Admission</t>
        </is>
      </c>
      <c r="E358" t="inlineStr">
        <is>
          <t>Basis for Selection</t>
        </is>
      </c>
      <c r="F358" t="inlineStr">
        <is>
          <t>Nonacademic Factors</t>
        </is>
      </c>
      <c r="G358" t="inlineStr">
        <is>
          <t>Undergraduates</t>
        </is>
      </c>
      <c r="H358" t="inlineStr">
        <is>
          <t>First-time, first-year</t>
        </is>
      </c>
      <c r="I358" t="inlineStr">
        <is>
          <t>All</t>
        </is>
      </c>
      <c r="J358" t="inlineStr">
        <is>
          <t>All</t>
        </is>
      </c>
      <c r="K358" t="inlineStr">
        <is>
          <t>All</t>
        </is>
      </c>
      <c r="L358" t="inlineStr">
        <is>
          <t>Text</t>
        </is>
      </c>
    </row>
    <row r="359">
      <c r="A359" t="inlineStr">
        <is>
          <t>C717</t>
        </is>
      </c>
      <c r="B359" t="inlineStr">
        <is>
          <t>Work experience</t>
        </is>
      </c>
      <c r="C359">
        <f>IFERROR(IF(VLOOKUP($A359,'CDS-C'!$A:$L,3,FALSE)="","",(VLOOKUP($A359,'CDS-C'!$A:$L,3,FALSE))),"")</f>
        <v/>
      </c>
      <c r="D359" t="inlineStr">
        <is>
          <t>First-Time, First-Year Admission</t>
        </is>
      </c>
      <c r="E359" t="inlineStr">
        <is>
          <t>Basis for Selection</t>
        </is>
      </c>
      <c r="F359" t="inlineStr">
        <is>
          <t>Nonacademic Factors</t>
        </is>
      </c>
      <c r="G359" t="inlineStr">
        <is>
          <t>Undergraduates</t>
        </is>
      </c>
      <c r="H359" t="inlineStr">
        <is>
          <t>First-time, first-year</t>
        </is>
      </c>
      <c r="I359" t="inlineStr">
        <is>
          <t>All</t>
        </is>
      </c>
      <c r="J359" t="inlineStr">
        <is>
          <t>All</t>
        </is>
      </c>
      <c r="K359" t="inlineStr">
        <is>
          <t>All</t>
        </is>
      </c>
      <c r="L359" t="inlineStr">
        <is>
          <t>Text</t>
        </is>
      </c>
    </row>
    <row r="360">
      <c r="A360" t="inlineStr">
        <is>
          <t>C718</t>
        </is>
      </c>
      <c r="B360" t="inlineStr">
        <is>
          <t>Level of applicant’s interest</t>
        </is>
      </c>
      <c r="C360">
        <f>IFERROR(IF(VLOOKUP($A360,'CDS-C'!$A:$L,3,FALSE)="","",(VLOOKUP($A360,'CDS-C'!$A:$L,3,FALSE))),"")</f>
        <v/>
      </c>
      <c r="D360" t="inlineStr">
        <is>
          <t>First-Time, First-Year Admission</t>
        </is>
      </c>
      <c r="E360" t="inlineStr">
        <is>
          <t>Basis for Selection</t>
        </is>
      </c>
      <c r="F360" t="inlineStr">
        <is>
          <t>Nonacademic Factors</t>
        </is>
      </c>
      <c r="G360" t="inlineStr">
        <is>
          <t>Undergraduates</t>
        </is>
      </c>
      <c r="H360" t="inlineStr">
        <is>
          <t>First-time, first-year</t>
        </is>
      </c>
      <c r="I360" t="inlineStr">
        <is>
          <t>All</t>
        </is>
      </c>
      <c r="J360" t="inlineStr">
        <is>
          <t>All</t>
        </is>
      </c>
      <c r="K360" t="inlineStr">
        <is>
          <t>All</t>
        </is>
      </c>
      <c r="L360" t="inlineStr">
        <is>
          <t>Text</t>
        </is>
      </c>
    </row>
    <row r="361">
      <c r="A361" t="inlineStr">
        <is>
          <t>C801</t>
        </is>
      </c>
      <c r="B361" t="inlineStr">
        <is>
          <t xml:space="preserve">Does your institution make use of SAT or ACT scores in admission decisions for first-time, first-year, degree-seeking applicants?   </t>
        </is>
      </c>
      <c r="C361">
        <f>IFERROR(IF(VLOOKUP($A361,'CDS-C'!$A:$L,3,FALSE)="","",(VLOOKUP($A361,'CDS-C'!$A:$L,3,FALSE))),"")</f>
        <v/>
      </c>
      <c r="D361" t="inlineStr">
        <is>
          <t>First-Time, First-Year Admission</t>
        </is>
      </c>
      <c r="E361" t="inlineStr">
        <is>
          <t>Entrance Exams</t>
        </is>
      </c>
      <c r="F361" t="inlineStr">
        <is>
          <t>SAT and ACT Policies</t>
        </is>
      </c>
      <c r="G361" t="inlineStr">
        <is>
          <t>Undergraduates</t>
        </is>
      </c>
      <c r="H361" t="inlineStr">
        <is>
          <t>First-time, first-year</t>
        </is>
      </c>
      <c r="I361" t="inlineStr">
        <is>
          <t>All</t>
        </is>
      </c>
      <c r="J361" t="inlineStr">
        <is>
          <t>All</t>
        </is>
      </c>
      <c r="K361" t="inlineStr">
        <is>
          <t>All</t>
        </is>
      </c>
      <c r="L361" t="inlineStr">
        <is>
          <t>YN</t>
        </is>
      </c>
    </row>
    <row r="362">
      <c r="A362" t="inlineStr">
        <is>
          <t>C802</t>
        </is>
      </c>
      <c r="B362" t="inlineStr">
        <is>
          <t>SAT or ACT</t>
        </is>
      </c>
      <c r="C362">
        <f>IFERROR(IF(VLOOKUP($A362,'CDS-C'!$A:$L,3,FALSE)="","",(VLOOKUP($A362,'CDS-C'!$A:$L,3,FALSE))),"")</f>
        <v/>
      </c>
      <c r="D362" t="inlineStr">
        <is>
          <t>First-Time, First-Year Admission</t>
        </is>
      </c>
      <c r="E362" t="inlineStr">
        <is>
          <t>Entrance Exams</t>
        </is>
      </c>
      <c r="F362" t="inlineStr">
        <is>
          <t>SAT and ACT Policies</t>
        </is>
      </c>
      <c r="G362" t="inlineStr">
        <is>
          <t>Undergraduates</t>
        </is>
      </c>
      <c r="H362" t="inlineStr">
        <is>
          <t>First-time, first-year</t>
        </is>
      </c>
      <c r="I362" t="inlineStr">
        <is>
          <t>All</t>
        </is>
      </c>
      <c r="J362" t="inlineStr">
        <is>
          <t>All</t>
        </is>
      </c>
      <c r="K362" t="inlineStr">
        <is>
          <t>All</t>
        </is>
      </c>
      <c r="L362" t="inlineStr">
        <is>
          <t>Text</t>
        </is>
      </c>
    </row>
    <row r="363">
      <c r="A363" t="inlineStr">
        <is>
          <t>C803</t>
        </is>
      </c>
      <c r="B363" t="inlineStr">
        <is>
          <t>ACT Only</t>
        </is>
      </c>
      <c r="C363">
        <f>IFERROR(IF(VLOOKUP($A363,'CDS-C'!$A:$L,3,FALSE)="","",(VLOOKUP($A363,'CDS-C'!$A:$L,3,FALSE))),"")</f>
        <v/>
      </c>
      <c r="D363" t="inlineStr">
        <is>
          <t>First-Time, First-Year Admission</t>
        </is>
      </c>
      <c r="E363" t="inlineStr">
        <is>
          <t>Entrance Exams</t>
        </is>
      </c>
      <c r="F363" t="inlineStr">
        <is>
          <t>SAT and ACT Policies</t>
        </is>
      </c>
      <c r="G363" t="inlineStr">
        <is>
          <t>Undergraduates</t>
        </is>
      </c>
      <c r="H363" t="inlineStr">
        <is>
          <t>First-time, first-year</t>
        </is>
      </c>
      <c r="I363" t="inlineStr">
        <is>
          <t>All</t>
        </is>
      </c>
      <c r="J363" t="inlineStr">
        <is>
          <t>All</t>
        </is>
      </c>
      <c r="K363" t="inlineStr">
        <is>
          <t>All</t>
        </is>
      </c>
      <c r="L363" t="inlineStr">
        <is>
          <t>Text</t>
        </is>
      </c>
    </row>
    <row r="364">
      <c r="A364" t="inlineStr">
        <is>
          <t>C804</t>
        </is>
      </c>
      <c r="B364" t="inlineStr">
        <is>
          <t>SAT Only</t>
        </is>
      </c>
      <c r="C364">
        <f>IFERROR(IF(VLOOKUP($A364,'CDS-C'!$A:$L,3,FALSE)="","",(VLOOKUP($A364,'CDS-C'!$A:$L,3,FALSE))),"")</f>
        <v/>
      </c>
      <c r="D364" t="inlineStr">
        <is>
          <t>First-Time, First-Year Admission</t>
        </is>
      </c>
      <c r="E364" t="inlineStr">
        <is>
          <t>Entrance Exams</t>
        </is>
      </c>
      <c r="F364" t="inlineStr">
        <is>
          <t>SAT and ACT Policies</t>
        </is>
      </c>
      <c r="G364" t="inlineStr">
        <is>
          <t>Undergraduates</t>
        </is>
      </c>
      <c r="H364" t="inlineStr">
        <is>
          <t>First-time, first-year</t>
        </is>
      </c>
      <c r="I364" t="inlineStr">
        <is>
          <t>All</t>
        </is>
      </c>
      <c r="J364" t="inlineStr">
        <is>
          <t>All</t>
        </is>
      </c>
      <c r="K364" t="inlineStr">
        <is>
          <t>All</t>
        </is>
      </c>
      <c r="L364" t="inlineStr">
        <is>
          <t>Text</t>
        </is>
      </c>
    </row>
    <row r="365">
      <c r="A365" t="inlineStr">
        <is>
          <t>C8D</t>
        </is>
      </c>
      <c r="B365" t="inlineStr">
        <is>
          <t>In addition, does your institution use applicants' test scores for academic advising?</t>
        </is>
      </c>
      <c r="C365">
        <f>IFERROR(IF(VLOOKUP($A365,'CDS-C'!$A:$L,3,FALSE)="","",(VLOOKUP($A365,'CDS-C'!$A:$L,3,FALSE))),"")</f>
        <v/>
      </c>
      <c r="D365" t="inlineStr">
        <is>
          <t>First-Time, First-Year Admission</t>
        </is>
      </c>
      <c r="E365" t="inlineStr">
        <is>
          <t>Entrance Exams</t>
        </is>
      </c>
      <c r="F365" t="inlineStr">
        <is>
          <t>SAT and ACT Policies</t>
        </is>
      </c>
      <c r="G365" t="inlineStr">
        <is>
          <t>Undergraduates</t>
        </is>
      </c>
      <c r="H365" t="inlineStr">
        <is>
          <t>First-time, first-year</t>
        </is>
      </c>
      <c r="I365" t="inlineStr">
        <is>
          <t>All</t>
        </is>
      </c>
      <c r="J365" t="inlineStr">
        <is>
          <t>All</t>
        </is>
      </c>
      <c r="K365" t="inlineStr">
        <is>
          <t>All</t>
        </is>
      </c>
      <c r="L365" t="inlineStr">
        <is>
          <t>YN</t>
        </is>
      </c>
    </row>
    <row r="366">
      <c r="A366" t="inlineStr">
        <is>
          <t>C8E</t>
        </is>
      </c>
      <c r="B366" t="inlineStr">
        <is>
          <t>Latest date by which SAT or ACT scores must be received for fall-term admission</t>
        </is>
      </c>
      <c r="C366">
        <f>IFERROR(IF(VLOOKUP($A366,'CDS-C'!$A:$L,3,FALSE)="","",(VLOOKUP($A366,'CDS-C'!$A:$L,3,FALSE))),"")</f>
        <v/>
      </c>
      <c r="D366" t="inlineStr">
        <is>
          <t>First-Time, First-Year Admission</t>
        </is>
      </c>
      <c r="E366" t="inlineStr">
        <is>
          <t>Entrance Exams</t>
        </is>
      </c>
      <c r="F366" t="inlineStr">
        <is>
          <t>SAT and ACT Policies</t>
        </is>
      </c>
      <c r="G366" t="inlineStr">
        <is>
          <t>Undergraduates</t>
        </is>
      </c>
      <c r="H366" t="inlineStr">
        <is>
          <t>First-time, first-year</t>
        </is>
      </c>
      <c r="I366" t="inlineStr">
        <is>
          <t>All</t>
        </is>
      </c>
      <c r="J366" t="inlineStr">
        <is>
          <t>All</t>
        </is>
      </c>
      <c r="K366" t="inlineStr">
        <is>
          <t>All</t>
        </is>
      </c>
      <c r="L366" t="inlineStr">
        <is>
          <t>YN</t>
        </is>
      </c>
    </row>
    <row r="367">
      <c r="A367" t="inlineStr">
        <is>
          <t>C8F</t>
        </is>
      </c>
      <c r="B367"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C367">
        <f>IFERROR(IF(VLOOKUP($A367,'CDS-C'!$A:$L,3,FALSE)="","",(VLOOKUP($A367,'CDS-C'!$A:$L,3,FALSE))),"")</f>
        <v/>
      </c>
      <c r="D367" t="inlineStr">
        <is>
          <t>First-Time, First-Year Admission</t>
        </is>
      </c>
      <c r="E367" t="inlineStr">
        <is>
          <t>Entrance Exams</t>
        </is>
      </c>
      <c r="F367" t="inlineStr">
        <is>
          <t>SAT and ACT Policies</t>
        </is>
      </c>
      <c r="G367" t="inlineStr">
        <is>
          <t>Undergraduates</t>
        </is>
      </c>
      <c r="H367" t="inlineStr">
        <is>
          <t>First-time, first-year</t>
        </is>
      </c>
      <c r="I367" t="inlineStr">
        <is>
          <t>All</t>
        </is>
      </c>
      <c r="J367" t="inlineStr">
        <is>
          <t>All</t>
        </is>
      </c>
      <c r="K367" t="inlineStr">
        <is>
          <t>All</t>
        </is>
      </c>
      <c r="L367" t="inlineStr">
        <is>
          <t>YN</t>
        </is>
      </c>
    </row>
    <row r="368">
      <c r="A368" t="inlineStr">
        <is>
          <t>C8G</t>
        </is>
      </c>
      <c r="B368" t="inlineStr">
        <is>
          <t>Please indicate which tests your institution uses for placement (e.g., state tests):</t>
        </is>
      </c>
      <c r="C368">
        <f>IFERROR(IF(VLOOKUP($A368,'CDS-C'!$A:$L,3,FALSE)="","",(VLOOKUP($A368,'CDS-C'!$A:$L,3,FALSE))),"")</f>
        <v/>
      </c>
      <c r="D368" t="inlineStr">
        <is>
          <t>First-Time, First-Year Admission</t>
        </is>
      </c>
      <c r="E368" t="inlineStr">
        <is>
          <t>Entrance Exams</t>
        </is>
      </c>
      <c r="F368" t="inlineStr">
        <is>
          <t>SAT and ACT Policies</t>
        </is>
      </c>
      <c r="G368" t="inlineStr">
        <is>
          <t>Undergraduates</t>
        </is>
      </c>
      <c r="H368" t="inlineStr">
        <is>
          <t>First-time, first-year</t>
        </is>
      </c>
      <c r="I368" t="inlineStr">
        <is>
          <t>All</t>
        </is>
      </c>
      <c r="J368" t="inlineStr">
        <is>
          <t>All</t>
        </is>
      </c>
      <c r="K368" t="inlineStr">
        <is>
          <t>All</t>
        </is>
      </c>
      <c r="L368" t="inlineStr">
        <is>
          <t>x</t>
        </is>
      </c>
    </row>
    <row r="369">
      <c r="A369" t="inlineStr">
        <is>
          <t>C8G01</t>
        </is>
      </c>
      <c r="B369" t="inlineStr">
        <is>
          <t>SAT</t>
        </is>
      </c>
      <c r="C369">
        <f>IFERROR(IF(VLOOKUP($A369,'CDS-C'!$A:$L,3,FALSE)="","",(VLOOKUP($A369,'CDS-C'!$A:$L,3,FALSE))),"")</f>
        <v/>
      </c>
      <c r="D369" t="inlineStr">
        <is>
          <t>First-Time, First-Year Admission</t>
        </is>
      </c>
      <c r="E369" t="inlineStr">
        <is>
          <t>Entrance Exams</t>
        </is>
      </c>
      <c r="F369" t="inlineStr">
        <is>
          <t>SAT and ACT Policies</t>
        </is>
      </c>
      <c r="G369" t="inlineStr">
        <is>
          <t>Undergraduates</t>
        </is>
      </c>
      <c r="H369" t="inlineStr">
        <is>
          <t>First-time, first-year</t>
        </is>
      </c>
      <c r="I369" t="inlineStr">
        <is>
          <t>All</t>
        </is>
      </c>
      <c r="J369" t="inlineStr">
        <is>
          <t>All</t>
        </is>
      </c>
      <c r="K369" t="inlineStr">
        <is>
          <t>All</t>
        </is>
      </c>
      <c r="L369" t="inlineStr">
        <is>
          <t>x</t>
        </is>
      </c>
    </row>
    <row r="370">
      <c r="A370" t="inlineStr">
        <is>
          <t>C8G02</t>
        </is>
      </c>
      <c r="B370" t="inlineStr">
        <is>
          <t>ACT</t>
        </is>
      </c>
      <c r="C370">
        <f>IFERROR(IF(VLOOKUP($A370,'CDS-C'!$A:$L,3,FALSE)="","",(VLOOKUP($A370,'CDS-C'!$A:$L,3,FALSE))),"")</f>
        <v/>
      </c>
      <c r="D370" t="inlineStr">
        <is>
          <t>First-Time, First-Year Admission</t>
        </is>
      </c>
      <c r="E370" t="inlineStr">
        <is>
          <t>Entrance Exams</t>
        </is>
      </c>
      <c r="F370" t="inlineStr">
        <is>
          <t>SAT and ACT Policies</t>
        </is>
      </c>
      <c r="G370" t="inlineStr">
        <is>
          <t>Undergraduates</t>
        </is>
      </c>
      <c r="H370" t="inlineStr">
        <is>
          <t>First-time, first-year</t>
        </is>
      </c>
      <c r="I370" t="inlineStr">
        <is>
          <t>All</t>
        </is>
      </c>
      <c r="J370" t="inlineStr">
        <is>
          <t>All</t>
        </is>
      </c>
      <c r="K370" t="inlineStr">
        <is>
          <t>All</t>
        </is>
      </c>
      <c r="L370" t="inlineStr">
        <is>
          <t>x</t>
        </is>
      </c>
    </row>
    <row r="371">
      <c r="A371" t="inlineStr">
        <is>
          <t>C8G03</t>
        </is>
      </c>
      <c r="B371" t="inlineStr">
        <is>
          <t>AP</t>
        </is>
      </c>
      <c r="C371">
        <f>IFERROR(IF(VLOOKUP($A371,'CDS-C'!$A:$L,3,FALSE)="","",(VLOOKUP($A371,'CDS-C'!$A:$L,3,FALSE))),"")</f>
        <v/>
      </c>
      <c r="D371" t="inlineStr">
        <is>
          <t>First-Time, First-Year Admission</t>
        </is>
      </c>
      <c r="E371" t="inlineStr">
        <is>
          <t>Entrance Exams</t>
        </is>
      </c>
      <c r="F371" t="inlineStr">
        <is>
          <t>SAT and ACT Policies</t>
        </is>
      </c>
      <c r="G371" t="inlineStr">
        <is>
          <t>Undergraduates</t>
        </is>
      </c>
      <c r="H371" t="inlineStr">
        <is>
          <t>First-time, first-year</t>
        </is>
      </c>
      <c r="I371" t="inlineStr">
        <is>
          <t>All</t>
        </is>
      </c>
      <c r="J371" t="inlineStr">
        <is>
          <t>All</t>
        </is>
      </c>
      <c r="K371" t="inlineStr">
        <is>
          <t>All</t>
        </is>
      </c>
      <c r="L371" t="inlineStr">
        <is>
          <t>x</t>
        </is>
      </c>
    </row>
    <row r="372">
      <c r="A372" t="inlineStr">
        <is>
          <t>C8G04</t>
        </is>
      </c>
      <c r="B372" t="inlineStr">
        <is>
          <t>CLEP</t>
        </is>
      </c>
      <c r="C372">
        <f>IFERROR(IF(VLOOKUP($A372,'CDS-C'!$A:$L,3,FALSE)="","",(VLOOKUP($A372,'CDS-C'!$A:$L,3,FALSE))),"")</f>
        <v/>
      </c>
      <c r="D372" t="inlineStr">
        <is>
          <t>First-Time, First-Year Admission</t>
        </is>
      </c>
      <c r="E372" t="inlineStr">
        <is>
          <t>Entrance Exams</t>
        </is>
      </c>
      <c r="F372" t="inlineStr">
        <is>
          <t>SAT and ACT Policies</t>
        </is>
      </c>
      <c r="G372" t="inlineStr">
        <is>
          <t>Undergraduates</t>
        </is>
      </c>
      <c r="H372" t="inlineStr">
        <is>
          <t>First-time, first-year</t>
        </is>
      </c>
      <c r="I372" t="inlineStr">
        <is>
          <t>All</t>
        </is>
      </c>
      <c r="J372" t="inlineStr">
        <is>
          <t>All</t>
        </is>
      </c>
      <c r="K372" t="inlineStr">
        <is>
          <t>All</t>
        </is>
      </c>
      <c r="L372" t="inlineStr">
        <is>
          <t>x</t>
        </is>
      </c>
    </row>
    <row r="373">
      <c r="A373" t="inlineStr">
        <is>
          <t>C8G05</t>
        </is>
      </c>
      <c r="B373" t="inlineStr">
        <is>
          <t>Institutional Exam</t>
        </is>
      </c>
      <c r="C373">
        <f>IFERROR(IF(VLOOKUP($A373,'CDS-C'!$A:$L,3,FALSE)="","",(VLOOKUP($A373,'CDS-C'!$A:$L,3,FALSE))),"")</f>
        <v/>
      </c>
      <c r="D373" t="inlineStr">
        <is>
          <t>First-Time, First-Year Admission</t>
        </is>
      </c>
      <c r="E373" t="inlineStr">
        <is>
          <t>Entrance Exams</t>
        </is>
      </c>
      <c r="F373" t="inlineStr">
        <is>
          <t>SAT and ACT Policies</t>
        </is>
      </c>
      <c r="G373" t="inlineStr">
        <is>
          <t>Undergraduates</t>
        </is>
      </c>
      <c r="H373" t="inlineStr">
        <is>
          <t>First-time, first-year</t>
        </is>
      </c>
      <c r="I373" t="inlineStr">
        <is>
          <t>All</t>
        </is>
      </c>
      <c r="J373" t="inlineStr">
        <is>
          <t>All</t>
        </is>
      </c>
      <c r="K373" t="inlineStr">
        <is>
          <t>All</t>
        </is>
      </c>
      <c r="L373" t="inlineStr">
        <is>
          <t>x</t>
        </is>
      </c>
    </row>
    <row r="374">
      <c r="A374" t="inlineStr">
        <is>
          <t>C8G06</t>
        </is>
      </c>
      <c r="B374" t="inlineStr">
        <is>
          <t>State Exam (specify):</t>
        </is>
      </c>
      <c r="C374">
        <f>IFERROR(IF(VLOOKUP($A374,'CDS-C'!$A:$L,3,FALSE)="","",(VLOOKUP($A374,'CDS-C'!$A:$L,3,FALSE))),"")</f>
        <v/>
      </c>
      <c r="D374" t="inlineStr">
        <is>
          <t>First-Time, First-Year Admission</t>
        </is>
      </c>
      <c r="E374" t="inlineStr">
        <is>
          <t>Entrance Exams</t>
        </is>
      </c>
      <c r="F374" t="inlineStr">
        <is>
          <t>SAT and ACT Policies</t>
        </is>
      </c>
      <c r="G374" t="inlineStr">
        <is>
          <t>Undergraduates</t>
        </is>
      </c>
      <c r="H374" t="inlineStr">
        <is>
          <t>First-time, first-year</t>
        </is>
      </c>
      <c r="I374" t="inlineStr">
        <is>
          <t>All</t>
        </is>
      </c>
      <c r="J374" t="inlineStr">
        <is>
          <t>All</t>
        </is>
      </c>
      <c r="K374" t="inlineStr">
        <is>
          <t>All</t>
        </is>
      </c>
      <c r="L374" t="inlineStr">
        <is>
          <t>x</t>
        </is>
      </c>
    </row>
    <row r="375">
      <c r="A375" t="inlineStr">
        <is>
          <t>C901</t>
        </is>
      </c>
      <c r="B375" t="inlineStr">
        <is>
          <t>Submitting SAT Scores</t>
        </is>
      </c>
      <c r="C375">
        <f>IFERROR(IF(VLOOKUP($A375,'CDS-C'!$A:$L,3,FALSE)="","",(VLOOKUP($A375,'CDS-C'!$A:$L,3,FALSE))),"")</f>
        <v/>
      </c>
      <c r="D375" t="inlineStr">
        <is>
          <t>First-Time, First-Year Admission</t>
        </is>
      </c>
      <c r="E375" t="inlineStr">
        <is>
          <t>First-time, first-year Profile</t>
        </is>
      </c>
      <c r="F375" t="inlineStr">
        <is>
          <t>Test Scores</t>
        </is>
      </c>
      <c r="G375" t="inlineStr">
        <is>
          <t>Undergraduates</t>
        </is>
      </c>
      <c r="H375" t="inlineStr">
        <is>
          <t>First-time, first-year</t>
        </is>
      </c>
      <c r="I375" t="inlineStr">
        <is>
          <t>All</t>
        </is>
      </c>
      <c r="J375" t="inlineStr">
        <is>
          <t>All</t>
        </is>
      </c>
      <c r="K375" t="inlineStr">
        <is>
          <t>All</t>
        </is>
      </c>
      <c r="L375" t="inlineStr">
        <is>
          <t>Whole Number or Round to Nearest Tenths</t>
        </is>
      </c>
    </row>
    <row r="376">
      <c r="A376" t="inlineStr">
        <is>
          <t>C902</t>
        </is>
      </c>
      <c r="B376" t="inlineStr">
        <is>
          <t>Submitting ACT Scores</t>
        </is>
      </c>
      <c r="C376">
        <f>IFERROR(IF(VLOOKUP($A376,'CDS-C'!$A:$L,3,FALSE)="","",(VLOOKUP($A376,'CDS-C'!$A:$L,3,FALSE))),"")</f>
        <v/>
      </c>
      <c r="D376" t="inlineStr">
        <is>
          <t>First-Time, First-Year Admission</t>
        </is>
      </c>
      <c r="E376" t="inlineStr">
        <is>
          <t>First-time, first-year Profile</t>
        </is>
      </c>
      <c r="F376" t="inlineStr">
        <is>
          <t>Test Scores</t>
        </is>
      </c>
      <c r="G376" t="inlineStr">
        <is>
          <t>Undergraduates</t>
        </is>
      </c>
      <c r="H376" t="inlineStr">
        <is>
          <t>First-time, first-year</t>
        </is>
      </c>
      <c r="I376" t="inlineStr">
        <is>
          <t>All</t>
        </is>
      </c>
      <c r="J376" t="inlineStr">
        <is>
          <t>All</t>
        </is>
      </c>
      <c r="K376" t="inlineStr">
        <is>
          <t>All</t>
        </is>
      </c>
      <c r="L376" t="inlineStr">
        <is>
          <t>Whole Number or Round to Nearest Tenths</t>
        </is>
      </c>
    </row>
    <row r="377">
      <c r="A377" t="inlineStr">
        <is>
          <t>C903</t>
        </is>
      </c>
      <c r="B377" t="inlineStr">
        <is>
          <t>Submitting SAT Scores</t>
        </is>
      </c>
      <c r="C377">
        <f>IFERROR(IF(VLOOKUP($A377,'CDS-C'!$A:$L,3,FALSE)="","",(VLOOKUP($A377,'CDS-C'!$A:$L,3,FALSE))),"")</f>
        <v/>
      </c>
      <c r="D377" t="inlineStr">
        <is>
          <t>First-Time, First-Year Admission</t>
        </is>
      </c>
      <c r="E377" t="inlineStr">
        <is>
          <t>First-time, first-year Profile</t>
        </is>
      </c>
      <c r="F377" t="inlineStr">
        <is>
          <t>Test Scores</t>
        </is>
      </c>
      <c r="G377" t="inlineStr">
        <is>
          <t>Undergraduates</t>
        </is>
      </c>
      <c r="H377" t="inlineStr">
        <is>
          <t>First-time, first-year</t>
        </is>
      </c>
      <c r="I377" t="inlineStr">
        <is>
          <t>All</t>
        </is>
      </c>
      <c r="J377" t="inlineStr">
        <is>
          <t>All</t>
        </is>
      </c>
      <c r="K377" t="inlineStr">
        <is>
          <t>All</t>
        </is>
      </c>
      <c r="L377" t="inlineStr">
        <is>
          <t>Number</t>
        </is>
      </c>
    </row>
    <row r="378">
      <c r="A378" t="inlineStr">
        <is>
          <t>C904</t>
        </is>
      </c>
      <c r="B378" t="inlineStr">
        <is>
          <t>Submitting ACT Scores</t>
        </is>
      </c>
      <c r="C378">
        <f>IFERROR(IF(VLOOKUP($A378,'CDS-C'!$A:$L,3,FALSE)="","",(VLOOKUP($A378,'CDS-C'!$A:$L,3,FALSE))),"")</f>
        <v/>
      </c>
      <c r="D378" t="inlineStr">
        <is>
          <t>First-Time, First-Year Admission</t>
        </is>
      </c>
      <c r="E378" t="inlineStr">
        <is>
          <t>First-time, first-year Profile</t>
        </is>
      </c>
      <c r="F378" t="inlineStr">
        <is>
          <t>Test Scores</t>
        </is>
      </c>
      <c r="G378" t="inlineStr">
        <is>
          <t>Undergraduates</t>
        </is>
      </c>
      <c r="H378" t="inlineStr">
        <is>
          <t>First-time, first-year</t>
        </is>
      </c>
      <c r="I378" t="inlineStr">
        <is>
          <t>All</t>
        </is>
      </c>
      <c r="J378" t="inlineStr">
        <is>
          <t>All</t>
        </is>
      </c>
      <c r="K378" t="inlineStr">
        <is>
          <t>All</t>
        </is>
      </c>
      <c r="L378" t="inlineStr">
        <is>
          <t>Number</t>
        </is>
      </c>
    </row>
    <row r="379">
      <c r="A379" t="inlineStr">
        <is>
          <t>C905</t>
        </is>
      </c>
      <c r="B379" t="inlineStr">
        <is>
          <t>SAT Composite: 25th Percentile</t>
        </is>
      </c>
      <c r="C379">
        <f>IFERROR(IF(VLOOKUP($A379,'CDS-C'!$A:$L,3,FALSE)="","",(VLOOKUP($A379,'CDS-C'!$A:$L,3,FALSE))),"")</f>
        <v/>
      </c>
      <c r="D379" t="inlineStr">
        <is>
          <t>First-Time, First-Year Admission</t>
        </is>
      </c>
      <c r="E379" t="inlineStr">
        <is>
          <t>First-time, first-year Profile</t>
        </is>
      </c>
      <c r="F379" t="inlineStr">
        <is>
          <t>Test Scores</t>
        </is>
      </c>
      <c r="G379" t="inlineStr">
        <is>
          <t>Undergraduates</t>
        </is>
      </c>
      <c r="H379" t="inlineStr">
        <is>
          <t>First-time, first-year</t>
        </is>
      </c>
      <c r="I379" t="inlineStr">
        <is>
          <t>All</t>
        </is>
      </c>
      <c r="J379" t="inlineStr">
        <is>
          <t>All</t>
        </is>
      </c>
      <c r="K379" t="inlineStr">
        <is>
          <t>All</t>
        </is>
      </c>
      <c r="L379" t="inlineStr">
        <is>
          <t>Whole Number or Round to Nearest Tenths</t>
        </is>
      </c>
    </row>
    <row r="380">
      <c r="A380" t="inlineStr">
        <is>
          <t>C906</t>
        </is>
      </c>
      <c r="B380" t="inlineStr">
        <is>
          <t>SAT Composite: 50th Percentile</t>
        </is>
      </c>
      <c r="C380">
        <f>IFERROR(IF(VLOOKUP($A380,'CDS-C'!$A:$L,3,FALSE)="","",(VLOOKUP($A380,'CDS-C'!$A:$L,3,FALSE))),"")</f>
        <v/>
      </c>
      <c r="D380" t="inlineStr">
        <is>
          <t>First-Time, First-Year Admission</t>
        </is>
      </c>
      <c r="E380" t="inlineStr">
        <is>
          <t>First-time, first-year Profile</t>
        </is>
      </c>
      <c r="F380" t="inlineStr">
        <is>
          <t>Test Scores</t>
        </is>
      </c>
      <c r="G380" t="inlineStr">
        <is>
          <t>Undergraduates</t>
        </is>
      </c>
      <c r="H380" t="inlineStr">
        <is>
          <t>First-time, first-year</t>
        </is>
      </c>
      <c r="I380" t="inlineStr">
        <is>
          <t>All</t>
        </is>
      </c>
      <c r="J380" t="inlineStr">
        <is>
          <t>All</t>
        </is>
      </c>
      <c r="K380" t="inlineStr">
        <is>
          <t>All</t>
        </is>
      </c>
      <c r="L380" t="inlineStr">
        <is>
          <t>Whole Number or Round to Nearest Tenths</t>
        </is>
      </c>
    </row>
    <row r="381">
      <c r="A381" t="inlineStr">
        <is>
          <t>C907</t>
        </is>
      </c>
      <c r="B381" t="inlineStr">
        <is>
          <t>SAT Composite: 75th Percentile</t>
        </is>
      </c>
      <c r="C381">
        <f>IFERROR(IF(VLOOKUP($A381,'CDS-C'!$A:$L,3,FALSE)="","",(VLOOKUP($A381,'CDS-C'!$A:$L,3,FALSE))),"")</f>
        <v/>
      </c>
      <c r="D381" t="inlineStr">
        <is>
          <t>First-Time, First-Year Admission</t>
        </is>
      </c>
      <c r="E381" t="inlineStr">
        <is>
          <t>First-time, first-year Profile</t>
        </is>
      </c>
      <c r="F381" t="inlineStr">
        <is>
          <t>Test Scores</t>
        </is>
      </c>
      <c r="G381" t="inlineStr">
        <is>
          <t>Undergraduates</t>
        </is>
      </c>
      <c r="H381" t="inlineStr">
        <is>
          <t>First-time, first-year</t>
        </is>
      </c>
      <c r="I381" t="inlineStr">
        <is>
          <t>All</t>
        </is>
      </c>
      <c r="J381" t="inlineStr">
        <is>
          <t>All</t>
        </is>
      </c>
      <c r="K381" t="inlineStr">
        <is>
          <t>All</t>
        </is>
      </c>
      <c r="L381" t="inlineStr">
        <is>
          <t>Whole Number or Round to Nearest Tenths</t>
        </is>
      </c>
    </row>
    <row r="382">
      <c r="A382" t="inlineStr">
        <is>
          <t>C908</t>
        </is>
      </c>
      <c r="B382" t="inlineStr">
        <is>
          <t>SAT Evidence-Based Reading and Writing: 25th Percentile</t>
        </is>
      </c>
      <c r="C382">
        <f>IFERROR(IF(VLOOKUP($A382,'CDS-C'!$A:$L,3,FALSE)="","",(VLOOKUP($A382,'CDS-C'!$A:$L,3,FALSE))),"")</f>
        <v/>
      </c>
      <c r="D382" t="inlineStr">
        <is>
          <t>First-Time, First-Year Admission</t>
        </is>
      </c>
      <c r="E382" t="inlineStr">
        <is>
          <t>First-time, first-year Profile</t>
        </is>
      </c>
      <c r="F382" t="inlineStr">
        <is>
          <t>Test Scores</t>
        </is>
      </c>
      <c r="G382" t="inlineStr">
        <is>
          <t>Undergraduates</t>
        </is>
      </c>
      <c r="H382" t="inlineStr">
        <is>
          <t>First-time, first-year</t>
        </is>
      </c>
      <c r="I382" t="inlineStr">
        <is>
          <t>All</t>
        </is>
      </c>
      <c r="J382" t="inlineStr">
        <is>
          <t>All</t>
        </is>
      </c>
      <c r="K382" t="inlineStr">
        <is>
          <t>All</t>
        </is>
      </c>
      <c r="L382" t="inlineStr">
        <is>
          <t>Whole Number or Round to Nearest Tenths</t>
        </is>
      </c>
    </row>
    <row r="383">
      <c r="A383" t="inlineStr">
        <is>
          <t>C909</t>
        </is>
      </c>
      <c r="B383" t="inlineStr">
        <is>
          <t>SAT Evidence-Based Reading and Writing: 50th Percentile</t>
        </is>
      </c>
      <c r="C383">
        <f>IFERROR(IF(VLOOKUP($A383,'CDS-C'!$A:$L,3,FALSE)="","",(VLOOKUP($A383,'CDS-C'!$A:$L,3,FALSE))),"")</f>
        <v/>
      </c>
      <c r="D383" t="inlineStr">
        <is>
          <t>First-Time, First-Year Admission</t>
        </is>
      </c>
      <c r="E383" t="inlineStr">
        <is>
          <t>First-time, first-year Profile</t>
        </is>
      </c>
      <c r="F383" t="inlineStr">
        <is>
          <t>Test Scores</t>
        </is>
      </c>
      <c r="G383" t="inlineStr">
        <is>
          <t>Undergraduates</t>
        </is>
      </c>
      <c r="H383" t="inlineStr">
        <is>
          <t>First-time, first-year</t>
        </is>
      </c>
      <c r="I383" t="inlineStr">
        <is>
          <t>All</t>
        </is>
      </c>
      <c r="J383" t="inlineStr">
        <is>
          <t>All</t>
        </is>
      </c>
      <c r="K383" t="inlineStr">
        <is>
          <t>All</t>
        </is>
      </c>
      <c r="L383" t="inlineStr">
        <is>
          <t>Whole Number or Round to Nearest Tenths</t>
        </is>
      </c>
    </row>
    <row r="384">
      <c r="A384" t="inlineStr">
        <is>
          <t>C910</t>
        </is>
      </c>
      <c r="B384" t="inlineStr">
        <is>
          <t>SAT Evidence-Based Reading and Writing: 75th Percentile</t>
        </is>
      </c>
      <c r="C384">
        <f>IFERROR(IF(VLOOKUP($A384,'CDS-C'!$A:$L,3,FALSE)="","",(VLOOKUP($A384,'CDS-C'!$A:$L,3,FALSE))),"")</f>
        <v/>
      </c>
      <c r="D384" t="inlineStr">
        <is>
          <t>First-Time, First-Year Admission</t>
        </is>
      </c>
      <c r="E384" t="inlineStr">
        <is>
          <t>First-time, first-year Profile</t>
        </is>
      </c>
      <c r="F384" t="inlineStr">
        <is>
          <t>Test Scores</t>
        </is>
      </c>
      <c r="G384" t="inlineStr">
        <is>
          <t>Undergraduates</t>
        </is>
      </c>
      <c r="H384" t="inlineStr">
        <is>
          <t>First-time, first-year</t>
        </is>
      </c>
      <c r="I384" t="inlineStr">
        <is>
          <t>All</t>
        </is>
      </c>
      <c r="J384" t="inlineStr">
        <is>
          <t>All</t>
        </is>
      </c>
      <c r="K384" t="inlineStr">
        <is>
          <t>All</t>
        </is>
      </c>
      <c r="L384" t="inlineStr">
        <is>
          <t>Whole Number or Round to Nearest Tenths</t>
        </is>
      </c>
    </row>
    <row r="385">
      <c r="A385" t="inlineStr">
        <is>
          <t>C911</t>
        </is>
      </c>
      <c r="B385" t="inlineStr">
        <is>
          <t>SAT Math: 25th Percentile</t>
        </is>
      </c>
      <c r="C385">
        <f>IFERROR(IF(VLOOKUP($A385,'CDS-C'!$A:$L,3,FALSE)="","",(VLOOKUP($A385,'CDS-C'!$A:$L,3,FALSE))),"")</f>
        <v/>
      </c>
      <c r="D385" t="inlineStr">
        <is>
          <t>First-Time, First-Year Admission</t>
        </is>
      </c>
      <c r="E385" t="inlineStr">
        <is>
          <t>First-time, first-year Profile</t>
        </is>
      </c>
      <c r="F385" t="inlineStr">
        <is>
          <t>Test Scores</t>
        </is>
      </c>
      <c r="G385" t="inlineStr">
        <is>
          <t>Undergraduates</t>
        </is>
      </c>
      <c r="H385" t="inlineStr">
        <is>
          <t>First-time, first-year</t>
        </is>
      </c>
      <c r="I385" t="inlineStr">
        <is>
          <t>All</t>
        </is>
      </c>
      <c r="J385" t="inlineStr">
        <is>
          <t>All</t>
        </is>
      </c>
      <c r="K385" t="inlineStr">
        <is>
          <t>All</t>
        </is>
      </c>
      <c r="L385" t="inlineStr">
        <is>
          <t>Whole Number or Round to Nearest Tenths</t>
        </is>
      </c>
    </row>
    <row r="386">
      <c r="A386" t="inlineStr">
        <is>
          <t>C912</t>
        </is>
      </c>
      <c r="B386" t="inlineStr">
        <is>
          <t>SAT Math: 50th Percentile</t>
        </is>
      </c>
      <c r="C386">
        <f>IFERROR(IF(VLOOKUP($A386,'CDS-C'!$A:$L,3,FALSE)="","",(VLOOKUP($A386,'CDS-C'!$A:$L,3,FALSE))),"")</f>
        <v/>
      </c>
      <c r="D386" t="inlineStr">
        <is>
          <t>First-Time, First-Year Admission</t>
        </is>
      </c>
      <c r="E386" t="inlineStr">
        <is>
          <t>First-time, first-year Profile</t>
        </is>
      </c>
      <c r="F386" t="inlineStr">
        <is>
          <t>Test Scores</t>
        </is>
      </c>
      <c r="G386" t="inlineStr">
        <is>
          <t>Undergraduates</t>
        </is>
      </c>
      <c r="H386" t="inlineStr">
        <is>
          <t>First-time, first-year</t>
        </is>
      </c>
      <c r="I386" t="inlineStr">
        <is>
          <t>All</t>
        </is>
      </c>
      <c r="J386" t="inlineStr">
        <is>
          <t>All</t>
        </is>
      </c>
      <c r="K386" t="inlineStr">
        <is>
          <t>All</t>
        </is>
      </c>
      <c r="L386" t="inlineStr">
        <is>
          <t>Whole Number or Round to Nearest Tenths</t>
        </is>
      </c>
    </row>
    <row r="387">
      <c r="A387" t="inlineStr">
        <is>
          <t>C913</t>
        </is>
      </c>
      <c r="B387" t="inlineStr">
        <is>
          <t>SAT Math: 75th Percentile</t>
        </is>
      </c>
      <c r="C387">
        <f>IFERROR(IF(VLOOKUP($A387,'CDS-C'!$A:$L,3,FALSE)="","",(VLOOKUP($A387,'CDS-C'!$A:$L,3,FALSE))),"")</f>
        <v/>
      </c>
      <c r="D387" t="inlineStr">
        <is>
          <t>First-Time, First-Year Admission</t>
        </is>
      </c>
      <c r="E387" t="inlineStr">
        <is>
          <t>First-time, first-year Profile</t>
        </is>
      </c>
      <c r="F387" t="inlineStr">
        <is>
          <t>Test Scores</t>
        </is>
      </c>
      <c r="G387" t="inlineStr">
        <is>
          <t>Undergraduates</t>
        </is>
      </c>
      <c r="H387" t="inlineStr">
        <is>
          <t>First-time, first-year</t>
        </is>
      </c>
      <c r="I387" t="inlineStr">
        <is>
          <t>All</t>
        </is>
      </c>
      <c r="J387" t="inlineStr">
        <is>
          <t>All</t>
        </is>
      </c>
      <c r="K387" t="inlineStr">
        <is>
          <t>All</t>
        </is>
      </c>
      <c r="L387" t="inlineStr">
        <is>
          <t>Whole Number or Round to Nearest Tenths</t>
        </is>
      </c>
    </row>
    <row r="388">
      <c r="A388" t="inlineStr">
        <is>
          <t>C914</t>
        </is>
      </c>
      <c r="B388" t="inlineStr">
        <is>
          <t>ACT Composite: 25th Percentile</t>
        </is>
      </c>
      <c r="C388">
        <f>IFERROR(IF(VLOOKUP($A388,'CDS-C'!$A:$L,3,FALSE)="","",(VLOOKUP($A388,'CDS-C'!$A:$L,3,FALSE))),"")</f>
        <v/>
      </c>
      <c r="D388" t="inlineStr">
        <is>
          <t>First-Time, First-Year Admission</t>
        </is>
      </c>
      <c r="E388" t="inlineStr">
        <is>
          <t>First-time, first-year Profile</t>
        </is>
      </c>
      <c r="F388" t="inlineStr">
        <is>
          <t>Test Scores</t>
        </is>
      </c>
      <c r="G388" t="inlineStr">
        <is>
          <t>Undergraduates</t>
        </is>
      </c>
      <c r="H388" t="inlineStr">
        <is>
          <t>First-time, first-year</t>
        </is>
      </c>
      <c r="I388" t="inlineStr">
        <is>
          <t>All</t>
        </is>
      </c>
      <c r="J388" t="inlineStr">
        <is>
          <t>All</t>
        </is>
      </c>
      <c r="K388" t="inlineStr">
        <is>
          <t>All</t>
        </is>
      </c>
      <c r="L388" t="inlineStr">
        <is>
          <t>Whole Number or Round to Nearest Tenths</t>
        </is>
      </c>
    </row>
    <row r="389">
      <c r="A389" t="inlineStr">
        <is>
          <t>C915</t>
        </is>
      </c>
      <c r="B389" t="inlineStr">
        <is>
          <t>ACT Composite: 50th Percentile</t>
        </is>
      </c>
      <c r="C389">
        <f>IFERROR(IF(VLOOKUP($A389,'CDS-C'!$A:$L,3,FALSE)="","",(VLOOKUP($A389,'CDS-C'!$A:$L,3,FALSE))),"")</f>
        <v/>
      </c>
      <c r="D389" t="inlineStr">
        <is>
          <t>First-Time, First-Year Admission</t>
        </is>
      </c>
      <c r="E389" t="inlineStr">
        <is>
          <t>First-time, first-year Profile</t>
        </is>
      </c>
      <c r="F389" t="inlineStr">
        <is>
          <t>Test Scores</t>
        </is>
      </c>
      <c r="G389" t="inlineStr">
        <is>
          <t>Undergraduates</t>
        </is>
      </c>
      <c r="H389" t="inlineStr">
        <is>
          <t>First-time, first-year</t>
        </is>
      </c>
      <c r="I389" t="inlineStr">
        <is>
          <t>All</t>
        </is>
      </c>
      <c r="J389" t="inlineStr">
        <is>
          <t>All</t>
        </is>
      </c>
      <c r="K389" t="inlineStr">
        <is>
          <t>All</t>
        </is>
      </c>
      <c r="L389" t="inlineStr">
        <is>
          <t>Whole Number or Round to Nearest Tenths</t>
        </is>
      </c>
    </row>
    <row r="390">
      <c r="A390" t="inlineStr">
        <is>
          <t>C916</t>
        </is>
      </c>
      <c r="B390" t="inlineStr">
        <is>
          <t>ACT Composite: 75th Percentile</t>
        </is>
      </c>
      <c r="C390">
        <f>IFERROR(IF(VLOOKUP($A390,'CDS-C'!$A:$L,3,FALSE)="","",(VLOOKUP($A390,'CDS-C'!$A:$L,3,FALSE))),"")</f>
        <v/>
      </c>
      <c r="D390" t="inlineStr">
        <is>
          <t>First-Time, First-Year Admission</t>
        </is>
      </c>
      <c r="E390" t="inlineStr">
        <is>
          <t>First-time, first-year Profile</t>
        </is>
      </c>
      <c r="F390" t="inlineStr">
        <is>
          <t>Test Scores</t>
        </is>
      </c>
      <c r="G390" t="inlineStr">
        <is>
          <t>Undergraduates</t>
        </is>
      </c>
      <c r="H390" t="inlineStr">
        <is>
          <t>First-time, first-year</t>
        </is>
      </c>
      <c r="I390" t="inlineStr">
        <is>
          <t>All</t>
        </is>
      </c>
      <c r="J390" t="inlineStr">
        <is>
          <t>All</t>
        </is>
      </c>
      <c r="K390" t="inlineStr">
        <is>
          <t>All</t>
        </is>
      </c>
      <c r="L390" t="inlineStr">
        <is>
          <t>Whole Number or Round to Nearest Tenths</t>
        </is>
      </c>
    </row>
    <row r="391">
      <c r="A391" t="inlineStr">
        <is>
          <t>C917</t>
        </is>
      </c>
      <c r="B391" t="inlineStr">
        <is>
          <t>ACT Math: 25th Percentile</t>
        </is>
      </c>
      <c r="C391">
        <f>IFERROR(IF(VLOOKUP($A391,'CDS-C'!$A:$L,3,FALSE)="","",(VLOOKUP($A391,'CDS-C'!$A:$L,3,FALSE))),"")</f>
        <v/>
      </c>
      <c r="D391" t="inlineStr">
        <is>
          <t>First-Time, First-Year Admission</t>
        </is>
      </c>
      <c r="E391" t="inlineStr">
        <is>
          <t>First-time, first-year Profile</t>
        </is>
      </c>
      <c r="F391" t="inlineStr">
        <is>
          <t>Test Scores</t>
        </is>
      </c>
      <c r="G391" t="inlineStr">
        <is>
          <t>Undergraduates</t>
        </is>
      </c>
      <c r="H391" t="inlineStr">
        <is>
          <t>First-time, first-year</t>
        </is>
      </c>
      <c r="I391" t="inlineStr">
        <is>
          <t>All</t>
        </is>
      </c>
      <c r="J391" t="inlineStr">
        <is>
          <t>All</t>
        </is>
      </c>
      <c r="K391" t="inlineStr">
        <is>
          <t>All</t>
        </is>
      </c>
      <c r="L391" t="inlineStr">
        <is>
          <t>Whole Number or Round to Nearest Tenths</t>
        </is>
      </c>
    </row>
    <row r="392">
      <c r="A392" t="inlineStr">
        <is>
          <t>C918</t>
        </is>
      </c>
      <c r="B392" t="inlineStr">
        <is>
          <t>ACT Math: 50th Percentile</t>
        </is>
      </c>
      <c r="C392">
        <f>IFERROR(IF(VLOOKUP($A392,'CDS-C'!$A:$L,3,FALSE)="","",(VLOOKUP($A392,'CDS-C'!$A:$L,3,FALSE))),"")</f>
        <v/>
      </c>
      <c r="D392" t="inlineStr">
        <is>
          <t>First-Time, First-Year Admission</t>
        </is>
      </c>
      <c r="E392" t="inlineStr">
        <is>
          <t>First-time, first-year Profile</t>
        </is>
      </c>
      <c r="F392" t="inlineStr">
        <is>
          <t>Test Scores</t>
        </is>
      </c>
      <c r="G392" t="inlineStr">
        <is>
          <t>Undergraduates</t>
        </is>
      </c>
      <c r="H392" t="inlineStr">
        <is>
          <t>First-time, first-year</t>
        </is>
      </c>
      <c r="I392" t="inlineStr">
        <is>
          <t>All</t>
        </is>
      </c>
      <c r="J392" t="inlineStr">
        <is>
          <t>All</t>
        </is>
      </c>
      <c r="K392" t="inlineStr">
        <is>
          <t>All</t>
        </is>
      </c>
      <c r="L392" t="inlineStr">
        <is>
          <t>Whole Number or Round to Nearest Tenths</t>
        </is>
      </c>
    </row>
    <row r="393">
      <c r="A393" t="inlineStr">
        <is>
          <t>C919</t>
        </is>
      </c>
      <c r="B393" t="inlineStr">
        <is>
          <t>ACT Math: 75th Percentile</t>
        </is>
      </c>
      <c r="C393">
        <f>IFERROR(IF(VLOOKUP($A393,'CDS-C'!$A:$L,3,FALSE)="","",(VLOOKUP($A393,'CDS-C'!$A:$L,3,FALSE))),"")</f>
        <v/>
      </c>
      <c r="D393" t="inlineStr">
        <is>
          <t>First-Time, First-Year Admission</t>
        </is>
      </c>
      <c r="E393" t="inlineStr">
        <is>
          <t>First-time, first-year Profile</t>
        </is>
      </c>
      <c r="F393" t="inlineStr">
        <is>
          <t>Test Scores</t>
        </is>
      </c>
      <c r="G393" t="inlineStr">
        <is>
          <t>Undergraduates</t>
        </is>
      </c>
      <c r="H393" t="inlineStr">
        <is>
          <t>First-time, first-year</t>
        </is>
      </c>
      <c r="I393" t="inlineStr">
        <is>
          <t>All</t>
        </is>
      </c>
      <c r="J393" t="inlineStr">
        <is>
          <t>All</t>
        </is>
      </c>
      <c r="K393" t="inlineStr">
        <is>
          <t>All</t>
        </is>
      </c>
      <c r="L393" t="inlineStr">
        <is>
          <t>Whole Number or Round to Nearest Tenths</t>
        </is>
      </c>
    </row>
    <row r="394">
      <c r="A394" t="inlineStr">
        <is>
          <t>C920</t>
        </is>
      </c>
      <c r="B394" t="inlineStr">
        <is>
          <t>ACT English: 25th Percentile</t>
        </is>
      </c>
      <c r="C394">
        <f>IFERROR(IF(VLOOKUP($A394,'CDS-C'!$A:$L,3,FALSE)="","",(VLOOKUP($A394,'CDS-C'!$A:$L,3,FALSE))),"")</f>
        <v/>
      </c>
      <c r="D394" t="inlineStr">
        <is>
          <t>First-Time, First-Year Admission</t>
        </is>
      </c>
      <c r="E394" t="inlineStr">
        <is>
          <t>First-time, first-year Profile</t>
        </is>
      </c>
      <c r="F394" t="inlineStr">
        <is>
          <t>Test Scores</t>
        </is>
      </c>
      <c r="G394" t="inlineStr">
        <is>
          <t>Undergraduates</t>
        </is>
      </c>
      <c r="H394" t="inlineStr">
        <is>
          <t>First-time, first-year</t>
        </is>
      </c>
      <c r="I394" t="inlineStr">
        <is>
          <t>All</t>
        </is>
      </c>
      <c r="J394" t="inlineStr">
        <is>
          <t>All</t>
        </is>
      </c>
      <c r="K394" t="inlineStr">
        <is>
          <t>All</t>
        </is>
      </c>
      <c r="L394" t="inlineStr">
        <is>
          <t>Whole Number or Round to Nearest Tenths</t>
        </is>
      </c>
    </row>
    <row r="395">
      <c r="A395" t="inlineStr">
        <is>
          <t>C921</t>
        </is>
      </c>
      <c r="B395" t="inlineStr">
        <is>
          <t>ACT English: 50th Percentile</t>
        </is>
      </c>
      <c r="C395">
        <f>IFERROR(IF(VLOOKUP($A395,'CDS-C'!$A:$L,3,FALSE)="","",(VLOOKUP($A395,'CDS-C'!$A:$L,3,FALSE))),"")</f>
        <v/>
      </c>
      <c r="D395" t="inlineStr">
        <is>
          <t>First-Time, First-Year Admission</t>
        </is>
      </c>
      <c r="E395" t="inlineStr">
        <is>
          <t>First-time, first-year Profile</t>
        </is>
      </c>
      <c r="F395" t="inlineStr">
        <is>
          <t>Test Scores</t>
        </is>
      </c>
      <c r="G395" t="inlineStr">
        <is>
          <t>Undergraduates</t>
        </is>
      </c>
      <c r="H395" t="inlineStr">
        <is>
          <t>First-time, first-year</t>
        </is>
      </c>
      <c r="I395" t="inlineStr">
        <is>
          <t>All</t>
        </is>
      </c>
      <c r="J395" t="inlineStr">
        <is>
          <t>All</t>
        </is>
      </c>
      <c r="K395" t="inlineStr">
        <is>
          <t>All</t>
        </is>
      </c>
      <c r="L395" t="inlineStr">
        <is>
          <t>Whole Number or Round to Nearest Tenths</t>
        </is>
      </c>
    </row>
    <row r="396">
      <c r="A396" t="inlineStr">
        <is>
          <t>C922</t>
        </is>
      </c>
      <c r="B396" t="inlineStr">
        <is>
          <t>ACT English: 75th Percentile</t>
        </is>
      </c>
      <c r="C396">
        <f>IFERROR(IF(VLOOKUP($A396,'CDS-C'!$A:$L,3,FALSE)="","",(VLOOKUP($A396,'CDS-C'!$A:$L,3,FALSE))),"")</f>
        <v/>
      </c>
      <c r="D396" t="inlineStr">
        <is>
          <t>First-Time, First-Year Admission</t>
        </is>
      </c>
      <c r="E396" t="inlineStr">
        <is>
          <t>First-time, first-year Profile</t>
        </is>
      </c>
      <c r="F396" t="inlineStr">
        <is>
          <t>Test Scores</t>
        </is>
      </c>
      <c r="G396" t="inlineStr">
        <is>
          <t>Undergraduates</t>
        </is>
      </c>
      <c r="H396" t="inlineStr">
        <is>
          <t>First-time, first-year</t>
        </is>
      </c>
      <c r="I396" t="inlineStr">
        <is>
          <t>All</t>
        </is>
      </c>
      <c r="J396" t="inlineStr">
        <is>
          <t>All</t>
        </is>
      </c>
      <c r="K396" t="inlineStr">
        <is>
          <t>All</t>
        </is>
      </c>
      <c r="L396" t="inlineStr">
        <is>
          <t>Whole Number or Round to Nearest Tenths</t>
        </is>
      </c>
    </row>
    <row r="397">
      <c r="A397" t="inlineStr">
        <is>
          <t>C923</t>
        </is>
      </c>
      <c r="B397" t="inlineStr">
        <is>
          <t>ACT Writing: 25th Percentile</t>
        </is>
      </c>
      <c r="C397">
        <f>IFERROR(IF(VLOOKUP($A397,'CDS-C'!$A:$L,3,FALSE)="","",(VLOOKUP($A397,'CDS-C'!$A:$L,3,FALSE))),"")</f>
        <v/>
      </c>
      <c r="D397" t="inlineStr">
        <is>
          <t>First-Time, First-Year Admission</t>
        </is>
      </c>
      <c r="E397" t="inlineStr">
        <is>
          <t>First-time, first-year Profile</t>
        </is>
      </c>
      <c r="F397" t="inlineStr">
        <is>
          <t>Test Scores</t>
        </is>
      </c>
      <c r="G397" t="inlineStr">
        <is>
          <t>Undergraduates</t>
        </is>
      </c>
      <c r="H397" t="inlineStr">
        <is>
          <t>First-time, first-year</t>
        </is>
      </c>
      <c r="I397" t="inlineStr">
        <is>
          <t>All</t>
        </is>
      </c>
      <c r="J397" t="inlineStr">
        <is>
          <t>All</t>
        </is>
      </c>
      <c r="K397" t="inlineStr">
        <is>
          <t>All</t>
        </is>
      </c>
      <c r="L397" t="inlineStr">
        <is>
          <t>Whole Number or Round to Nearest Tenths</t>
        </is>
      </c>
    </row>
    <row r="398">
      <c r="A398" t="inlineStr">
        <is>
          <t>C924</t>
        </is>
      </c>
      <c r="B398" t="inlineStr">
        <is>
          <t>ACT Writing: 50th Percentile</t>
        </is>
      </c>
      <c r="C398">
        <f>IFERROR(IF(VLOOKUP($A398,'CDS-C'!$A:$L,3,FALSE)="","",(VLOOKUP($A398,'CDS-C'!$A:$L,3,FALSE))),"")</f>
        <v/>
      </c>
      <c r="D398" t="inlineStr">
        <is>
          <t>First-Time, First-Year Admission</t>
        </is>
      </c>
      <c r="E398" t="inlineStr">
        <is>
          <t>First-time, first-year Profile</t>
        </is>
      </c>
      <c r="F398" t="inlineStr">
        <is>
          <t>Test Scores</t>
        </is>
      </c>
      <c r="G398" t="inlineStr">
        <is>
          <t>Undergraduates</t>
        </is>
      </c>
      <c r="H398" t="inlineStr">
        <is>
          <t>First-time, first-year</t>
        </is>
      </c>
      <c r="I398" t="inlineStr">
        <is>
          <t>All</t>
        </is>
      </c>
      <c r="J398" t="inlineStr">
        <is>
          <t>All</t>
        </is>
      </c>
      <c r="K398" t="inlineStr">
        <is>
          <t>All</t>
        </is>
      </c>
      <c r="L398" t="inlineStr">
        <is>
          <t>Whole Number or Round to Nearest Tenths</t>
        </is>
      </c>
    </row>
    <row r="399">
      <c r="A399" t="inlineStr">
        <is>
          <t>C925</t>
        </is>
      </c>
      <c r="B399" t="inlineStr">
        <is>
          <t>ACT Writing: 75th Percentile</t>
        </is>
      </c>
      <c r="C399">
        <f>IFERROR(IF(VLOOKUP($A399,'CDS-C'!$A:$L,3,FALSE)="","",(VLOOKUP($A399,'CDS-C'!$A:$L,3,FALSE))),"")</f>
        <v/>
      </c>
      <c r="D399" t="inlineStr">
        <is>
          <t>First-Time, First-Year Admission</t>
        </is>
      </c>
      <c r="E399" t="inlineStr">
        <is>
          <t>First-time, first-year Profile</t>
        </is>
      </c>
      <c r="F399" t="inlineStr">
        <is>
          <t>Test Scores</t>
        </is>
      </c>
      <c r="G399" t="inlineStr">
        <is>
          <t>Undergraduates</t>
        </is>
      </c>
      <c r="H399" t="inlineStr">
        <is>
          <t>First-time, first-year</t>
        </is>
      </c>
      <c r="I399" t="inlineStr">
        <is>
          <t>All</t>
        </is>
      </c>
      <c r="J399" t="inlineStr">
        <is>
          <t>All</t>
        </is>
      </c>
      <c r="K399" t="inlineStr">
        <is>
          <t>All</t>
        </is>
      </c>
      <c r="L399" t="inlineStr">
        <is>
          <t>Whole Number or Round to Nearest Tenths</t>
        </is>
      </c>
    </row>
    <row r="400">
      <c r="A400" t="inlineStr">
        <is>
          <t>C926</t>
        </is>
      </c>
      <c r="B400" t="inlineStr">
        <is>
          <t>ACT Science: 25th Percentile</t>
        </is>
      </c>
      <c r="C400">
        <f>IFERROR(IF(VLOOKUP($A400,'CDS-C'!$A:$L,3,FALSE)="","",(VLOOKUP($A400,'CDS-C'!$A:$L,3,FALSE))),"")</f>
        <v/>
      </c>
      <c r="D400" t="inlineStr">
        <is>
          <t>First-Time, First-Year Admission</t>
        </is>
      </c>
      <c r="E400" t="inlineStr">
        <is>
          <t>First-time, first-year Profile</t>
        </is>
      </c>
      <c r="F400" t="inlineStr">
        <is>
          <t>Test Scores</t>
        </is>
      </c>
      <c r="G400" t="inlineStr">
        <is>
          <t>Undergraduates</t>
        </is>
      </c>
      <c r="H400" t="inlineStr">
        <is>
          <t>First-time, first-year</t>
        </is>
      </c>
      <c r="I400" t="inlineStr">
        <is>
          <t>All</t>
        </is>
      </c>
      <c r="J400" t="inlineStr">
        <is>
          <t>All</t>
        </is>
      </c>
      <c r="K400" t="inlineStr">
        <is>
          <t>All</t>
        </is>
      </c>
      <c r="L400" t="inlineStr">
        <is>
          <t>Whole Number or Round to Nearest Tenths</t>
        </is>
      </c>
    </row>
    <row r="401">
      <c r="A401" t="inlineStr">
        <is>
          <t>C927</t>
        </is>
      </c>
      <c r="B401" t="inlineStr">
        <is>
          <t>ACT Science: 50th Percentile</t>
        </is>
      </c>
      <c r="C401">
        <f>IFERROR(IF(VLOOKUP($A401,'CDS-C'!$A:$L,3,FALSE)="","",(VLOOKUP($A401,'CDS-C'!$A:$L,3,FALSE))),"")</f>
        <v/>
      </c>
      <c r="D401" t="inlineStr">
        <is>
          <t>First-Time, First-Year Admission</t>
        </is>
      </c>
      <c r="E401" t="inlineStr">
        <is>
          <t>First-time, first-year Profile</t>
        </is>
      </c>
      <c r="F401" t="inlineStr">
        <is>
          <t>Test Scores</t>
        </is>
      </c>
      <c r="G401" t="inlineStr">
        <is>
          <t>Undergraduates</t>
        </is>
      </c>
      <c r="H401" t="inlineStr">
        <is>
          <t>First-time, first-year</t>
        </is>
      </c>
      <c r="I401" t="inlineStr">
        <is>
          <t>All</t>
        </is>
      </c>
      <c r="J401" t="inlineStr">
        <is>
          <t>All</t>
        </is>
      </c>
      <c r="K401" t="inlineStr">
        <is>
          <t>All</t>
        </is>
      </c>
      <c r="L401" t="inlineStr">
        <is>
          <t>Whole Number or Round to Nearest Tenths</t>
        </is>
      </c>
    </row>
    <row r="402">
      <c r="A402" t="inlineStr">
        <is>
          <t>C928</t>
        </is>
      </c>
      <c r="B402" t="inlineStr">
        <is>
          <t>ACT Science: 75th Percentile</t>
        </is>
      </c>
      <c r="C402">
        <f>IFERROR(IF(VLOOKUP($A402,'CDS-C'!$A:$L,3,FALSE)="","",(VLOOKUP($A402,'CDS-C'!$A:$L,3,FALSE))),"")</f>
        <v/>
      </c>
      <c r="D402" t="inlineStr">
        <is>
          <t>First-Time, First-Year Admission</t>
        </is>
      </c>
      <c r="E402" t="inlineStr">
        <is>
          <t>First-time, first-year Profile</t>
        </is>
      </c>
      <c r="F402" t="inlineStr">
        <is>
          <t>Test Scores</t>
        </is>
      </c>
      <c r="G402" t="inlineStr">
        <is>
          <t>Undergraduates</t>
        </is>
      </c>
      <c r="H402" t="inlineStr">
        <is>
          <t>First-time, first-year</t>
        </is>
      </c>
      <c r="I402" t="inlineStr">
        <is>
          <t>All</t>
        </is>
      </c>
      <c r="J402" t="inlineStr">
        <is>
          <t>All</t>
        </is>
      </c>
      <c r="K402" t="inlineStr">
        <is>
          <t>All</t>
        </is>
      </c>
      <c r="L402" t="inlineStr">
        <is>
          <t>Whole Number or Round to Nearest Tenths</t>
        </is>
      </c>
    </row>
    <row r="403">
      <c r="A403" t="inlineStr">
        <is>
          <t>C929</t>
        </is>
      </c>
      <c r="B403" t="inlineStr">
        <is>
          <t>ACT Reading: 25th Percentile</t>
        </is>
      </c>
      <c r="C403">
        <f>IFERROR(IF(VLOOKUP($A403,'CDS-C'!$A:$L,3,FALSE)="","",(VLOOKUP($A403,'CDS-C'!$A:$L,3,FALSE))),"")</f>
        <v/>
      </c>
      <c r="D403" t="inlineStr">
        <is>
          <t>First-Time, First-Year Admission</t>
        </is>
      </c>
      <c r="E403" t="inlineStr">
        <is>
          <t>First-time, first-year Profile</t>
        </is>
      </c>
      <c r="F403" t="inlineStr">
        <is>
          <t>Test Scores</t>
        </is>
      </c>
      <c r="G403" t="inlineStr">
        <is>
          <t>Undergraduates</t>
        </is>
      </c>
      <c r="H403" t="inlineStr">
        <is>
          <t>First-time, first-year</t>
        </is>
      </c>
      <c r="I403" t="inlineStr">
        <is>
          <t>All</t>
        </is>
      </c>
      <c r="J403" t="inlineStr">
        <is>
          <t>All</t>
        </is>
      </c>
      <c r="K403" t="inlineStr">
        <is>
          <t>All</t>
        </is>
      </c>
      <c r="L403" t="inlineStr">
        <is>
          <t>Whole Number or Round to Nearest Tenths</t>
        </is>
      </c>
    </row>
    <row r="404">
      <c r="A404" t="inlineStr">
        <is>
          <t>C930</t>
        </is>
      </c>
      <c r="B404" t="inlineStr">
        <is>
          <t>ACT Reading: 50th Percentile</t>
        </is>
      </c>
      <c r="C404">
        <f>IFERROR(IF(VLOOKUP($A404,'CDS-C'!$A:$L,3,FALSE)="","",(VLOOKUP($A404,'CDS-C'!$A:$L,3,FALSE))),"")</f>
        <v/>
      </c>
      <c r="D404" t="inlineStr">
        <is>
          <t>First-Time, First-Year Admission</t>
        </is>
      </c>
      <c r="E404" t="inlineStr">
        <is>
          <t>First-time, first-year Profile</t>
        </is>
      </c>
      <c r="F404" t="inlineStr">
        <is>
          <t>Test Scores</t>
        </is>
      </c>
      <c r="G404" t="inlineStr">
        <is>
          <t>Undergraduates</t>
        </is>
      </c>
      <c r="H404" t="inlineStr">
        <is>
          <t>First-time, first-year</t>
        </is>
      </c>
      <c r="I404" t="inlineStr">
        <is>
          <t>All</t>
        </is>
      </c>
      <c r="J404" t="inlineStr">
        <is>
          <t>All</t>
        </is>
      </c>
      <c r="K404" t="inlineStr">
        <is>
          <t>All</t>
        </is>
      </c>
      <c r="L404" t="inlineStr">
        <is>
          <t>Whole Number or Round to Nearest Tenths</t>
        </is>
      </c>
    </row>
    <row r="405">
      <c r="A405" t="inlineStr">
        <is>
          <t>C931</t>
        </is>
      </c>
      <c r="B405" t="inlineStr">
        <is>
          <t>ACT Reading: 75th Percentile</t>
        </is>
      </c>
      <c r="C405">
        <f>IFERROR(IF(VLOOKUP($A405,'CDS-C'!$A:$L,3,FALSE)="","",(VLOOKUP($A405,'CDS-C'!$A:$L,3,FALSE))),"")</f>
        <v/>
      </c>
      <c r="D405" t="inlineStr">
        <is>
          <t>First-Time, First-Year Admission</t>
        </is>
      </c>
      <c r="E405" t="inlineStr">
        <is>
          <t>First-time, first-year Profile</t>
        </is>
      </c>
      <c r="F405" t="inlineStr">
        <is>
          <t>Test Scores</t>
        </is>
      </c>
      <c r="G405" t="inlineStr">
        <is>
          <t>Undergraduates</t>
        </is>
      </c>
      <c r="H405" t="inlineStr">
        <is>
          <t>First-time, first-year</t>
        </is>
      </c>
      <c r="I405" t="inlineStr">
        <is>
          <t>All</t>
        </is>
      </c>
      <c r="J405" t="inlineStr">
        <is>
          <t>All</t>
        </is>
      </c>
      <c r="K405" t="inlineStr">
        <is>
          <t>All</t>
        </is>
      </c>
      <c r="L405" t="inlineStr">
        <is>
          <t>Whole Number or Round to Nearest Tenths</t>
        </is>
      </c>
    </row>
    <row r="406">
      <c r="A406" t="inlineStr">
        <is>
          <t>C905</t>
        </is>
      </c>
      <c r="B406" t="inlineStr">
        <is>
          <t>SAT Evidence-Based Reading and Writing: 700-800</t>
        </is>
      </c>
      <c r="C406">
        <f>IFERROR(IF(VLOOKUP($A406,'CDS-C'!$A:$L,3,FALSE)="","",(VLOOKUP($A406,'CDS-C'!$A:$L,3,FALSE))),"")</f>
        <v/>
      </c>
      <c r="D406" t="inlineStr">
        <is>
          <t>First-Time, First-Year Admission</t>
        </is>
      </c>
      <c r="E406" t="inlineStr">
        <is>
          <t>First-time, first-year Profile</t>
        </is>
      </c>
      <c r="F406" t="inlineStr">
        <is>
          <t>Test Scores</t>
        </is>
      </c>
      <c r="G406" t="inlineStr">
        <is>
          <t>Undergraduates</t>
        </is>
      </c>
      <c r="H406" t="inlineStr">
        <is>
          <t>First-time, first-year</t>
        </is>
      </c>
      <c r="I406" t="inlineStr">
        <is>
          <t>All</t>
        </is>
      </c>
      <c r="J406" t="inlineStr">
        <is>
          <t>All</t>
        </is>
      </c>
      <c r="K406" t="inlineStr">
        <is>
          <t>All</t>
        </is>
      </c>
      <c r="L406" t="inlineStr">
        <is>
          <t>Whole Number or Round to Nearest Tenths</t>
        </is>
      </c>
    </row>
    <row r="407">
      <c r="A407" t="inlineStr">
        <is>
          <t>C906</t>
        </is>
      </c>
      <c r="B407" t="inlineStr">
        <is>
          <t>SAT Evidence-Based Reading and Writing: 600-699</t>
        </is>
      </c>
      <c r="C407">
        <f>IFERROR(IF(VLOOKUP($A407,'CDS-C'!$A:$L,3,FALSE)="","",(VLOOKUP($A407,'CDS-C'!$A:$L,3,FALSE))),"")</f>
        <v/>
      </c>
      <c r="D407" t="inlineStr">
        <is>
          <t>First-Time, First-Year Admission</t>
        </is>
      </c>
      <c r="E407" t="inlineStr">
        <is>
          <t>First-time, first-year Profile</t>
        </is>
      </c>
      <c r="F407" t="inlineStr">
        <is>
          <t>Test Scores</t>
        </is>
      </c>
      <c r="G407" t="inlineStr">
        <is>
          <t>Undergraduates</t>
        </is>
      </c>
      <c r="H407" t="inlineStr">
        <is>
          <t>First-time, first-year</t>
        </is>
      </c>
      <c r="I407" t="inlineStr">
        <is>
          <t>All</t>
        </is>
      </c>
      <c r="J407" t="inlineStr">
        <is>
          <t>All</t>
        </is>
      </c>
      <c r="K407" t="inlineStr">
        <is>
          <t>All</t>
        </is>
      </c>
      <c r="L407" t="inlineStr">
        <is>
          <t>Whole Number or Round to Nearest Tenths</t>
        </is>
      </c>
    </row>
    <row r="408">
      <c r="A408" t="inlineStr">
        <is>
          <t>C907</t>
        </is>
      </c>
      <c r="B408" t="inlineStr">
        <is>
          <t>SAT Evidence-Based Reading and Writing: 500-599</t>
        </is>
      </c>
      <c r="C408">
        <f>IFERROR(IF(VLOOKUP($A408,'CDS-C'!$A:$L,3,FALSE)="","",(VLOOKUP($A408,'CDS-C'!$A:$L,3,FALSE))),"")</f>
        <v/>
      </c>
      <c r="D408" t="inlineStr">
        <is>
          <t>First-Time, First-Year Admission</t>
        </is>
      </c>
      <c r="E408" t="inlineStr">
        <is>
          <t>First-time, first-year Profile</t>
        </is>
      </c>
      <c r="F408" t="inlineStr">
        <is>
          <t>Test Scores</t>
        </is>
      </c>
      <c r="G408" t="inlineStr">
        <is>
          <t>Undergraduates</t>
        </is>
      </c>
      <c r="H408" t="inlineStr">
        <is>
          <t>First-time, first-year</t>
        </is>
      </c>
      <c r="I408" t="inlineStr">
        <is>
          <t>All</t>
        </is>
      </c>
      <c r="J408" t="inlineStr">
        <is>
          <t>All</t>
        </is>
      </c>
      <c r="K408" t="inlineStr">
        <is>
          <t>All</t>
        </is>
      </c>
      <c r="L408" t="inlineStr">
        <is>
          <t>Whole Number or Round to Nearest Tenths</t>
        </is>
      </c>
    </row>
    <row r="409">
      <c r="A409" t="inlineStr">
        <is>
          <t>C908</t>
        </is>
      </c>
      <c r="B409" t="inlineStr">
        <is>
          <t>SAT Evidence-Based Reading and Writing: 400-499</t>
        </is>
      </c>
      <c r="C409">
        <f>IFERROR(IF(VLOOKUP($A409,'CDS-C'!$A:$L,3,FALSE)="","",(VLOOKUP($A409,'CDS-C'!$A:$L,3,FALSE))),"")</f>
        <v/>
      </c>
      <c r="D409" t="inlineStr">
        <is>
          <t>First-Time, First-Year Admission</t>
        </is>
      </c>
      <c r="E409" t="inlineStr">
        <is>
          <t>First-time, first-year Profile</t>
        </is>
      </c>
      <c r="F409" t="inlineStr">
        <is>
          <t>Test Scores</t>
        </is>
      </c>
      <c r="G409" t="inlineStr">
        <is>
          <t>Undergraduates</t>
        </is>
      </c>
      <c r="H409" t="inlineStr">
        <is>
          <t>First-time, first-year</t>
        </is>
      </c>
      <c r="I409" t="inlineStr">
        <is>
          <t>All</t>
        </is>
      </c>
      <c r="J409" t="inlineStr">
        <is>
          <t>All</t>
        </is>
      </c>
      <c r="K409" t="inlineStr">
        <is>
          <t>All</t>
        </is>
      </c>
      <c r="L409" t="inlineStr">
        <is>
          <t>Whole Number or Round to Nearest Tenths</t>
        </is>
      </c>
    </row>
    <row r="410">
      <c r="A410" t="inlineStr">
        <is>
          <t>C909</t>
        </is>
      </c>
      <c r="B410" t="inlineStr">
        <is>
          <t>SAT Evidence-Based Reading and Writing: 300-399</t>
        </is>
      </c>
      <c r="C410">
        <f>IFERROR(IF(VLOOKUP($A410,'CDS-C'!$A:$L,3,FALSE)="","",(VLOOKUP($A410,'CDS-C'!$A:$L,3,FALSE))),"")</f>
        <v/>
      </c>
      <c r="D410" t="inlineStr">
        <is>
          <t>First-Time, First-Year Admission</t>
        </is>
      </c>
      <c r="E410" t="inlineStr">
        <is>
          <t>First-time, first-year Profile</t>
        </is>
      </c>
      <c r="F410" t="inlineStr">
        <is>
          <t>Test Scores</t>
        </is>
      </c>
      <c r="G410" t="inlineStr">
        <is>
          <t>Undergraduates</t>
        </is>
      </c>
      <c r="H410" t="inlineStr">
        <is>
          <t>First-time, first-year</t>
        </is>
      </c>
      <c r="I410" t="inlineStr">
        <is>
          <t>All</t>
        </is>
      </c>
      <c r="J410" t="inlineStr">
        <is>
          <t>All</t>
        </is>
      </c>
      <c r="K410" t="inlineStr">
        <is>
          <t>All</t>
        </is>
      </c>
      <c r="L410" t="inlineStr">
        <is>
          <t>Whole Number or Round to Nearest Tenths</t>
        </is>
      </c>
    </row>
    <row r="411">
      <c r="A411" t="inlineStr">
        <is>
          <t>C910</t>
        </is>
      </c>
      <c r="B411" t="inlineStr">
        <is>
          <t>SAT Evidence-Based Reading and Writing: 200-299</t>
        </is>
      </c>
      <c r="C411">
        <f>IFERROR(IF(VLOOKUP($A411,'CDS-C'!$A:$L,3,FALSE)="","",(VLOOKUP($A411,'CDS-C'!$A:$L,3,FALSE))),"")</f>
        <v/>
      </c>
      <c r="D411" t="inlineStr">
        <is>
          <t>First-Time, First-Year Admission</t>
        </is>
      </c>
      <c r="E411" t="inlineStr">
        <is>
          <t>First-time, first-year Profile</t>
        </is>
      </c>
      <c r="F411" t="inlineStr">
        <is>
          <t>Test Scores</t>
        </is>
      </c>
      <c r="G411" t="inlineStr">
        <is>
          <t>Undergraduates</t>
        </is>
      </c>
      <c r="H411" t="inlineStr">
        <is>
          <t>First-time, first-year</t>
        </is>
      </c>
      <c r="I411" t="inlineStr">
        <is>
          <t>All</t>
        </is>
      </c>
      <c r="J411" t="inlineStr">
        <is>
          <t>All</t>
        </is>
      </c>
      <c r="K411" t="inlineStr">
        <is>
          <t>All</t>
        </is>
      </c>
      <c r="L411" t="inlineStr">
        <is>
          <t>Whole Number or Round to Nearest Tenths</t>
        </is>
      </c>
    </row>
    <row r="412">
      <c r="A412" t="inlineStr">
        <is>
          <t>C911</t>
        </is>
      </c>
      <c r="B412" t="inlineStr">
        <is>
          <t>SAT Evidence-Based Reading and Writing: Total</t>
        </is>
      </c>
      <c r="C412">
        <f>IFERROR(IF(VLOOKUP($A412,'CDS-C'!$A:$L,3,FALSE)="","",(VLOOKUP($A412,'CDS-C'!$A:$L,3,FALSE))),"")</f>
        <v/>
      </c>
      <c r="D412" t="inlineStr">
        <is>
          <t>First-Time, First-Year Admission</t>
        </is>
      </c>
      <c r="E412" t="inlineStr">
        <is>
          <t>First-time, first-year Profile</t>
        </is>
      </c>
      <c r="F412" t="inlineStr">
        <is>
          <t>Test Scores</t>
        </is>
      </c>
      <c r="G412" t="inlineStr">
        <is>
          <t>Undergraduates</t>
        </is>
      </c>
      <c r="H412" t="inlineStr">
        <is>
          <t>First-time, first-year</t>
        </is>
      </c>
      <c r="I412" t="inlineStr">
        <is>
          <t>All</t>
        </is>
      </c>
      <c r="J412" t="inlineStr">
        <is>
          <t>All</t>
        </is>
      </c>
      <c r="K412" t="inlineStr">
        <is>
          <t>All</t>
        </is>
      </c>
      <c r="L412" t="inlineStr">
        <is>
          <t>Whole Number or Round to Nearest Tenths</t>
        </is>
      </c>
    </row>
    <row r="413">
      <c r="A413" t="inlineStr">
        <is>
          <t>C912</t>
        </is>
      </c>
      <c r="B413" t="inlineStr">
        <is>
          <t>SAT Math: 700-800</t>
        </is>
      </c>
      <c r="C413">
        <f>IFERROR(IF(VLOOKUP($A413,'CDS-C'!$A:$L,3,FALSE)="","",(VLOOKUP($A413,'CDS-C'!$A:$L,3,FALSE))),"")</f>
        <v/>
      </c>
      <c r="D413" t="inlineStr">
        <is>
          <t>First-Time, First-Year Admission</t>
        </is>
      </c>
      <c r="E413" t="inlineStr">
        <is>
          <t>First-time, first-year Profile</t>
        </is>
      </c>
      <c r="F413" t="inlineStr">
        <is>
          <t>Test Scores</t>
        </is>
      </c>
      <c r="G413" t="inlineStr">
        <is>
          <t>Undergraduates</t>
        </is>
      </c>
      <c r="H413" t="inlineStr">
        <is>
          <t>First-time, first-year</t>
        </is>
      </c>
      <c r="I413" t="inlineStr">
        <is>
          <t>All</t>
        </is>
      </c>
      <c r="J413" t="inlineStr">
        <is>
          <t>All</t>
        </is>
      </c>
      <c r="K413" t="inlineStr">
        <is>
          <t>All</t>
        </is>
      </c>
      <c r="L413" t="inlineStr">
        <is>
          <t>Whole Number or Round to Nearest Tenths</t>
        </is>
      </c>
    </row>
    <row r="414">
      <c r="A414" t="inlineStr">
        <is>
          <t>C913</t>
        </is>
      </c>
      <c r="B414" t="inlineStr">
        <is>
          <t>SAT Math: 600-699</t>
        </is>
      </c>
      <c r="C414">
        <f>IFERROR(IF(VLOOKUP($A414,'CDS-C'!$A:$L,3,FALSE)="","",(VLOOKUP($A414,'CDS-C'!$A:$L,3,FALSE))),"")</f>
        <v/>
      </c>
      <c r="D414" t="inlineStr">
        <is>
          <t>First-Time, First-Year Admission</t>
        </is>
      </c>
      <c r="E414" t="inlineStr">
        <is>
          <t>First-time, first-year Profile</t>
        </is>
      </c>
      <c r="F414" t="inlineStr">
        <is>
          <t>Test Scores</t>
        </is>
      </c>
      <c r="G414" t="inlineStr">
        <is>
          <t>Undergraduates</t>
        </is>
      </c>
      <c r="H414" t="inlineStr">
        <is>
          <t>First-time, first-year</t>
        </is>
      </c>
      <c r="I414" t="inlineStr">
        <is>
          <t>All</t>
        </is>
      </c>
      <c r="J414" t="inlineStr">
        <is>
          <t>All</t>
        </is>
      </c>
      <c r="K414" t="inlineStr">
        <is>
          <t>All</t>
        </is>
      </c>
      <c r="L414" t="inlineStr">
        <is>
          <t>Whole Number or Round to Nearest Tenths</t>
        </is>
      </c>
    </row>
    <row r="415">
      <c r="A415" t="inlineStr">
        <is>
          <t>C914</t>
        </is>
      </c>
      <c r="B415" t="inlineStr">
        <is>
          <t>SAT Math: 500-599</t>
        </is>
      </c>
      <c r="C415">
        <f>IFERROR(IF(VLOOKUP($A415,'CDS-C'!$A:$L,3,FALSE)="","",(VLOOKUP($A415,'CDS-C'!$A:$L,3,FALSE))),"")</f>
        <v/>
      </c>
      <c r="D415" t="inlineStr">
        <is>
          <t>First-Time, First-Year Admission</t>
        </is>
      </c>
      <c r="E415" t="inlineStr">
        <is>
          <t>First-time, first-year Profile</t>
        </is>
      </c>
      <c r="F415" t="inlineStr">
        <is>
          <t>Test Scores</t>
        </is>
      </c>
      <c r="G415" t="inlineStr">
        <is>
          <t>Undergraduates</t>
        </is>
      </c>
      <c r="H415" t="inlineStr">
        <is>
          <t>First-time, first-year</t>
        </is>
      </c>
      <c r="I415" t="inlineStr">
        <is>
          <t>All</t>
        </is>
      </c>
      <c r="J415" t="inlineStr">
        <is>
          <t>All</t>
        </is>
      </c>
      <c r="K415" t="inlineStr">
        <is>
          <t>All</t>
        </is>
      </c>
      <c r="L415" t="inlineStr">
        <is>
          <t>Whole Number or Round to Nearest Tenths</t>
        </is>
      </c>
    </row>
    <row r="416">
      <c r="A416" t="inlineStr">
        <is>
          <t>C915</t>
        </is>
      </c>
      <c r="B416" t="inlineStr">
        <is>
          <t>SAT Math: 400-499</t>
        </is>
      </c>
      <c r="C416">
        <f>IFERROR(IF(VLOOKUP($A416,'CDS-C'!$A:$L,3,FALSE)="","",(VLOOKUP($A416,'CDS-C'!$A:$L,3,FALSE))),"")</f>
        <v/>
      </c>
      <c r="D416" t="inlineStr">
        <is>
          <t>First-Time, First-Year Admission</t>
        </is>
      </c>
      <c r="E416" t="inlineStr">
        <is>
          <t>First-time, first-year Profile</t>
        </is>
      </c>
      <c r="F416" t="inlineStr">
        <is>
          <t>Test Scores</t>
        </is>
      </c>
      <c r="G416" t="inlineStr">
        <is>
          <t>Undergraduates</t>
        </is>
      </c>
      <c r="H416" t="inlineStr">
        <is>
          <t>First-time, first-year</t>
        </is>
      </c>
      <c r="I416" t="inlineStr">
        <is>
          <t>All</t>
        </is>
      </c>
      <c r="J416" t="inlineStr">
        <is>
          <t>All</t>
        </is>
      </c>
      <c r="K416" t="inlineStr">
        <is>
          <t>All</t>
        </is>
      </c>
      <c r="L416" t="inlineStr">
        <is>
          <t>Whole Number or Round to Nearest Tenths</t>
        </is>
      </c>
    </row>
    <row r="417">
      <c r="A417" t="inlineStr">
        <is>
          <t>C916</t>
        </is>
      </c>
      <c r="B417" t="inlineStr">
        <is>
          <t>SAT Math: 300-399</t>
        </is>
      </c>
      <c r="C417">
        <f>IFERROR(IF(VLOOKUP($A417,'CDS-C'!$A:$L,3,FALSE)="","",(VLOOKUP($A417,'CDS-C'!$A:$L,3,FALSE))),"")</f>
        <v/>
      </c>
      <c r="D417" t="inlineStr">
        <is>
          <t>First-Time, First-Year Admission</t>
        </is>
      </c>
      <c r="E417" t="inlineStr">
        <is>
          <t>First-time, first-year Profile</t>
        </is>
      </c>
      <c r="F417" t="inlineStr">
        <is>
          <t>Test Scores</t>
        </is>
      </c>
      <c r="G417" t="inlineStr">
        <is>
          <t>Undergraduates</t>
        </is>
      </c>
      <c r="H417" t="inlineStr">
        <is>
          <t>First-time, first-year</t>
        </is>
      </c>
      <c r="I417" t="inlineStr">
        <is>
          <t>All</t>
        </is>
      </c>
      <c r="J417" t="inlineStr">
        <is>
          <t>All</t>
        </is>
      </c>
      <c r="K417" t="inlineStr">
        <is>
          <t>All</t>
        </is>
      </c>
      <c r="L417" t="inlineStr">
        <is>
          <t>Whole Number or Round to Nearest Tenths</t>
        </is>
      </c>
    </row>
    <row r="418">
      <c r="A418" t="inlineStr">
        <is>
          <t>C917</t>
        </is>
      </c>
      <c r="B418" t="inlineStr">
        <is>
          <t>SAT Math: 200-299</t>
        </is>
      </c>
      <c r="C418">
        <f>IFERROR(IF(VLOOKUP($A418,'CDS-C'!$A:$L,3,FALSE)="","",(VLOOKUP($A418,'CDS-C'!$A:$L,3,FALSE))),"")</f>
        <v/>
      </c>
      <c r="D418" t="inlineStr">
        <is>
          <t>First-Time, First-Year Admission</t>
        </is>
      </c>
      <c r="E418" t="inlineStr">
        <is>
          <t>First-time, first-year Profile</t>
        </is>
      </c>
      <c r="F418" t="inlineStr">
        <is>
          <t>Test Scores</t>
        </is>
      </c>
      <c r="G418" t="inlineStr">
        <is>
          <t>Undergraduates</t>
        </is>
      </c>
      <c r="H418" t="inlineStr">
        <is>
          <t>First-time, first-year</t>
        </is>
      </c>
      <c r="I418" t="inlineStr">
        <is>
          <t>All</t>
        </is>
      </c>
      <c r="J418" t="inlineStr">
        <is>
          <t>All</t>
        </is>
      </c>
      <c r="K418" t="inlineStr">
        <is>
          <t>All</t>
        </is>
      </c>
      <c r="L418" t="inlineStr">
        <is>
          <t>Whole Number or Round to Nearest Tenths</t>
        </is>
      </c>
    </row>
    <row r="419">
      <c r="A419" t="inlineStr">
        <is>
          <t>C918</t>
        </is>
      </c>
      <c r="B419" t="inlineStr">
        <is>
          <t>SAT Math: Total</t>
        </is>
      </c>
      <c r="C419">
        <f>IFERROR(IF(VLOOKUP($A419,'CDS-C'!$A:$L,3,FALSE)="","",(VLOOKUP($A419,'CDS-C'!$A:$L,3,FALSE))),"")</f>
        <v/>
      </c>
      <c r="D419" t="inlineStr">
        <is>
          <t>First-Time, First-Year Admission</t>
        </is>
      </c>
      <c r="E419" t="inlineStr">
        <is>
          <t>First-time, first-year Profile</t>
        </is>
      </c>
      <c r="F419" t="inlineStr">
        <is>
          <t>Test Scores</t>
        </is>
      </c>
      <c r="G419" t="inlineStr">
        <is>
          <t>Undergraduates</t>
        </is>
      </c>
      <c r="H419" t="inlineStr">
        <is>
          <t>First-time, first-year</t>
        </is>
      </c>
      <c r="I419" t="inlineStr">
        <is>
          <t>All</t>
        </is>
      </c>
      <c r="J419" t="inlineStr">
        <is>
          <t>All</t>
        </is>
      </c>
      <c r="K419" t="inlineStr">
        <is>
          <t>All</t>
        </is>
      </c>
      <c r="L419" t="inlineStr">
        <is>
          <t>Whole Number or Round to Nearest Tenths</t>
        </is>
      </c>
    </row>
    <row r="420">
      <c r="A420" t="inlineStr">
        <is>
          <t>C919</t>
        </is>
      </c>
      <c r="B420" t="inlineStr">
        <is>
          <t>SAT Composite: 1400-1600</t>
        </is>
      </c>
      <c r="C420">
        <f>IFERROR(IF(VLOOKUP($A420,'CDS-C'!$A:$L,3,FALSE)="","",(VLOOKUP($A420,'CDS-C'!$A:$L,3,FALSE))),"")</f>
        <v/>
      </c>
      <c r="D420" t="inlineStr">
        <is>
          <t>First-Time, First-Year Admission</t>
        </is>
      </c>
      <c r="E420" t="inlineStr">
        <is>
          <t>First-time, first-year Profile</t>
        </is>
      </c>
      <c r="F420" t="inlineStr">
        <is>
          <t>Test Scores</t>
        </is>
      </c>
      <c r="G420" t="inlineStr">
        <is>
          <t>Undergraduates</t>
        </is>
      </c>
      <c r="H420" t="inlineStr">
        <is>
          <t>First-time, first-year</t>
        </is>
      </c>
      <c r="I420" t="inlineStr">
        <is>
          <t>All</t>
        </is>
      </c>
      <c r="J420" t="inlineStr">
        <is>
          <t>All</t>
        </is>
      </c>
      <c r="K420" t="inlineStr">
        <is>
          <t>All</t>
        </is>
      </c>
      <c r="L420" t="inlineStr">
        <is>
          <t>Whole Number or Round to Nearest Tenths</t>
        </is>
      </c>
    </row>
    <row r="421">
      <c r="A421" t="inlineStr">
        <is>
          <t>C920</t>
        </is>
      </c>
      <c r="B421" t="inlineStr">
        <is>
          <t>SAT Composite: 1200-1399</t>
        </is>
      </c>
      <c r="C421">
        <f>IFERROR(IF(VLOOKUP($A421,'CDS-C'!$A:$L,3,FALSE)="","",(VLOOKUP($A421,'CDS-C'!$A:$L,3,FALSE))),"")</f>
        <v/>
      </c>
      <c r="D421" t="inlineStr">
        <is>
          <t>First-Time, First-Year Admission</t>
        </is>
      </c>
      <c r="E421" t="inlineStr">
        <is>
          <t>First-time, first-year Profile</t>
        </is>
      </c>
      <c r="F421" t="inlineStr">
        <is>
          <t>Test Scores</t>
        </is>
      </c>
      <c r="G421" t="inlineStr">
        <is>
          <t>Undergraduates</t>
        </is>
      </c>
      <c r="H421" t="inlineStr">
        <is>
          <t>First-time, first-year</t>
        </is>
      </c>
      <c r="I421" t="inlineStr">
        <is>
          <t>All</t>
        </is>
      </c>
      <c r="J421" t="inlineStr">
        <is>
          <t>All</t>
        </is>
      </c>
      <c r="K421" t="inlineStr">
        <is>
          <t>All</t>
        </is>
      </c>
      <c r="L421" t="inlineStr">
        <is>
          <t>Whole Number or Round to Nearest Tenths</t>
        </is>
      </c>
    </row>
    <row r="422">
      <c r="A422" t="inlineStr">
        <is>
          <t>C921</t>
        </is>
      </c>
      <c r="B422" t="inlineStr">
        <is>
          <t>SAT Composite: 1000-1199</t>
        </is>
      </c>
      <c r="C422">
        <f>IFERROR(IF(VLOOKUP($A422,'CDS-C'!$A:$L,3,FALSE)="","",(VLOOKUP($A422,'CDS-C'!$A:$L,3,FALSE))),"")</f>
        <v/>
      </c>
      <c r="D422" t="inlineStr">
        <is>
          <t>First-Time, First-Year Admission</t>
        </is>
      </c>
      <c r="E422" t="inlineStr">
        <is>
          <t>First-time, first-year Profile</t>
        </is>
      </c>
      <c r="F422" t="inlineStr">
        <is>
          <t>Test Scores</t>
        </is>
      </c>
      <c r="G422" t="inlineStr">
        <is>
          <t>Undergraduates</t>
        </is>
      </c>
      <c r="H422" t="inlineStr">
        <is>
          <t>First-time, first-year</t>
        </is>
      </c>
      <c r="I422" t="inlineStr">
        <is>
          <t>All</t>
        </is>
      </c>
      <c r="J422" t="inlineStr">
        <is>
          <t>All</t>
        </is>
      </c>
      <c r="K422" t="inlineStr">
        <is>
          <t>All</t>
        </is>
      </c>
      <c r="L422" t="inlineStr">
        <is>
          <t>Whole Number or Round to Nearest Tenths</t>
        </is>
      </c>
    </row>
    <row r="423">
      <c r="A423" t="inlineStr">
        <is>
          <t>C922</t>
        </is>
      </c>
      <c r="B423" t="inlineStr">
        <is>
          <t>SAT Composite: 800-999</t>
        </is>
      </c>
      <c r="C423">
        <f>IFERROR(IF(VLOOKUP($A423,'CDS-C'!$A:$L,3,FALSE)="","",(VLOOKUP($A423,'CDS-C'!$A:$L,3,FALSE))),"")</f>
        <v/>
      </c>
      <c r="D423" t="inlineStr">
        <is>
          <t>First-Time, First-Year Admission</t>
        </is>
      </c>
      <c r="E423" t="inlineStr">
        <is>
          <t>First-time, first-year Profile</t>
        </is>
      </c>
      <c r="F423" t="inlineStr">
        <is>
          <t>Test Scores</t>
        </is>
      </c>
      <c r="G423" t="inlineStr">
        <is>
          <t>Undergraduates</t>
        </is>
      </c>
      <c r="H423" t="inlineStr">
        <is>
          <t>First-time, first-year</t>
        </is>
      </c>
      <c r="I423" t="inlineStr">
        <is>
          <t>All</t>
        </is>
      </c>
      <c r="J423" t="inlineStr">
        <is>
          <t>All</t>
        </is>
      </c>
      <c r="K423" t="inlineStr">
        <is>
          <t>All</t>
        </is>
      </c>
      <c r="L423" t="inlineStr">
        <is>
          <t>Whole Number or Round to Nearest Tenths</t>
        </is>
      </c>
    </row>
    <row r="424">
      <c r="A424" t="inlineStr">
        <is>
          <t>C923</t>
        </is>
      </c>
      <c r="B424" t="inlineStr">
        <is>
          <t>SAT Composite: 600-799</t>
        </is>
      </c>
      <c r="C424">
        <f>IFERROR(IF(VLOOKUP($A424,'CDS-C'!$A:$L,3,FALSE)="","",(VLOOKUP($A424,'CDS-C'!$A:$L,3,FALSE))),"")</f>
        <v/>
      </c>
      <c r="D424" t="inlineStr">
        <is>
          <t>First-Time, First-Year Admission</t>
        </is>
      </c>
      <c r="E424" t="inlineStr">
        <is>
          <t>First-time, first-year Profile</t>
        </is>
      </c>
      <c r="F424" t="inlineStr">
        <is>
          <t>Test Scores</t>
        </is>
      </c>
      <c r="G424" t="inlineStr">
        <is>
          <t>Undergraduates</t>
        </is>
      </c>
      <c r="H424" t="inlineStr">
        <is>
          <t>First-time, first-year</t>
        </is>
      </c>
      <c r="I424" t="inlineStr">
        <is>
          <t>All</t>
        </is>
      </c>
      <c r="J424" t="inlineStr">
        <is>
          <t>All</t>
        </is>
      </c>
      <c r="K424" t="inlineStr">
        <is>
          <t>All</t>
        </is>
      </c>
      <c r="L424" t="inlineStr">
        <is>
          <t>Whole Number or Round to Nearest Tenths</t>
        </is>
      </c>
    </row>
    <row r="425">
      <c r="A425" t="inlineStr">
        <is>
          <t>C924</t>
        </is>
      </c>
      <c r="B425" t="inlineStr">
        <is>
          <t>SAT Composite: 400-599</t>
        </is>
      </c>
      <c r="C425">
        <f>IFERROR(IF(VLOOKUP($A425,'CDS-C'!$A:$L,3,FALSE)="","",(VLOOKUP($A425,'CDS-C'!$A:$L,3,FALSE))),"")</f>
        <v/>
      </c>
      <c r="D425" t="inlineStr">
        <is>
          <t>First-Time, First-Year Admission</t>
        </is>
      </c>
      <c r="E425" t="inlineStr">
        <is>
          <t>First-time, first-year Profile</t>
        </is>
      </c>
      <c r="F425" t="inlineStr">
        <is>
          <t>Test Scores</t>
        </is>
      </c>
      <c r="G425" t="inlineStr">
        <is>
          <t>Undergraduates</t>
        </is>
      </c>
      <c r="H425" t="inlineStr">
        <is>
          <t>First-time, first-year</t>
        </is>
      </c>
      <c r="I425" t="inlineStr">
        <is>
          <t>All</t>
        </is>
      </c>
      <c r="J425" t="inlineStr">
        <is>
          <t>All</t>
        </is>
      </c>
      <c r="K425" t="inlineStr">
        <is>
          <t>All</t>
        </is>
      </c>
      <c r="L425" t="inlineStr">
        <is>
          <t>Whole Number or Round to Nearest Tenths</t>
        </is>
      </c>
    </row>
    <row r="426">
      <c r="A426" t="inlineStr">
        <is>
          <t>C925</t>
        </is>
      </c>
      <c r="B426" t="inlineStr">
        <is>
          <t>SAT Composite: Total</t>
        </is>
      </c>
      <c r="C426">
        <f>IFERROR(IF(VLOOKUP($A426,'CDS-C'!$A:$L,3,FALSE)="","",(VLOOKUP($A426,'CDS-C'!$A:$L,3,FALSE))),"")</f>
        <v/>
      </c>
      <c r="D426" t="inlineStr">
        <is>
          <t>First-Time, First-Year Admission</t>
        </is>
      </c>
      <c r="E426" t="inlineStr">
        <is>
          <t>First-time, first-year Profile</t>
        </is>
      </c>
      <c r="F426" t="inlineStr">
        <is>
          <t>Test Scores</t>
        </is>
      </c>
      <c r="G426" t="inlineStr">
        <is>
          <t>Undergraduates</t>
        </is>
      </c>
      <c r="H426" t="inlineStr">
        <is>
          <t>First-time, first-year</t>
        </is>
      </c>
      <c r="I426" t="inlineStr">
        <is>
          <t>All</t>
        </is>
      </c>
      <c r="J426" t="inlineStr">
        <is>
          <t>All</t>
        </is>
      </c>
      <c r="K426" t="inlineStr">
        <is>
          <t>All</t>
        </is>
      </c>
      <c r="L426" t="inlineStr">
        <is>
          <t>Whole Number or Round to Nearest Tenths</t>
        </is>
      </c>
    </row>
    <row r="427">
      <c r="A427" t="inlineStr">
        <is>
          <t>C926</t>
        </is>
      </c>
      <c r="B427" t="inlineStr">
        <is>
          <t>ACT Composite: 30-36</t>
        </is>
      </c>
      <c r="C427">
        <f>IFERROR(IF(VLOOKUP($A427,'CDS-C'!$A:$L,3,FALSE)="","",(VLOOKUP($A427,'CDS-C'!$A:$L,3,FALSE))),"")</f>
        <v/>
      </c>
      <c r="D427" t="inlineStr">
        <is>
          <t>First-Time, First-Year Admission</t>
        </is>
      </c>
      <c r="E427" t="inlineStr">
        <is>
          <t>First-time, first-year Profile</t>
        </is>
      </c>
      <c r="F427" t="inlineStr">
        <is>
          <t>Test Scores</t>
        </is>
      </c>
      <c r="G427" t="inlineStr">
        <is>
          <t>Undergraduates</t>
        </is>
      </c>
      <c r="H427" t="inlineStr">
        <is>
          <t>First-time, first-year</t>
        </is>
      </c>
      <c r="I427" t="inlineStr">
        <is>
          <t>All</t>
        </is>
      </c>
      <c r="J427" t="inlineStr">
        <is>
          <t>All</t>
        </is>
      </c>
      <c r="K427" t="inlineStr">
        <is>
          <t>All</t>
        </is>
      </c>
      <c r="L427" t="inlineStr">
        <is>
          <t>Whole Number or Round to Nearest Tenths</t>
        </is>
      </c>
    </row>
    <row r="428">
      <c r="A428" t="inlineStr">
        <is>
          <t>C927</t>
        </is>
      </c>
      <c r="B428" t="inlineStr">
        <is>
          <t>ACT Composite: 24-29</t>
        </is>
      </c>
      <c r="C428">
        <f>IFERROR(IF(VLOOKUP($A428,'CDS-C'!$A:$L,3,FALSE)="","",(VLOOKUP($A428,'CDS-C'!$A:$L,3,FALSE))),"")</f>
        <v/>
      </c>
      <c r="D428" t="inlineStr">
        <is>
          <t>First-Time, First-Year Admission</t>
        </is>
      </c>
      <c r="E428" t="inlineStr">
        <is>
          <t>First-time, first-year Profile</t>
        </is>
      </c>
      <c r="F428" t="inlineStr">
        <is>
          <t>Test Scores</t>
        </is>
      </c>
      <c r="G428" t="inlineStr">
        <is>
          <t>Undergraduates</t>
        </is>
      </c>
      <c r="H428" t="inlineStr">
        <is>
          <t>First-time, first-year</t>
        </is>
      </c>
      <c r="I428" t="inlineStr">
        <is>
          <t>All</t>
        </is>
      </c>
      <c r="J428" t="inlineStr">
        <is>
          <t>All</t>
        </is>
      </c>
      <c r="K428" t="inlineStr">
        <is>
          <t>All</t>
        </is>
      </c>
      <c r="L428" t="inlineStr">
        <is>
          <t>Whole Number or Round to Nearest Tenths</t>
        </is>
      </c>
    </row>
    <row r="429">
      <c r="A429" t="inlineStr">
        <is>
          <t>C928</t>
        </is>
      </c>
      <c r="B429" t="inlineStr">
        <is>
          <t>ACT Composite: 18-23</t>
        </is>
      </c>
      <c r="C429">
        <f>IFERROR(IF(VLOOKUP($A429,'CDS-C'!$A:$L,3,FALSE)="","",(VLOOKUP($A429,'CDS-C'!$A:$L,3,FALSE))),"")</f>
        <v/>
      </c>
      <c r="D429" t="inlineStr">
        <is>
          <t>First-Time, First-Year Admission</t>
        </is>
      </c>
      <c r="E429" t="inlineStr">
        <is>
          <t>First-time, first-year Profile</t>
        </is>
      </c>
      <c r="F429" t="inlineStr">
        <is>
          <t>Test Scores</t>
        </is>
      </c>
      <c r="G429" t="inlineStr">
        <is>
          <t>Undergraduates</t>
        </is>
      </c>
      <c r="H429" t="inlineStr">
        <is>
          <t>First-time, first-year</t>
        </is>
      </c>
      <c r="I429" t="inlineStr">
        <is>
          <t>All</t>
        </is>
      </c>
      <c r="J429" t="inlineStr">
        <is>
          <t>All</t>
        </is>
      </c>
      <c r="K429" t="inlineStr">
        <is>
          <t>All</t>
        </is>
      </c>
      <c r="L429" t="inlineStr">
        <is>
          <t>Whole Number or Round to Nearest Tenths</t>
        </is>
      </c>
    </row>
    <row r="430">
      <c r="A430" t="inlineStr">
        <is>
          <t>C929</t>
        </is>
      </c>
      <c r="B430" t="inlineStr">
        <is>
          <t>ACT Composite: 12-17</t>
        </is>
      </c>
      <c r="C430">
        <f>IFERROR(IF(VLOOKUP($A430,'CDS-C'!$A:$L,3,FALSE)="","",(VLOOKUP($A430,'CDS-C'!$A:$L,3,FALSE))),"")</f>
        <v/>
      </c>
      <c r="D430" t="inlineStr">
        <is>
          <t>First-Time, First-Year Admission</t>
        </is>
      </c>
      <c r="E430" t="inlineStr">
        <is>
          <t>First-time, first-year Profile</t>
        </is>
      </c>
      <c r="F430" t="inlineStr">
        <is>
          <t>Test Scores</t>
        </is>
      </c>
      <c r="G430" t="inlineStr">
        <is>
          <t>Undergraduates</t>
        </is>
      </c>
      <c r="H430" t="inlineStr">
        <is>
          <t>First-time, first-year</t>
        </is>
      </c>
      <c r="I430" t="inlineStr">
        <is>
          <t>All</t>
        </is>
      </c>
      <c r="J430" t="inlineStr">
        <is>
          <t>All</t>
        </is>
      </c>
      <c r="K430" t="inlineStr">
        <is>
          <t>All</t>
        </is>
      </c>
      <c r="L430" t="inlineStr">
        <is>
          <t>Whole Number or Round to Nearest Tenths</t>
        </is>
      </c>
    </row>
    <row r="431">
      <c r="A431" t="inlineStr">
        <is>
          <t>C930</t>
        </is>
      </c>
      <c r="B431" t="inlineStr">
        <is>
          <t>ACT Composite: 6-11</t>
        </is>
      </c>
      <c r="C431">
        <f>IFERROR(IF(VLOOKUP($A431,'CDS-C'!$A:$L,3,FALSE)="","",(VLOOKUP($A431,'CDS-C'!$A:$L,3,FALSE))),"")</f>
        <v/>
      </c>
      <c r="D431" t="inlineStr">
        <is>
          <t>First-Time, First-Year Admission</t>
        </is>
      </c>
      <c r="E431" t="inlineStr">
        <is>
          <t>First-time, first-year Profile</t>
        </is>
      </c>
      <c r="F431" t="inlineStr">
        <is>
          <t>Test Scores</t>
        </is>
      </c>
      <c r="G431" t="inlineStr">
        <is>
          <t>Undergraduates</t>
        </is>
      </c>
      <c r="H431" t="inlineStr">
        <is>
          <t>First-time, first-year</t>
        </is>
      </c>
      <c r="I431" t="inlineStr">
        <is>
          <t>All</t>
        </is>
      </c>
      <c r="J431" t="inlineStr">
        <is>
          <t>All</t>
        </is>
      </c>
      <c r="K431" t="inlineStr">
        <is>
          <t>All</t>
        </is>
      </c>
      <c r="L431" t="inlineStr">
        <is>
          <t>Whole Number or Round to Nearest Tenths</t>
        </is>
      </c>
    </row>
    <row r="432">
      <c r="A432" t="inlineStr">
        <is>
          <t>C931</t>
        </is>
      </c>
      <c r="B432" t="inlineStr">
        <is>
          <t>ACT Composite: Below 6</t>
        </is>
      </c>
      <c r="C432">
        <f>IFERROR(IF(VLOOKUP($A432,'CDS-C'!$A:$L,3,FALSE)="","",(VLOOKUP($A432,'CDS-C'!$A:$L,3,FALSE))),"")</f>
        <v/>
      </c>
      <c r="D432" t="inlineStr">
        <is>
          <t>First-Time, First-Year Admission</t>
        </is>
      </c>
      <c r="E432" t="inlineStr">
        <is>
          <t>First-time, first-year Profile</t>
        </is>
      </c>
      <c r="F432" t="inlineStr">
        <is>
          <t>Test Scores</t>
        </is>
      </c>
      <c r="G432" t="inlineStr">
        <is>
          <t>Undergraduates</t>
        </is>
      </c>
      <c r="H432" t="inlineStr">
        <is>
          <t>First-time, first-year</t>
        </is>
      </c>
      <c r="I432" t="inlineStr">
        <is>
          <t>All</t>
        </is>
      </c>
      <c r="J432" t="inlineStr">
        <is>
          <t>All</t>
        </is>
      </c>
      <c r="K432" t="inlineStr">
        <is>
          <t>All</t>
        </is>
      </c>
      <c r="L432" t="inlineStr">
        <is>
          <t>Whole Number or Round to Nearest Tenths</t>
        </is>
      </c>
    </row>
    <row r="433">
      <c r="A433" t="inlineStr">
        <is>
          <t>C932</t>
        </is>
      </c>
      <c r="B433" t="inlineStr">
        <is>
          <t>ACT Composite: Total</t>
        </is>
      </c>
      <c r="C433">
        <f>IFERROR(IF(VLOOKUP($A433,'CDS-C'!$A:$L,3,FALSE)="","",(VLOOKUP($A433,'CDS-C'!$A:$L,3,FALSE))),"")</f>
        <v/>
      </c>
      <c r="D433" t="inlineStr">
        <is>
          <t>First-Time, First-Year Admission</t>
        </is>
      </c>
      <c r="E433" t="inlineStr">
        <is>
          <t>First-time, first-year Profile</t>
        </is>
      </c>
      <c r="F433" t="inlineStr">
        <is>
          <t>Test Scores</t>
        </is>
      </c>
      <c r="G433" t="inlineStr">
        <is>
          <t>Undergraduates</t>
        </is>
      </c>
      <c r="H433" t="inlineStr">
        <is>
          <t>First-time, first-year</t>
        </is>
      </c>
      <c r="I433" t="inlineStr">
        <is>
          <t>All</t>
        </is>
      </c>
      <c r="J433" t="inlineStr">
        <is>
          <t>All</t>
        </is>
      </c>
      <c r="K433" t="inlineStr">
        <is>
          <t>All</t>
        </is>
      </c>
      <c r="L433" t="inlineStr">
        <is>
          <t>Whole Number or Round to Nearest Tenths</t>
        </is>
      </c>
    </row>
    <row r="434">
      <c r="A434" t="inlineStr">
        <is>
          <t>C933</t>
        </is>
      </c>
      <c r="B434" t="inlineStr">
        <is>
          <t>ACT Math: 30-36</t>
        </is>
      </c>
      <c r="C434">
        <f>IFERROR(IF(VLOOKUP($A434,'CDS-C'!$A:$L,3,FALSE)="","",(VLOOKUP($A434,'CDS-C'!$A:$L,3,FALSE))),"")</f>
        <v/>
      </c>
      <c r="D434" t="inlineStr">
        <is>
          <t>First-Time, First-Year Admission</t>
        </is>
      </c>
      <c r="E434" t="inlineStr">
        <is>
          <t>First-time, first-year Profile</t>
        </is>
      </c>
      <c r="F434" t="inlineStr">
        <is>
          <t>Test Scores</t>
        </is>
      </c>
      <c r="G434" t="inlineStr">
        <is>
          <t>Undergraduates</t>
        </is>
      </c>
      <c r="H434" t="inlineStr">
        <is>
          <t>First-time, first-year</t>
        </is>
      </c>
      <c r="I434" t="inlineStr">
        <is>
          <t>All</t>
        </is>
      </c>
      <c r="J434" t="inlineStr">
        <is>
          <t>All</t>
        </is>
      </c>
      <c r="K434" t="inlineStr">
        <is>
          <t>All</t>
        </is>
      </c>
      <c r="L434" t="inlineStr">
        <is>
          <t>Whole Number or Round to Nearest Tenths</t>
        </is>
      </c>
    </row>
    <row r="435">
      <c r="A435" t="inlineStr">
        <is>
          <t>C934</t>
        </is>
      </c>
      <c r="B435" t="inlineStr">
        <is>
          <t>ACT Math: 24-29</t>
        </is>
      </c>
      <c r="C435">
        <f>IFERROR(IF(VLOOKUP($A435,'CDS-C'!$A:$L,3,FALSE)="","",(VLOOKUP($A435,'CDS-C'!$A:$L,3,FALSE))),"")</f>
        <v/>
      </c>
      <c r="D435" t="inlineStr">
        <is>
          <t>First-Time, First-Year Admission</t>
        </is>
      </c>
      <c r="E435" t="inlineStr">
        <is>
          <t>First-time, first-year Profile</t>
        </is>
      </c>
      <c r="F435" t="inlineStr">
        <is>
          <t>Test Scores</t>
        </is>
      </c>
      <c r="G435" t="inlineStr">
        <is>
          <t>Undergraduates</t>
        </is>
      </c>
      <c r="H435" t="inlineStr">
        <is>
          <t>First-time, first-year</t>
        </is>
      </c>
      <c r="I435" t="inlineStr">
        <is>
          <t>All</t>
        </is>
      </c>
      <c r="J435" t="inlineStr">
        <is>
          <t>All</t>
        </is>
      </c>
      <c r="K435" t="inlineStr">
        <is>
          <t>All</t>
        </is>
      </c>
      <c r="L435" t="inlineStr">
        <is>
          <t>Whole Number or Round to Nearest Tenths</t>
        </is>
      </c>
    </row>
    <row r="436">
      <c r="A436" t="inlineStr">
        <is>
          <t>C935</t>
        </is>
      </c>
      <c r="B436" t="inlineStr">
        <is>
          <t>ACT Math: 18-23</t>
        </is>
      </c>
      <c r="C436">
        <f>IFERROR(IF(VLOOKUP($A436,'CDS-C'!$A:$L,3,FALSE)="","",(VLOOKUP($A436,'CDS-C'!$A:$L,3,FALSE))),"")</f>
        <v/>
      </c>
      <c r="D436" t="inlineStr">
        <is>
          <t>First-Time, First-Year Admission</t>
        </is>
      </c>
      <c r="E436" t="inlineStr">
        <is>
          <t>First-time, first-year Profile</t>
        </is>
      </c>
      <c r="F436" t="inlineStr">
        <is>
          <t>Test Scores</t>
        </is>
      </c>
      <c r="G436" t="inlineStr">
        <is>
          <t>Undergraduates</t>
        </is>
      </c>
      <c r="H436" t="inlineStr">
        <is>
          <t>First-time, first-year</t>
        </is>
      </c>
      <c r="I436" t="inlineStr">
        <is>
          <t>All</t>
        </is>
      </c>
      <c r="J436" t="inlineStr">
        <is>
          <t>All</t>
        </is>
      </c>
      <c r="K436" t="inlineStr">
        <is>
          <t>All</t>
        </is>
      </c>
      <c r="L436" t="inlineStr">
        <is>
          <t>Whole Number or Round to Nearest Tenths</t>
        </is>
      </c>
    </row>
    <row r="437">
      <c r="A437" t="inlineStr">
        <is>
          <t>C936</t>
        </is>
      </c>
      <c r="B437" t="inlineStr">
        <is>
          <t>ACT Math: 12-17</t>
        </is>
      </c>
      <c r="C437">
        <f>IFERROR(IF(VLOOKUP($A437,'CDS-C'!$A:$L,3,FALSE)="","",(VLOOKUP($A437,'CDS-C'!$A:$L,3,FALSE))),"")</f>
        <v/>
      </c>
      <c r="D437" t="inlineStr">
        <is>
          <t>First-Time, First-Year Admission</t>
        </is>
      </c>
      <c r="E437" t="inlineStr">
        <is>
          <t>First-time, first-year Profile</t>
        </is>
      </c>
      <c r="F437" t="inlineStr">
        <is>
          <t>Test Scores</t>
        </is>
      </c>
      <c r="G437" t="inlineStr">
        <is>
          <t>Undergraduates</t>
        </is>
      </c>
      <c r="H437" t="inlineStr">
        <is>
          <t>First-time, first-year</t>
        </is>
      </c>
      <c r="I437" t="inlineStr">
        <is>
          <t>All</t>
        </is>
      </c>
      <c r="J437" t="inlineStr">
        <is>
          <t>All</t>
        </is>
      </c>
      <c r="K437" t="inlineStr">
        <is>
          <t>All</t>
        </is>
      </c>
      <c r="L437" t="inlineStr">
        <is>
          <t>Whole Number or Round to Nearest Tenths</t>
        </is>
      </c>
    </row>
    <row r="438">
      <c r="A438" t="inlineStr">
        <is>
          <t>C937</t>
        </is>
      </c>
      <c r="B438" t="inlineStr">
        <is>
          <t>ACT Math: 6-11</t>
        </is>
      </c>
      <c r="C438">
        <f>IFERROR(IF(VLOOKUP($A438,'CDS-C'!$A:$L,3,FALSE)="","",(VLOOKUP($A438,'CDS-C'!$A:$L,3,FALSE))),"")</f>
        <v/>
      </c>
      <c r="D438" t="inlineStr">
        <is>
          <t>First-Time, First-Year Admission</t>
        </is>
      </c>
      <c r="E438" t="inlineStr">
        <is>
          <t>First-time, first-year Profile</t>
        </is>
      </c>
      <c r="F438" t="inlineStr">
        <is>
          <t>Test Scores</t>
        </is>
      </c>
      <c r="G438" t="inlineStr">
        <is>
          <t>Undergraduates</t>
        </is>
      </c>
      <c r="H438" t="inlineStr">
        <is>
          <t>First-time, first-year</t>
        </is>
      </c>
      <c r="I438" t="inlineStr">
        <is>
          <t>All</t>
        </is>
      </c>
      <c r="J438" t="inlineStr">
        <is>
          <t>All</t>
        </is>
      </c>
      <c r="K438" t="inlineStr">
        <is>
          <t>All</t>
        </is>
      </c>
      <c r="L438" t="inlineStr">
        <is>
          <t>Whole Number or Round to Nearest Tenths</t>
        </is>
      </c>
    </row>
    <row r="439">
      <c r="A439" t="inlineStr">
        <is>
          <t>C938</t>
        </is>
      </c>
      <c r="B439" t="inlineStr">
        <is>
          <t>ACT Math: Below 6</t>
        </is>
      </c>
      <c r="C439">
        <f>IFERROR(IF(VLOOKUP($A439,'CDS-C'!$A:$L,3,FALSE)="","",(VLOOKUP($A439,'CDS-C'!$A:$L,3,FALSE))),"")</f>
        <v/>
      </c>
      <c r="D439" t="inlineStr">
        <is>
          <t>First-Time, First-Year Admission</t>
        </is>
      </c>
      <c r="E439" t="inlineStr">
        <is>
          <t>First-time, first-year Profile</t>
        </is>
      </c>
      <c r="F439" t="inlineStr">
        <is>
          <t>Test Scores</t>
        </is>
      </c>
      <c r="G439" t="inlineStr">
        <is>
          <t>Undergraduates</t>
        </is>
      </c>
      <c r="H439" t="inlineStr">
        <is>
          <t>First-time, first-year</t>
        </is>
      </c>
      <c r="I439" t="inlineStr">
        <is>
          <t>All</t>
        </is>
      </c>
      <c r="J439" t="inlineStr">
        <is>
          <t>All</t>
        </is>
      </c>
      <c r="K439" t="inlineStr">
        <is>
          <t>All</t>
        </is>
      </c>
      <c r="L439" t="inlineStr">
        <is>
          <t>Whole Number or Round to Nearest Tenths</t>
        </is>
      </c>
    </row>
    <row r="440">
      <c r="A440" t="inlineStr">
        <is>
          <t>C939</t>
        </is>
      </c>
      <c r="B440" t="inlineStr">
        <is>
          <t>ACT Math: Total</t>
        </is>
      </c>
      <c r="C440">
        <f>IFERROR(IF(VLOOKUP($A440,'CDS-C'!$A:$L,3,FALSE)="","",(VLOOKUP($A440,'CDS-C'!$A:$L,3,FALSE))),"")</f>
        <v/>
      </c>
      <c r="D440" t="inlineStr">
        <is>
          <t>First-Time, First-Year Admission</t>
        </is>
      </c>
      <c r="E440" t="inlineStr">
        <is>
          <t>First-time, first-year Profile</t>
        </is>
      </c>
      <c r="F440" t="inlineStr">
        <is>
          <t>Test Scores</t>
        </is>
      </c>
      <c r="G440" t="inlineStr">
        <is>
          <t>Undergraduates</t>
        </is>
      </c>
      <c r="H440" t="inlineStr">
        <is>
          <t>First-time, first-year</t>
        </is>
      </c>
      <c r="I440" t="inlineStr">
        <is>
          <t>All</t>
        </is>
      </c>
      <c r="J440" t="inlineStr">
        <is>
          <t>All</t>
        </is>
      </c>
      <c r="K440" t="inlineStr">
        <is>
          <t>All</t>
        </is>
      </c>
      <c r="L440" t="inlineStr">
        <is>
          <t>Whole Number or Round to Nearest Tenths</t>
        </is>
      </c>
    </row>
    <row r="441">
      <c r="A441" t="inlineStr">
        <is>
          <t>C940</t>
        </is>
      </c>
      <c r="B441" t="inlineStr">
        <is>
          <t>ACT English: 30-36</t>
        </is>
      </c>
      <c r="C441">
        <f>IFERROR(IF(VLOOKUP($A441,'CDS-C'!$A:$L,3,FALSE)="","",(VLOOKUP($A441,'CDS-C'!$A:$L,3,FALSE))),"")</f>
        <v/>
      </c>
      <c r="D441" t="inlineStr">
        <is>
          <t>First-Time, First-Year Admission</t>
        </is>
      </c>
      <c r="E441" t="inlineStr">
        <is>
          <t>First-time, first-year Profile</t>
        </is>
      </c>
      <c r="F441" t="inlineStr">
        <is>
          <t>Test Scores</t>
        </is>
      </c>
      <c r="G441" t="inlineStr">
        <is>
          <t>Undergraduates</t>
        </is>
      </c>
      <c r="H441" t="inlineStr">
        <is>
          <t>First-time, first-year</t>
        </is>
      </c>
      <c r="I441" t="inlineStr">
        <is>
          <t>All</t>
        </is>
      </c>
      <c r="J441" t="inlineStr">
        <is>
          <t>All</t>
        </is>
      </c>
      <c r="K441" t="inlineStr">
        <is>
          <t>All</t>
        </is>
      </c>
      <c r="L441" t="inlineStr">
        <is>
          <t>Whole Number or Round to Nearest Tenths</t>
        </is>
      </c>
    </row>
    <row r="442">
      <c r="A442" t="inlineStr">
        <is>
          <t>C941</t>
        </is>
      </c>
      <c r="B442" t="inlineStr">
        <is>
          <t>ACT English: 24-29</t>
        </is>
      </c>
      <c r="C442">
        <f>IFERROR(IF(VLOOKUP($A442,'CDS-C'!$A:$L,3,FALSE)="","",(VLOOKUP($A442,'CDS-C'!$A:$L,3,FALSE))),"")</f>
        <v/>
      </c>
      <c r="D442" t="inlineStr">
        <is>
          <t>First-Time, First-Year Admission</t>
        </is>
      </c>
      <c r="E442" t="inlineStr">
        <is>
          <t>First-time, first-year Profile</t>
        </is>
      </c>
      <c r="F442" t="inlineStr">
        <is>
          <t>Test Scores</t>
        </is>
      </c>
      <c r="G442" t="inlineStr">
        <is>
          <t>Undergraduates</t>
        </is>
      </c>
      <c r="H442" t="inlineStr">
        <is>
          <t>First-time, first-year</t>
        </is>
      </c>
      <c r="I442" t="inlineStr">
        <is>
          <t>All</t>
        </is>
      </c>
      <c r="J442" t="inlineStr">
        <is>
          <t>All</t>
        </is>
      </c>
      <c r="K442" t="inlineStr">
        <is>
          <t>All</t>
        </is>
      </c>
      <c r="L442" t="inlineStr">
        <is>
          <t>Whole Number or Round to Nearest Tenths</t>
        </is>
      </c>
    </row>
    <row r="443">
      <c r="A443" t="inlineStr">
        <is>
          <t>C942</t>
        </is>
      </c>
      <c r="B443" t="inlineStr">
        <is>
          <t>ACT English: 18-23</t>
        </is>
      </c>
      <c r="C443">
        <f>IFERROR(IF(VLOOKUP($A443,'CDS-C'!$A:$L,3,FALSE)="","",(VLOOKUP($A443,'CDS-C'!$A:$L,3,FALSE))),"")</f>
        <v/>
      </c>
      <c r="D443" t="inlineStr">
        <is>
          <t>First-Time, First-Year Admission</t>
        </is>
      </c>
      <c r="E443" t="inlineStr">
        <is>
          <t>First-time, first-year Profile</t>
        </is>
      </c>
      <c r="F443" t="inlineStr">
        <is>
          <t>Test Scores</t>
        </is>
      </c>
      <c r="G443" t="inlineStr">
        <is>
          <t>Undergraduates</t>
        </is>
      </c>
      <c r="H443" t="inlineStr">
        <is>
          <t>First-time, first-year</t>
        </is>
      </c>
      <c r="I443" t="inlineStr">
        <is>
          <t>All</t>
        </is>
      </c>
      <c r="J443" t="inlineStr">
        <is>
          <t>All</t>
        </is>
      </c>
      <c r="K443" t="inlineStr">
        <is>
          <t>All</t>
        </is>
      </c>
      <c r="L443" t="inlineStr">
        <is>
          <t>Whole Number or Round to Nearest Tenths</t>
        </is>
      </c>
    </row>
    <row r="444">
      <c r="A444" t="inlineStr">
        <is>
          <t>C943</t>
        </is>
      </c>
      <c r="B444" t="inlineStr">
        <is>
          <t>ACT English: 12-17</t>
        </is>
      </c>
      <c r="C444">
        <f>IFERROR(IF(VLOOKUP($A444,'CDS-C'!$A:$L,3,FALSE)="","",(VLOOKUP($A444,'CDS-C'!$A:$L,3,FALSE))),"")</f>
        <v/>
      </c>
      <c r="D444" t="inlineStr">
        <is>
          <t>First-Time, First-Year Admission</t>
        </is>
      </c>
      <c r="E444" t="inlineStr">
        <is>
          <t>First-time, first-year Profile</t>
        </is>
      </c>
      <c r="F444" t="inlineStr">
        <is>
          <t>Test Scores</t>
        </is>
      </c>
      <c r="G444" t="inlineStr">
        <is>
          <t>Undergraduates</t>
        </is>
      </c>
      <c r="H444" t="inlineStr">
        <is>
          <t>First-time, first-year</t>
        </is>
      </c>
      <c r="I444" t="inlineStr">
        <is>
          <t>All</t>
        </is>
      </c>
      <c r="J444" t="inlineStr">
        <is>
          <t>All</t>
        </is>
      </c>
      <c r="K444" t="inlineStr">
        <is>
          <t>All</t>
        </is>
      </c>
      <c r="L444" t="inlineStr">
        <is>
          <t>Whole Number or Round to Nearest Tenths</t>
        </is>
      </c>
    </row>
    <row r="445">
      <c r="A445" t="inlineStr">
        <is>
          <t>C944</t>
        </is>
      </c>
      <c r="B445" t="inlineStr">
        <is>
          <t>ACT English: 6-11</t>
        </is>
      </c>
      <c r="C445">
        <f>IFERROR(IF(VLOOKUP($A445,'CDS-C'!$A:$L,3,FALSE)="","",(VLOOKUP($A445,'CDS-C'!$A:$L,3,FALSE))),"")</f>
        <v/>
      </c>
      <c r="D445" t="inlineStr">
        <is>
          <t>First-Time, First-Year Admission</t>
        </is>
      </c>
      <c r="E445" t="inlineStr">
        <is>
          <t>First-time, first-year Profile</t>
        </is>
      </c>
      <c r="F445" t="inlineStr">
        <is>
          <t>Test Scores</t>
        </is>
      </c>
      <c r="G445" t="inlineStr">
        <is>
          <t>Undergraduates</t>
        </is>
      </c>
      <c r="H445" t="inlineStr">
        <is>
          <t>First-time, first-year</t>
        </is>
      </c>
      <c r="I445" t="inlineStr">
        <is>
          <t>All</t>
        </is>
      </c>
      <c r="J445" t="inlineStr">
        <is>
          <t>All</t>
        </is>
      </c>
      <c r="K445" t="inlineStr">
        <is>
          <t>All</t>
        </is>
      </c>
      <c r="L445" t="inlineStr">
        <is>
          <t>Whole Number or Round to Nearest Tenths</t>
        </is>
      </c>
    </row>
    <row r="446">
      <c r="A446" t="inlineStr">
        <is>
          <t>C945</t>
        </is>
      </c>
      <c r="B446" t="inlineStr">
        <is>
          <t>ACT English: Below 6</t>
        </is>
      </c>
      <c r="C446">
        <f>IFERROR(IF(VLOOKUP($A446,'CDS-C'!$A:$L,3,FALSE)="","",(VLOOKUP($A446,'CDS-C'!$A:$L,3,FALSE))),"")</f>
        <v/>
      </c>
      <c r="D446" t="inlineStr">
        <is>
          <t>First-Time, First-Year Admission</t>
        </is>
      </c>
      <c r="E446" t="inlineStr">
        <is>
          <t>First-time, first-year Profile</t>
        </is>
      </c>
      <c r="F446" t="inlineStr">
        <is>
          <t>Test Scores</t>
        </is>
      </c>
      <c r="G446" t="inlineStr">
        <is>
          <t>Undergraduates</t>
        </is>
      </c>
      <c r="H446" t="inlineStr">
        <is>
          <t>First-time, first-year</t>
        </is>
      </c>
      <c r="I446" t="inlineStr">
        <is>
          <t>All</t>
        </is>
      </c>
      <c r="J446" t="inlineStr">
        <is>
          <t>All</t>
        </is>
      </c>
      <c r="K446" t="inlineStr">
        <is>
          <t>All</t>
        </is>
      </c>
      <c r="L446" t="inlineStr">
        <is>
          <t>Whole Number or Round to Nearest Tenths</t>
        </is>
      </c>
    </row>
    <row r="447">
      <c r="A447" t="inlineStr">
        <is>
          <t>C946</t>
        </is>
      </c>
      <c r="B447" t="inlineStr">
        <is>
          <t>ACT English: Total</t>
        </is>
      </c>
      <c r="C447">
        <f>IFERROR(IF(VLOOKUP($A447,'CDS-C'!$A:$L,3,FALSE)="","",(VLOOKUP($A447,'CDS-C'!$A:$L,3,FALSE))),"")</f>
        <v/>
      </c>
      <c r="D447" t="inlineStr">
        <is>
          <t>First-Time, First-Year Admission</t>
        </is>
      </c>
      <c r="E447" t="inlineStr">
        <is>
          <t>First-time, first-year Profile</t>
        </is>
      </c>
      <c r="F447" t="inlineStr">
        <is>
          <t>Test Scores</t>
        </is>
      </c>
      <c r="G447" t="inlineStr">
        <is>
          <t>Undergraduates</t>
        </is>
      </c>
      <c r="H447" t="inlineStr">
        <is>
          <t>First-time, first-year</t>
        </is>
      </c>
      <c r="I447" t="inlineStr">
        <is>
          <t>All</t>
        </is>
      </c>
      <c r="J447" t="inlineStr">
        <is>
          <t>All</t>
        </is>
      </c>
      <c r="K447" t="inlineStr">
        <is>
          <t>All</t>
        </is>
      </c>
      <c r="L447" t="inlineStr">
        <is>
          <t>Whole Number or Round to Nearest Tenths</t>
        </is>
      </c>
    </row>
    <row r="448">
      <c r="A448" t="inlineStr">
        <is>
          <t>C947</t>
        </is>
      </c>
      <c r="B448" t="inlineStr">
        <is>
          <t>ACT Writing: 30-36</t>
        </is>
      </c>
      <c r="C448">
        <f>IFERROR(IF(VLOOKUP($A448,'CDS-C'!$A:$L,3,FALSE)="","",(VLOOKUP($A448,'CDS-C'!$A:$L,3,FALSE))),"")</f>
        <v/>
      </c>
      <c r="D448" t="inlineStr">
        <is>
          <t>First-Time, First-Year Admission</t>
        </is>
      </c>
      <c r="E448" t="inlineStr">
        <is>
          <t>First-time, first-year Profile</t>
        </is>
      </c>
      <c r="F448" t="inlineStr">
        <is>
          <t>Test Scores</t>
        </is>
      </c>
      <c r="G448" t="inlineStr">
        <is>
          <t>Undergraduates</t>
        </is>
      </c>
      <c r="H448" t="inlineStr">
        <is>
          <t>First-time, first-year</t>
        </is>
      </c>
      <c r="I448" t="inlineStr">
        <is>
          <t>All</t>
        </is>
      </c>
      <c r="J448" t="inlineStr">
        <is>
          <t>All</t>
        </is>
      </c>
      <c r="K448" t="inlineStr">
        <is>
          <t>All</t>
        </is>
      </c>
      <c r="L448" t="inlineStr">
        <is>
          <t>Whole Number or Round to Nearest Tenths</t>
        </is>
      </c>
    </row>
    <row r="449">
      <c r="A449" t="inlineStr">
        <is>
          <t>C948</t>
        </is>
      </c>
      <c r="B449" t="inlineStr">
        <is>
          <t>ACT Writing: 24-29</t>
        </is>
      </c>
      <c r="C449">
        <f>IFERROR(IF(VLOOKUP($A449,'CDS-C'!$A:$L,3,FALSE)="","",(VLOOKUP($A449,'CDS-C'!$A:$L,3,FALSE))),"")</f>
        <v/>
      </c>
      <c r="D449" t="inlineStr">
        <is>
          <t>First-Time, First-Year Admission</t>
        </is>
      </c>
      <c r="E449" t="inlineStr">
        <is>
          <t>First-time, first-year Profile</t>
        </is>
      </c>
      <c r="F449" t="inlineStr">
        <is>
          <t>Test Scores</t>
        </is>
      </c>
      <c r="G449" t="inlineStr">
        <is>
          <t>Undergraduates</t>
        </is>
      </c>
      <c r="H449" t="inlineStr">
        <is>
          <t>First-time, first-year</t>
        </is>
      </c>
      <c r="I449" t="inlineStr">
        <is>
          <t>All</t>
        </is>
      </c>
      <c r="J449" t="inlineStr">
        <is>
          <t>All</t>
        </is>
      </c>
      <c r="K449" t="inlineStr">
        <is>
          <t>All</t>
        </is>
      </c>
      <c r="L449" t="inlineStr">
        <is>
          <t>Whole Number or Round to Nearest Tenths</t>
        </is>
      </c>
    </row>
    <row r="450">
      <c r="A450" t="inlineStr">
        <is>
          <t>C949</t>
        </is>
      </c>
      <c r="B450" t="inlineStr">
        <is>
          <t>ACT Writing: 18-23</t>
        </is>
      </c>
      <c r="C450">
        <f>IFERROR(IF(VLOOKUP($A450,'CDS-C'!$A:$L,3,FALSE)="","",(VLOOKUP($A450,'CDS-C'!$A:$L,3,FALSE))),"")</f>
        <v/>
      </c>
      <c r="D450" t="inlineStr">
        <is>
          <t>First-Time, First-Year Admission</t>
        </is>
      </c>
      <c r="E450" t="inlineStr">
        <is>
          <t>First-time, first-year Profile</t>
        </is>
      </c>
      <c r="F450" t="inlineStr">
        <is>
          <t>Test Scores</t>
        </is>
      </c>
      <c r="G450" t="inlineStr">
        <is>
          <t>Undergraduates</t>
        </is>
      </c>
      <c r="H450" t="inlineStr">
        <is>
          <t>First-time, first-year</t>
        </is>
      </c>
      <c r="I450" t="inlineStr">
        <is>
          <t>All</t>
        </is>
      </c>
      <c r="J450" t="inlineStr">
        <is>
          <t>All</t>
        </is>
      </c>
      <c r="K450" t="inlineStr">
        <is>
          <t>All</t>
        </is>
      </c>
      <c r="L450" t="inlineStr">
        <is>
          <t>Whole Number or Round to Nearest Tenths</t>
        </is>
      </c>
    </row>
    <row r="451">
      <c r="A451" t="inlineStr">
        <is>
          <t>C950</t>
        </is>
      </c>
      <c r="B451" t="inlineStr">
        <is>
          <t>ACT Writing: 12-17</t>
        </is>
      </c>
      <c r="C451">
        <f>IFERROR(IF(VLOOKUP($A451,'CDS-C'!$A:$L,3,FALSE)="","",(VLOOKUP($A451,'CDS-C'!$A:$L,3,FALSE))),"")</f>
        <v/>
      </c>
      <c r="D451" t="inlineStr">
        <is>
          <t>First-Time, First-Year Admission</t>
        </is>
      </c>
      <c r="E451" t="inlineStr">
        <is>
          <t>First-time, first-year Profile</t>
        </is>
      </c>
      <c r="F451" t="inlineStr">
        <is>
          <t>Test Scores</t>
        </is>
      </c>
      <c r="G451" t="inlineStr">
        <is>
          <t>Undergraduates</t>
        </is>
      </c>
      <c r="H451" t="inlineStr">
        <is>
          <t>First-time, first-year</t>
        </is>
      </c>
      <c r="I451" t="inlineStr">
        <is>
          <t>All</t>
        </is>
      </c>
      <c r="J451" t="inlineStr">
        <is>
          <t>All</t>
        </is>
      </c>
      <c r="K451" t="inlineStr">
        <is>
          <t>All</t>
        </is>
      </c>
      <c r="L451" t="inlineStr">
        <is>
          <t>Whole Number or Round to Nearest Tenths</t>
        </is>
      </c>
    </row>
    <row r="452">
      <c r="A452" t="inlineStr">
        <is>
          <t>C951</t>
        </is>
      </c>
      <c r="B452" t="inlineStr">
        <is>
          <t>ACT Writing: 6-11</t>
        </is>
      </c>
      <c r="C452">
        <f>IFERROR(IF(VLOOKUP($A452,'CDS-C'!$A:$L,3,FALSE)="","",(VLOOKUP($A452,'CDS-C'!$A:$L,3,FALSE))),"")</f>
        <v/>
      </c>
      <c r="D452" t="inlineStr">
        <is>
          <t>First-Time, First-Year Admission</t>
        </is>
      </c>
      <c r="E452" t="inlineStr">
        <is>
          <t>First-time, first-year Profile</t>
        </is>
      </c>
      <c r="F452" t="inlineStr">
        <is>
          <t>Test Scores</t>
        </is>
      </c>
      <c r="G452" t="inlineStr">
        <is>
          <t>Undergraduates</t>
        </is>
      </c>
      <c r="H452" t="inlineStr">
        <is>
          <t>First-time, first-year</t>
        </is>
      </c>
      <c r="I452" t="inlineStr">
        <is>
          <t>All</t>
        </is>
      </c>
      <c r="J452" t="inlineStr">
        <is>
          <t>All</t>
        </is>
      </c>
      <c r="K452" t="inlineStr">
        <is>
          <t>All</t>
        </is>
      </c>
      <c r="L452" t="inlineStr">
        <is>
          <t>Whole Number or Round to Nearest Tenths</t>
        </is>
      </c>
    </row>
    <row r="453">
      <c r="A453" t="inlineStr">
        <is>
          <t>C952</t>
        </is>
      </c>
      <c r="B453" t="inlineStr">
        <is>
          <t>ACT Writing: Below 6</t>
        </is>
      </c>
      <c r="C453">
        <f>IFERROR(IF(VLOOKUP($A453,'CDS-C'!$A:$L,3,FALSE)="","",(VLOOKUP($A453,'CDS-C'!$A:$L,3,FALSE))),"")</f>
        <v/>
      </c>
      <c r="D453" t="inlineStr">
        <is>
          <t>First-Time, First-Year Admission</t>
        </is>
      </c>
      <c r="E453" t="inlineStr">
        <is>
          <t>First-time, first-year Profile</t>
        </is>
      </c>
      <c r="F453" t="inlineStr">
        <is>
          <t>Test Scores</t>
        </is>
      </c>
      <c r="G453" t="inlineStr">
        <is>
          <t>Undergraduates</t>
        </is>
      </c>
      <c r="H453" t="inlineStr">
        <is>
          <t>First-time, first-year</t>
        </is>
      </c>
      <c r="I453" t="inlineStr">
        <is>
          <t>All</t>
        </is>
      </c>
      <c r="J453" t="inlineStr">
        <is>
          <t>All</t>
        </is>
      </c>
      <c r="K453" t="inlineStr">
        <is>
          <t>All</t>
        </is>
      </c>
      <c r="L453" t="inlineStr">
        <is>
          <t>Whole Number or Round to Nearest Tenths</t>
        </is>
      </c>
    </row>
    <row r="454">
      <c r="A454" t="inlineStr">
        <is>
          <t>C953</t>
        </is>
      </c>
      <c r="B454" t="inlineStr">
        <is>
          <t>ACT Writing: Total</t>
        </is>
      </c>
      <c r="C454">
        <f>IFERROR(IF(VLOOKUP($A454,'CDS-C'!$A:$L,3,FALSE)="","",(VLOOKUP($A454,'CDS-C'!$A:$L,3,FALSE))),"")</f>
        <v/>
      </c>
      <c r="D454" t="inlineStr">
        <is>
          <t>First-Time, First-Year Admission</t>
        </is>
      </c>
      <c r="E454" t="inlineStr">
        <is>
          <t>First-time, first-year Profile</t>
        </is>
      </c>
      <c r="F454" t="inlineStr">
        <is>
          <t>Test Scores</t>
        </is>
      </c>
      <c r="G454" t="inlineStr">
        <is>
          <t>Undergraduates</t>
        </is>
      </c>
      <c r="H454" t="inlineStr">
        <is>
          <t>First-time, first-year</t>
        </is>
      </c>
      <c r="I454" t="inlineStr">
        <is>
          <t>All</t>
        </is>
      </c>
      <c r="J454" t="inlineStr">
        <is>
          <t>All</t>
        </is>
      </c>
      <c r="K454" t="inlineStr">
        <is>
          <t>All</t>
        </is>
      </c>
      <c r="L454" t="inlineStr">
        <is>
          <t>Whole Number or Round to Nearest Tenths</t>
        </is>
      </c>
    </row>
    <row r="455">
      <c r="A455" t="inlineStr">
        <is>
          <t>C954</t>
        </is>
      </c>
      <c r="B455" t="inlineStr">
        <is>
          <t>ACT Science: 30-36</t>
        </is>
      </c>
      <c r="C455">
        <f>IFERROR(IF(VLOOKUP($A455,'CDS-C'!$A:$L,3,FALSE)="","",(VLOOKUP($A455,'CDS-C'!$A:$L,3,FALSE))),"")</f>
        <v/>
      </c>
      <c r="D455" t="inlineStr">
        <is>
          <t>First-Time, First-Year Admission</t>
        </is>
      </c>
      <c r="E455" t="inlineStr">
        <is>
          <t>First-time, first-year Profile</t>
        </is>
      </c>
      <c r="F455" t="inlineStr">
        <is>
          <t>Test Scores</t>
        </is>
      </c>
      <c r="G455" t="inlineStr">
        <is>
          <t>Undergraduates</t>
        </is>
      </c>
      <c r="H455" t="inlineStr">
        <is>
          <t>First-time, first-year</t>
        </is>
      </c>
      <c r="I455" t="inlineStr">
        <is>
          <t>All</t>
        </is>
      </c>
      <c r="J455" t="inlineStr">
        <is>
          <t>All</t>
        </is>
      </c>
      <c r="K455" t="inlineStr">
        <is>
          <t>All</t>
        </is>
      </c>
      <c r="L455" t="inlineStr">
        <is>
          <t>Whole Number or Round to Nearest Tenths</t>
        </is>
      </c>
    </row>
    <row r="456">
      <c r="A456" t="inlineStr">
        <is>
          <t>C955</t>
        </is>
      </c>
      <c r="B456" t="inlineStr">
        <is>
          <t>ACT Science: 24-29</t>
        </is>
      </c>
      <c r="C456">
        <f>IFERROR(IF(VLOOKUP($A456,'CDS-C'!$A:$L,3,FALSE)="","",(VLOOKUP($A456,'CDS-C'!$A:$L,3,FALSE))),"")</f>
        <v/>
      </c>
      <c r="D456" t="inlineStr">
        <is>
          <t>First-Time, First-Year Admission</t>
        </is>
      </c>
      <c r="E456" t="inlineStr">
        <is>
          <t>First-time, first-year Profile</t>
        </is>
      </c>
      <c r="F456" t="inlineStr">
        <is>
          <t>Test Scores</t>
        </is>
      </c>
      <c r="G456" t="inlineStr">
        <is>
          <t>Undergraduates</t>
        </is>
      </c>
      <c r="H456" t="inlineStr">
        <is>
          <t>First-time, first-year</t>
        </is>
      </c>
      <c r="I456" t="inlineStr">
        <is>
          <t>All</t>
        </is>
      </c>
      <c r="J456" t="inlineStr">
        <is>
          <t>All</t>
        </is>
      </c>
      <c r="K456" t="inlineStr">
        <is>
          <t>All</t>
        </is>
      </c>
      <c r="L456" t="inlineStr">
        <is>
          <t>Whole Number or Round to Nearest Tenths</t>
        </is>
      </c>
    </row>
    <row r="457">
      <c r="A457" t="inlineStr">
        <is>
          <t>C956</t>
        </is>
      </c>
      <c r="B457" t="inlineStr">
        <is>
          <t>ACT Science: 18-23</t>
        </is>
      </c>
      <c r="C457">
        <f>IFERROR(IF(VLOOKUP($A457,'CDS-C'!$A:$L,3,FALSE)="","",(VLOOKUP($A457,'CDS-C'!$A:$L,3,FALSE))),"")</f>
        <v/>
      </c>
      <c r="D457" t="inlineStr">
        <is>
          <t>First-Time, First-Year Admission</t>
        </is>
      </c>
      <c r="E457" t="inlineStr">
        <is>
          <t>First-time, first-year Profile</t>
        </is>
      </c>
      <c r="F457" t="inlineStr">
        <is>
          <t>Test Scores</t>
        </is>
      </c>
      <c r="G457" t="inlineStr">
        <is>
          <t>Undergraduates</t>
        </is>
      </c>
      <c r="H457" t="inlineStr">
        <is>
          <t>First-time, first-year</t>
        </is>
      </c>
      <c r="I457" t="inlineStr">
        <is>
          <t>All</t>
        </is>
      </c>
      <c r="J457" t="inlineStr">
        <is>
          <t>All</t>
        </is>
      </c>
      <c r="K457" t="inlineStr">
        <is>
          <t>All</t>
        </is>
      </c>
      <c r="L457" t="inlineStr">
        <is>
          <t>Whole Number or Round to Nearest Tenths</t>
        </is>
      </c>
    </row>
    <row r="458">
      <c r="A458" t="inlineStr">
        <is>
          <t>C957</t>
        </is>
      </c>
      <c r="B458" t="inlineStr">
        <is>
          <t>ACT Science: 12-17</t>
        </is>
      </c>
      <c r="C458">
        <f>IFERROR(IF(VLOOKUP($A458,'CDS-C'!$A:$L,3,FALSE)="","",(VLOOKUP($A458,'CDS-C'!$A:$L,3,FALSE))),"")</f>
        <v/>
      </c>
      <c r="D458" t="inlineStr">
        <is>
          <t>First-Time, First-Year Admission</t>
        </is>
      </c>
      <c r="E458" t="inlineStr">
        <is>
          <t>First-time, first-year Profile</t>
        </is>
      </c>
      <c r="F458" t="inlineStr">
        <is>
          <t>Test Scores</t>
        </is>
      </c>
      <c r="G458" t="inlineStr">
        <is>
          <t>Undergraduates</t>
        </is>
      </c>
      <c r="H458" t="inlineStr">
        <is>
          <t>First-time, first-year</t>
        </is>
      </c>
      <c r="I458" t="inlineStr">
        <is>
          <t>All</t>
        </is>
      </c>
      <c r="J458" t="inlineStr">
        <is>
          <t>All</t>
        </is>
      </c>
      <c r="K458" t="inlineStr">
        <is>
          <t>All</t>
        </is>
      </c>
      <c r="L458" t="inlineStr">
        <is>
          <t>Whole Number or Round to Nearest Tenths</t>
        </is>
      </c>
    </row>
    <row r="459">
      <c r="A459" t="inlineStr">
        <is>
          <t>C958</t>
        </is>
      </c>
      <c r="B459" t="inlineStr">
        <is>
          <t>ACT Science: 6-11</t>
        </is>
      </c>
      <c r="C459">
        <f>IFERROR(IF(VLOOKUP($A459,'CDS-C'!$A:$L,3,FALSE)="","",(VLOOKUP($A459,'CDS-C'!$A:$L,3,FALSE))),"")</f>
        <v/>
      </c>
      <c r="D459" t="inlineStr">
        <is>
          <t>First-Time, First-Year Admission</t>
        </is>
      </c>
      <c r="E459" t="inlineStr">
        <is>
          <t>First-time, first-year Profile</t>
        </is>
      </c>
      <c r="F459" t="inlineStr">
        <is>
          <t>Test Scores</t>
        </is>
      </c>
      <c r="G459" t="inlineStr">
        <is>
          <t>Undergraduates</t>
        </is>
      </c>
      <c r="H459" t="inlineStr">
        <is>
          <t>First-time, first-year</t>
        </is>
      </c>
      <c r="I459" t="inlineStr">
        <is>
          <t>All</t>
        </is>
      </c>
      <c r="J459" t="inlineStr">
        <is>
          <t>All</t>
        </is>
      </c>
      <c r="K459" t="inlineStr">
        <is>
          <t>All</t>
        </is>
      </c>
      <c r="L459" t="inlineStr">
        <is>
          <t>Whole Number or Round to Nearest Tenths</t>
        </is>
      </c>
    </row>
    <row r="460">
      <c r="A460" t="inlineStr">
        <is>
          <t>C959</t>
        </is>
      </c>
      <c r="B460" t="inlineStr">
        <is>
          <t>ACT Science: Below 6</t>
        </is>
      </c>
      <c r="C460">
        <f>IFERROR(IF(VLOOKUP($A460,'CDS-C'!$A:$L,3,FALSE)="","",(VLOOKUP($A460,'CDS-C'!$A:$L,3,FALSE))),"")</f>
        <v/>
      </c>
      <c r="D460" t="inlineStr">
        <is>
          <t>First-Time, First-Year Admission</t>
        </is>
      </c>
      <c r="E460" t="inlineStr">
        <is>
          <t>First-time, first-year Profile</t>
        </is>
      </c>
      <c r="F460" t="inlineStr">
        <is>
          <t>Test Scores</t>
        </is>
      </c>
      <c r="G460" t="inlineStr">
        <is>
          <t>Undergraduates</t>
        </is>
      </c>
      <c r="H460" t="inlineStr">
        <is>
          <t>First-time, first-year</t>
        </is>
      </c>
      <c r="I460" t="inlineStr">
        <is>
          <t>All</t>
        </is>
      </c>
      <c r="J460" t="inlineStr">
        <is>
          <t>All</t>
        </is>
      </c>
      <c r="K460" t="inlineStr">
        <is>
          <t>All</t>
        </is>
      </c>
      <c r="L460" t="inlineStr">
        <is>
          <t>Whole Number or Round to Nearest Tenths</t>
        </is>
      </c>
    </row>
    <row r="461">
      <c r="A461" t="inlineStr">
        <is>
          <t>C960</t>
        </is>
      </c>
      <c r="B461" t="inlineStr">
        <is>
          <t>ACT Science: Total</t>
        </is>
      </c>
      <c r="C461">
        <f>IFERROR(IF(VLOOKUP($A461,'CDS-C'!$A:$L,3,FALSE)="","",(VLOOKUP($A461,'CDS-C'!$A:$L,3,FALSE))),"")</f>
        <v/>
      </c>
      <c r="D461" t="inlineStr">
        <is>
          <t>First-Time, First-Year Admission</t>
        </is>
      </c>
      <c r="E461" t="inlineStr">
        <is>
          <t>First-time, first-year Profile</t>
        </is>
      </c>
      <c r="F461" t="inlineStr">
        <is>
          <t>Test Scores</t>
        </is>
      </c>
      <c r="G461" t="inlineStr">
        <is>
          <t>Undergraduates</t>
        </is>
      </c>
      <c r="H461" t="inlineStr">
        <is>
          <t>First-time, first-year</t>
        </is>
      </c>
      <c r="I461" t="inlineStr">
        <is>
          <t>All</t>
        </is>
      </c>
      <c r="J461" t="inlineStr">
        <is>
          <t>All</t>
        </is>
      </c>
      <c r="K461" t="inlineStr">
        <is>
          <t>All</t>
        </is>
      </c>
      <c r="L461" t="inlineStr">
        <is>
          <t>Whole Number or Round to Nearest Tenths</t>
        </is>
      </c>
    </row>
    <row r="462">
      <c r="A462" t="inlineStr">
        <is>
          <t>C961</t>
        </is>
      </c>
      <c r="B462" t="inlineStr">
        <is>
          <t>ACT Reading: 30-36</t>
        </is>
      </c>
      <c r="C462">
        <f>IFERROR(IF(VLOOKUP($A462,'CDS-C'!$A:$L,3,FALSE)="","",(VLOOKUP($A462,'CDS-C'!$A:$L,3,FALSE))),"")</f>
        <v/>
      </c>
      <c r="D462" t="inlineStr">
        <is>
          <t>First-Time, First-Year Admission</t>
        </is>
      </c>
      <c r="E462" t="inlineStr">
        <is>
          <t>First-time, first-year Profile</t>
        </is>
      </c>
      <c r="F462" t="inlineStr">
        <is>
          <t>Test Scores</t>
        </is>
      </c>
      <c r="G462" t="inlineStr">
        <is>
          <t>Undergraduates</t>
        </is>
      </c>
      <c r="H462" t="inlineStr">
        <is>
          <t>First-time, first-year</t>
        </is>
      </c>
      <c r="I462" t="inlineStr">
        <is>
          <t>All</t>
        </is>
      </c>
      <c r="J462" t="inlineStr">
        <is>
          <t>All</t>
        </is>
      </c>
      <c r="K462" t="inlineStr">
        <is>
          <t>All</t>
        </is>
      </c>
      <c r="L462" t="inlineStr">
        <is>
          <t>Whole Number or Round to Nearest Tenths</t>
        </is>
      </c>
    </row>
    <row r="463">
      <c r="A463" t="inlineStr">
        <is>
          <t>C962</t>
        </is>
      </c>
      <c r="B463" t="inlineStr">
        <is>
          <t>ACT Reading: 24-29</t>
        </is>
      </c>
      <c r="C463">
        <f>IFERROR(IF(VLOOKUP($A463,'CDS-C'!$A:$L,3,FALSE)="","",(VLOOKUP($A463,'CDS-C'!$A:$L,3,FALSE))),"")</f>
        <v/>
      </c>
      <c r="D463" t="inlineStr">
        <is>
          <t>First-Time, First-Year Admission</t>
        </is>
      </c>
      <c r="E463" t="inlineStr">
        <is>
          <t>First-time, first-year Profile</t>
        </is>
      </c>
      <c r="F463" t="inlineStr">
        <is>
          <t>Test Scores</t>
        </is>
      </c>
      <c r="G463" t="inlineStr">
        <is>
          <t>Undergraduates</t>
        </is>
      </c>
      <c r="H463" t="inlineStr">
        <is>
          <t>First-time, first-year</t>
        </is>
      </c>
      <c r="I463" t="inlineStr">
        <is>
          <t>All</t>
        </is>
      </c>
      <c r="J463" t="inlineStr">
        <is>
          <t>All</t>
        </is>
      </c>
      <c r="K463" t="inlineStr">
        <is>
          <t>All</t>
        </is>
      </c>
      <c r="L463" t="inlineStr">
        <is>
          <t>Whole Number or Round to Nearest Tenths</t>
        </is>
      </c>
    </row>
    <row r="464">
      <c r="A464" t="inlineStr">
        <is>
          <t>C963</t>
        </is>
      </c>
      <c r="B464" t="inlineStr">
        <is>
          <t>ACT Reading: 18-23</t>
        </is>
      </c>
      <c r="C464">
        <f>IFERROR(IF(VLOOKUP($A464,'CDS-C'!$A:$L,3,FALSE)="","",(VLOOKUP($A464,'CDS-C'!$A:$L,3,FALSE))),"")</f>
        <v/>
      </c>
      <c r="D464" t="inlineStr">
        <is>
          <t>First-Time, First-Year Admission</t>
        </is>
      </c>
      <c r="E464" t="inlineStr">
        <is>
          <t>First-time, first-year Profile</t>
        </is>
      </c>
      <c r="F464" t="inlineStr">
        <is>
          <t>Test Scores</t>
        </is>
      </c>
      <c r="G464" t="inlineStr">
        <is>
          <t>Undergraduates</t>
        </is>
      </c>
      <c r="H464" t="inlineStr">
        <is>
          <t>First-time, first-year</t>
        </is>
      </c>
      <c r="I464" t="inlineStr">
        <is>
          <t>All</t>
        </is>
      </c>
      <c r="J464" t="inlineStr">
        <is>
          <t>All</t>
        </is>
      </c>
      <c r="K464" t="inlineStr">
        <is>
          <t>All</t>
        </is>
      </c>
      <c r="L464" t="inlineStr">
        <is>
          <t>Whole Number or Round to Nearest Tenths</t>
        </is>
      </c>
    </row>
    <row r="465">
      <c r="A465" t="inlineStr">
        <is>
          <t>C964</t>
        </is>
      </c>
      <c r="B465" t="inlineStr">
        <is>
          <t>ACT Reading: 12-17</t>
        </is>
      </c>
      <c r="C465">
        <f>IFERROR(IF(VLOOKUP($A465,'CDS-C'!$A:$L,3,FALSE)="","",(VLOOKUP($A465,'CDS-C'!$A:$L,3,FALSE))),"")</f>
        <v/>
      </c>
      <c r="D465" t="inlineStr">
        <is>
          <t>First-Time, First-Year Admission</t>
        </is>
      </c>
      <c r="E465" t="inlineStr">
        <is>
          <t>First-time, first-year Profile</t>
        </is>
      </c>
      <c r="F465" t="inlineStr">
        <is>
          <t>Test Scores</t>
        </is>
      </c>
      <c r="G465" t="inlineStr">
        <is>
          <t>Undergraduates</t>
        </is>
      </c>
      <c r="H465" t="inlineStr">
        <is>
          <t>First-time, first-year</t>
        </is>
      </c>
      <c r="I465" t="inlineStr">
        <is>
          <t>All</t>
        </is>
      </c>
      <c r="J465" t="inlineStr">
        <is>
          <t>All</t>
        </is>
      </c>
      <c r="K465" t="inlineStr">
        <is>
          <t>All</t>
        </is>
      </c>
      <c r="L465" t="inlineStr">
        <is>
          <t>Whole Number or Round to Nearest Tenths</t>
        </is>
      </c>
    </row>
    <row r="466">
      <c r="A466" t="inlineStr">
        <is>
          <t>C965</t>
        </is>
      </c>
      <c r="B466" t="inlineStr">
        <is>
          <t>ACT Reading: 6-11</t>
        </is>
      </c>
      <c r="C466">
        <f>IFERROR(IF(VLOOKUP($A466,'CDS-C'!$A:$L,3,FALSE)="","",(VLOOKUP($A466,'CDS-C'!$A:$L,3,FALSE))),"")</f>
        <v/>
      </c>
      <c r="D466" t="inlineStr">
        <is>
          <t>First-Time, First-Year Admission</t>
        </is>
      </c>
      <c r="E466" t="inlineStr">
        <is>
          <t>First-time, first-year Profile</t>
        </is>
      </c>
      <c r="F466" t="inlineStr">
        <is>
          <t>Test Scores</t>
        </is>
      </c>
      <c r="G466" t="inlineStr">
        <is>
          <t>Undergraduates</t>
        </is>
      </c>
      <c r="H466" t="inlineStr">
        <is>
          <t>First-time, first-year</t>
        </is>
      </c>
      <c r="I466" t="inlineStr">
        <is>
          <t>All</t>
        </is>
      </c>
      <c r="J466" t="inlineStr">
        <is>
          <t>All</t>
        </is>
      </c>
      <c r="K466" t="inlineStr">
        <is>
          <t>All</t>
        </is>
      </c>
      <c r="L466" t="inlineStr">
        <is>
          <t>Whole Number or Round to Nearest Tenths</t>
        </is>
      </c>
    </row>
    <row r="467">
      <c r="A467" t="inlineStr">
        <is>
          <t>C966</t>
        </is>
      </c>
      <c r="B467" t="inlineStr">
        <is>
          <t>ACT Reading: Below 6</t>
        </is>
      </c>
      <c r="C467">
        <f>IFERROR(IF(VLOOKUP($A467,'CDS-C'!$A:$L,3,FALSE)="","",(VLOOKUP($A467,'CDS-C'!$A:$L,3,FALSE))),"")</f>
        <v/>
      </c>
      <c r="D467" t="inlineStr">
        <is>
          <t>First-Time, First-Year Admission</t>
        </is>
      </c>
      <c r="E467" t="inlineStr">
        <is>
          <t>First-time, first-year Profile</t>
        </is>
      </c>
      <c r="F467" t="inlineStr">
        <is>
          <t>Test Scores</t>
        </is>
      </c>
      <c r="G467" t="inlineStr">
        <is>
          <t>Undergraduates</t>
        </is>
      </c>
      <c r="H467" t="inlineStr">
        <is>
          <t>First-time, first-year</t>
        </is>
      </c>
      <c r="I467" t="inlineStr">
        <is>
          <t>All</t>
        </is>
      </c>
      <c r="J467" t="inlineStr">
        <is>
          <t>All</t>
        </is>
      </c>
      <c r="K467" t="inlineStr">
        <is>
          <t>All</t>
        </is>
      </c>
      <c r="L467" t="inlineStr">
        <is>
          <t>Whole Number or Round to Nearest Tenths</t>
        </is>
      </c>
    </row>
    <row r="468">
      <c r="A468" t="inlineStr">
        <is>
          <t>C967</t>
        </is>
      </c>
      <c r="B468" t="inlineStr">
        <is>
          <t>ACT Reading: Total</t>
        </is>
      </c>
      <c r="C468">
        <f>IFERROR(IF(VLOOKUP($A468,'CDS-C'!$A:$L,3,FALSE)="","",(VLOOKUP($A468,'CDS-C'!$A:$L,3,FALSE))),"")</f>
        <v/>
      </c>
      <c r="D468" t="inlineStr">
        <is>
          <t>First-Time, First-Year Admission</t>
        </is>
      </c>
      <c r="E468" t="inlineStr">
        <is>
          <t>First-time, first-year Profile</t>
        </is>
      </c>
      <c r="F468" t="inlineStr">
        <is>
          <t>Test Scores</t>
        </is>
      </c>
      <c r="G468" t="inlineStr">
        <is>
          <t>Undergraduates</t>
        </is>
      </c>
      <c r="H468" t="inlineStr">
        <is>
          <t>First-time, first-year</t>
        </is>
      </c>
      <c r="I468" t="inlineStr">
        <is>
          <t>All</t>
        </is>
      </c>
      <c r="J468" t="inlineStr">
        <is>
          <t>All</t>
        </is>
      </c>
      <c r="K468" t="inlineStr">
        <is>
          <t>All</t>
        </is>
      </c>
      <c r="L468" t="inlineStr">
        <is>
          <t>Whole Number or Round to Nearest Tenths</t>
        </is>
      </c>
    </row>
    <row r="469">
      <c r="A469" t="inlineStr">
        <is>
          <t>C1001</t>
        </is>
      </c>
      <c r="B469" t="inlineStr">
        <is>
          <t>Percent in top tenth of high school graduating class</t>
        </is>
      </c>
      <c r="C469">
        <f>IFERROR(IF(VLOOKUP($A469,'CDS-C'!$A:$L,3,FALSE)="","",(VLOOKUP($A469,'CDS-C'!$A:$L,3,FALSE))),"")</f>
        <v/>
      </c>
      <c r="D469" t="inlineStr">
        <is>
          <t>First-Time, First-Year Admission</t>
        </is>
      </c>
      <c r="E469" t="inlineStr">
        <is>
          <t>First-time, first-year Profile</t>
        </is>
      </c>
      <c r="F469" t="inlineStr">
        <is>
          <t>Test Scores</t>
        </is>
      </c>
      <c r="G469" t="inlineStr">
        <is>
          <t>Undergraduates</t>
        </is>
      </c>
      <c r="H469" t="inlineStr">
        <is>
          <t>First-time, first-year</t>
        </is>
      </c>
      <c r="I469" t="inlineStr">
        <is>
          <t>All</t>
        </is>
      </c>
      <c r="J469" t="inlineStr">
        <is>
          <t>All</t>
        </is>
      </c>
      <c r="K469" t="inlineStr">
        <is>
          <t>All</t>
        </is>
      </c>
      <c r="L469" t="inlineStr">
        <is>
          <t>Whole Number or Round to Nearest Tenths</t>
        </is>
      </c>
    </row>
    <row r="470">
      <c r="A470" t="inlineStr">
        <is>
          <t>C1002</t>
        </is>
      </c>
      <c r="B470" t="inlineStr">
        <is>
          <t>Percent in top quarter of high school graduating class</t>
        </is>
      </c>
      <c r="C470">
        <f>IFERROR(IF(VLOOKUP($A470,'CDS-C'!$A:$L,3,FALSE)="","",(VLOOKUP($A470,'CDS-C'!$A:$L,3,FALSE))),"")</f>
        <v/>
      </c>
      <c r="D470" t="inlineStr">
        <is>
          <t>First-Time, First-Year Admission</t>
        </is>
      </c>
      <c r="E470" t="inlineStr">
        <is>
          <t>First-time, first-year Profile</t>
        </is>
      </c>
      <c r="F470" t="inlineStr">
        <is>
          <t>Test Scores</t>
        </is>
      </c>
      <c r="G470" t="inlineStr">
        <is>
          <t>Undergraduates</t>
        </is>
      </c>
      <c r="H470" t="inlineStr">
        <is>
          <t>First-time, first-year</t>
        </is>
      </c>
      <c r="I470" t="inlineStr">
        <is>
          <t>All</t>
        </is>
      </c>
      <c r="J470" t="inlineStr">
        <is>
          <t>All</t>
        </is>
      </c>
      <c r="K470" t="inlineStr">
        <is>
          <t>All</t>
        </is>
      </c>
      <c r="L470" t="inlineStr">
        <is>
          <t>Whole Number or Round to Nearest Tenths</t>
        </is>
      </c>
    </row>
    <row r="471">
      <c r="A471" t="inlineStr">
        <is>
          <t>C1003</t>
        </is>
      </c>
      <c r="B471" t="inlineStr">
        <is>
          <t>Percent in top half of high school graduating class</t>
        </is>
      </c>
      <c r="C471">
        <f>IFERROR(IF(VLOOKUP($A471,'CDS-C'!$A:$L,3,FALSE)="","",(VLOOKUP($A471,'CDS-C'!$A:$L,3,FALSE))),"")</f>
        <v/>
      </c>
      <c r="D471" t="inlineStr">
        <is>
          <t>First-Time, First-Year Admission</t>
        </is>
      </c>
      <c r="E471" t="inlineStr">
        <is>
          <t>First-time, first-year Profile</t>
        </is>
      </c>
      <c r="F471" t="inlineStr">
        <is>
          <t>Test Scores</t>
        </is>
      </c>
      <c r="G471" t="inlineStr">
        <is>
          <t>Undergraduates</t>
        </is>
      </c>
      <c r="H471" t="inlineStr">
        <is>
          <t>First-time, first-year</t>
        </is>
      </c>
      <c r="I471" t="inlineStr">
        <is>
          <t>All</t>
        </is>
      </c>
      <c r="J471" t="inlineStr">
        <is>
          <t>All</t>
        </is>
      </c>
      <c r="K471" t="inlineStr">
        <is>
          <t>All</t>
        </is>
      </c>
      <c r="L471" t="inlineStr">
        <is>
          <t>Whole Number or Round to Nearest Tenths</t>
        </is>
      </c>
    </row>
    <row r="472">
      <c r="A472" t="inlineStr">
        <is>
          <t>C1004</t>
        </is>
      </c>
      <c r="B472" t="inlineStr">
        <is>
          <t>Percent in bottom half of high school graduating class</t>
        </is>
      </c>
      <c r="C472">
        <f>IFERROR(IF(VLOOKUP($A472,'CDS-C'!$A:$L,3,FALSE)="","",(VLOOKUP($A472,'CDS-C'!$A:$L,3,FALSE))),"")</f>
        <v/>
      </c>
      <c r="D472" t="inlineStr">
        <is>
          <t>First-Time, First-Year Admission</t>
        </is>
      </c>
      <c r="E472" t="inlineStr">
        <is>
          <t>First-time, first-year Profile</t>
        </is>
      </c>
      <c r="F472" t="inlineStr">
        <is>
          <t>Test Scores</t>
        </is>
      </c>
      <c r="G472" t="inlineStr">
        <is>
          <t>Undergraduates</t>
        </is>
      </c>
      <c r="H472" t="inlineStr">
        <is>
          <t>First-time, first-year</t>
        </is>
      </c>
      <c r="I472" t="inlineStr">
        <is>
          <t>All</t>
        </is>
      </c>
      <c r="J472" t="inlineStr">
        <is>
          <t>All</t>
        </is>
      </c>
      <c r="K472" t="inlineStr">
        <is>
          <t>All</t>
        </is>
      </c>
      <c r="L472" t="inlineStr">
        <is>
          <t>Whole Number or Round to Nearest Tenths</t>
        </is>
      </c>
    </row>
    <row r="473">
      <c r="A473" t="inlineStr">
        <is>
          <t>C1005</t>
        </is>
      </c>
      <c r="B473" t="inlineStr">
        <is>
          <t>Percent in bottom quarter of high school graduating class</t>
        </is>
      </c>
      <c r="C473">
        <f>IFERROR(IF(VLOOKUP($A473,'CDS-C'!$A:$L,3,FALSE)="","",(VLOOKUP($A473,'CDS-C'!$A:$L,3,FALSE))),"")</f>
        <v/>
      </c>
      <c r="D473" t="inlineStr">
        <is>
          <t>First-Time, First-Year Admission</t>
        </is>
      </c>
      <c r="E473" t="inlineStr">
        <is>
          <t>First-time, first-year Profile</t>
        </is>
      </c>
      <c r="F473" t="inlineStr">
        <is>
          <t>Test Scores</t>
        </is>
      </c>
      <c r="G473" t="inlineStr">
        <is>
          <t>Undergraduates</t>
        </is>
      </c>
      <c r="H473" t="inlineStr">
        <is>
          <t>First-time, first-year</t>
        </is>
      </c>
      <c r="I473" t="inlineStr">
        <is>
          <t>All</t>
        </is>
      </c>
      <c r="J473" t="inlineStr">
        <is>
          <t>All</t>
        </is>
      </c>
      <c r="K473" t="inlineStr">
        <is>
          <t>All</t>
        </is>
      </c>
      <c r="L473" t="inlineStr">
        <is>
          <t>Whole Number or Round to Nearest Tenths</t>
        </is>
      </c>
    </row>
    <row r="474">
      <c r="A474" t="inlineStr">
        <is>
          <t>C1006</t>
        </is>
      </c>
      <c r="B474" t="inlineStr">
        <is>
          <t>Percent of total first-time, first-year students who submitted high school class rank:</t>
        </is>
      </c>
      <c r="C474">
        <f>IFERROR(IF(VLOOKUP($A474,'CDS-C'!$A:$L,3,FALSE)="","",(VLOOKUP($A474,'CDS-C'!$A:$L,3,FALSE))),"")</f>
        <v/>
      </c>
      <c r="D474" t="inlineStr">
        <is>
          <t>First-Time, First-Year Admission</t>
        </is>
      </c>
      <c r="E474" t="inlineStr">
        <is>
          <t>First-time, first-year Profile</t>
        </is>
      </c>
      <c r="F474" t="inlineStr">
        <is>
          <t>Test Scores</t>
        </is>
      </c>
      <c r="G474" t="inlineStr">
        <is>
          <t>Undergraduates</t>
        </is>
      </c>
      <c r="H474" t="inlineStr">
        <is>
          <t>First-time, first-year</t>
        </is>
      </c>
      <c r="I474" t="inlineStr">
        <is>
          <t>All</t>
        </is>
      </c>
      <c r="J474" t="inlineStr">
        <is>
          <t>All</t>
        </is>
      </c>
      <c r="K474" t="inlineStr">
        <is>
          <t>All</t>
        </is>
      </c>
      <c r="L474" t="inlineStr">
        <is>
          <t>Whole Number or Round to Nearest Tenths</t>
        </is>
      </c>
    </row>
    <row r="475">
      <c r="A475" t="inlineStr">
        <is>
          <t>C1101</t>
        </is>
      </c>
      <c r="B475" t="inlineStr">
        <is>
          <t>Percent who had GPA of 4.0</t>
        </is>
      </c>
      <c r="C475">
        <f>IFERROR(IF(VLOOKUP($A475,'CDS-C'!$A:$L,3,FALSE)="","",(VLOOKUP($A475,'CDS-C'!$A:$L,3,FALSE))),"")</f>
        <v/>
      </c>
      <c r="D475" t="inlineStr">
        <is>
          <t>First-Time, First-Year Admission</t>
        </is>
      </c>
      <c r="E475" t="inlineStr">
        <is>
          <t>First-time, first-year Profile</t>
        </is>
      </c>
      <c r="F475" t="inlineStr">
        <is>
          <t>High School GPA</t>
        </is>
      </c>
      <c r="G475" t="inlineStr">
        <is>
          <t>Undergraduates</t>
        </is>
      </c>
      <c r="H475" t="inlineStr">
        <is>
          <t>First-time, first-year</t>
        </is>
      </c>
      <c r="I475" t="inlineStr">
        <is>
          <t>All</t>
        </is>
      </c>
      <c r="J475" t="inlineStr">
        <is>
          <t>All</t>
        </is>
      </c>
      <c r="K475" t="inlineStr">
        <is>
          <t>All</t>
        </is>
      </c>
      <c r="L475" t="inlineStr">
        <is>
          <t>Whole Number or Round to Nearest Tenths</t>
        </is>
      </c>
    </row>
    <row r="476">
      <c r="A476" t="inlineStr">
        <is>
          <t>C1102</t>
        </is>
      </c>
      <c r="B476" t="inlineStr">
        <is>
          <t>Percent who had GPA between 3.75 and 3.99</t>
        </is>
      </c>
      <c r="C476">
        <f>IFERROR(IF(VLOOKUP($A476,'CDS-C'!$A:$L,3,FALSE)="","",(VLOOKUP($A476,'CDS-C'!$A:$L,3,FALSE))),"")</f>
        <v/>
      </c>
      <c r="D476" t="inlineStr">
        <is>
          <t>First-Time, First-Year Admission</t>
        </is>
      </c>
      <c r="E476" t="inlineStr">
        <is>
          <t>First-time, first-year Profile</t>
        </is>
      </c>
      <c r="F476" t="inlineStr">
        <is>
          <t>High School GPA</t>
        </is>
      </c>
      <c r="G476" t="inlineStr">
        <is>
          <t>Undergraduates</t>
        </is>
      </c>
      <c r="H476" t="inlineStr">
        <is>
          <t>First-time, first-year</t>
        </is>
      </c>
      <c r="I476" t="inlineStr">
        <is>
          <t>All</t>
        </is>
      </c>
      <c r="J476" t="inlineStr">
        <is>
          <t>All</t>
        </is>
      </c>
      <c r="K476" t="inlineStr">
        <is>
          <t>All</t>
        </is>
      </c>
      <c r="L476" t="inlineStr">
        <is>
          <t>Whole Number or Round to Nearest Tenths</t>
        </is>
      </c>
    </row>
    <row r="477">
      <c r="A477" t="inlineStr">
        <is>
          <t>C1103</t>
        </is>
      </c>
      <c r="B477" t="inlineStr">
        <is>
          <t>Percent who had GPA between 3.50 and 3.74</t>
        </is>
      </c>
      <c r="C477">
        <f>IFERROR(IF(VLOOKUP($A477,'CDS-C'!$A:$L,3,FALSE)="","",(VLOOKUP($A477,'CDS-C'!$A:$L,3,FALSE))),"")</f>
        <v/>
      </c>
      <c r="D477" t="inlineStr">
        <is>
          <t>First-Time, First-Year Admission</t>
        </is>
      </c>
      <c r="E477" t="inlineStr">
        <is>
          <t>First-time, first-year Profile</t>
        </is>
      </c>
      <c r="F477" t="inlineStr">
        <is>
          <t>High School GPA</t>
        </is>
      </c>
      <c r="G477" t="inlineStr">
        <is>
          <t>Undergraduates</t>
        </is>
      </c>
      <c r="H477" t="inlineStr">
        <is>
          <t>First-time, first-year</t>
        </is>
      </c>
      <c r="I477" t="inlineStr">
        <is>
          <t>All</t>
        </is>
      </c>
      <c r="J477" t="inlineStr">
        <is>
          <t>All</t>
        </is>
      </c>
      <c r="K477" t="inlineStr">
        <is>
          <t>All</t>
        </is>
      </c>
      <c r="L477" t="inlineStr">
        <is>
          <t>Whole Number or Round to Nearest Tenths</t>
        </is>
      </c>
    </row>
    <row r="478">
      <c r="A478" t="inlineStr">
        <is>
          <t>C1104</t>
        </is>
      </c>
      <c r="B478" t="inlineStr">
        <is>
          <t>Percent who had GPA between 3.25 and 3.49</t>
        </is>
      </c>
      <c r="C478">
        <f>IFERROR(IF(VLOOKUP($A478,'CDS-C'!$A:$L,3,FALSE)="","",(VLOOKUP($A478,'CDS-C'!$A:$L,3,FALSE))),"")</f>
        <v/>
      </c>
      <c r="D478" t="inlineStr">
        <is>
          <t>First-Time, First-Year Admission</t>
        </is>
      </c>
      <c r="E478" t="inlineStr">
        <is>
          <t>First-time, first-year Profile</t>
        </is>
      </c>
      <c r="F478" t="inlineStr">
        <is>
          <t>High School GPA</t>
        </is>
      </c>
      <c r="G478" t="inlineStr">
        <is>
          <t>Undergraduates</t>
        </is>
      </c>
      <c r="H478" t="inlineStr">
        <is>
          <t>First-time, first-year</t>
        </is>
      </c>
      <c r="I478" t="inlineStr">
        <is>
          <t>All</t>
        </is>
      </c>
      <c r="J478" t="inlineStr">
        <is>
          <t>All</t>
        </is>
      </c>
      <c r="K478" t="inlineStr">
        <is>
          <t>All</t>
        </is>
      </c>
      <c r="L478" t="inlineStr">
        <is>
          <t>Whole Number or Round to Nearest Tenths</t>
        </is>
      </c>
    </row>
    <row r="479">
      <c r="A479" t="inlineStr">
        <is>
          <t>C1105</t>
        </is>
      </c>
      <c r="B479" t="inlineStr">
        <is>
          <t>Percent who had GPA between 3.00 and 3.24</t>
        </is>
      </c>
      <c r="C479">
        <f>IFERROR(IF(VLOOKUP($A479,'CDS-C'!$A:$L,3,FALSE)="","",(VLOOKUP($A479,'CDS-C'!$A:$L,3,FALSE))),"")</f>
        <v/>
      </c>
      <c r="D479" t="inlineStr">
        <is>
          <t>First-Time, First-Year Admission</t>
        </is>
      </c>
      <c r="E479" t="inlineStr">
        <is>
          <t>First-time, first-year Profile</t>
        </is>
      </c>
      <c r="F479" t="inlineStr">
        <is>
          <t>High School GPA</t>
        </is>
      </c>
      <c r="G479" t="inlineStr">
        <is>
          <t>Undergraduates</t>
        </is>
      </c>
      <c r="H479" t="inlineStr">
        <is>
          <t>First-time, first-year</t>
        </is>
      </c>
      <c r="I479" t="inlineStr">
        <is>
          <t>All</t>
        </is>
      </c>
      <c r="J479" t="inlineStr">
        <is>
          <t>All</t>
        </is>
      </c>
      <c r="K479" t="inlineStr">
        <is>
          <t>All</t>
        </is>
      </c>
      <c r="L479" t="inlineStr">
        <is>
          <t>Whole Number or Round to Nearest Tenths</t>
        </is>
      </c>
    </row>
    <row r="480">
      <c r="A480" t="inlineStr">
        <is>
          <t>C1106</t>
        </is>
      </c>
      <c r="B480" t="inlineStr">
        <is>
          <t>Percent who had GPA between 2.50 and 2.99</t>
        </is>
      </c>
      <c r="C480">
        <f>IFERROR(IF(VLOOKUP($A480,'CDS-C'!$A:$L,3,FALSE)="","",(VLOOKUP($A480,'CDS-C'!$A:$L,3,FALSE))),"")</f>
        <v/>
      </c>
      <c r="D480" t="inlineStr">
        <is>
          <t>First-Time, First-Year Admission</t>
        </is>
      </c>
      <c r="E480" t="inlineStr">
        <is>
          <t>First-time, first-year Profile</t>
        </is>
      </c>
      <c r="F480" t="inlineStr">
        <is>
          <t>High School GPA</t>
        </is>
      </c>
      <c r="G480" t="inlineStr">
        <is>
          <t>Undergraduates</t>
        </is>
      </c>
      <c r="H480" t="inlineStr">
        <is>
          <t>First-time, first-year</t>
        </is>
      </c>
      <c r="I480" t="inlineStr">
        <is>
          <t>All</t>
        </is>
      </c>
      <c r="J480" t="inlineStr">
        <is>
          <t>All</t>
        </is>
      </c>
      <c r="K480" t="inlineStr">
        <is>
          <t>All</t>
        </is>
      </c>
      <c r="L480" t="inlineStr">
        <is>
          <t>Whole Number or Round to Nearest Tenths</t>
        </is>
      </c>
    </row>
    <row r="481">
      <c r="A481" t="inlineStr">
        <is>
          <t>C1107</t>
        </is>
      </c>
      <c r="B481" t="inlineStr">
        <is>
          <t>Percent who had GPA between 2.0 and 2.49</t>
        </is>
      </c>
      <c r="C481">
        <f>IFERROR(IF(VLOOKUP($A481,'CDS-C'!$A:$L,3,FALSE)="","",(VLOOKUP($A481,'CDS-C'!$A:$L,3,FALSE))),"")</f>
        <v/>
      </c>
      <c r="D481" t="inlineStr">
        <is>
          <t>First-Time, First-Year Admission</t>
        </is>
      </c>
      <c r="E481" t="inlineStr">
        <is>
          <t>First-time, first-year Profile</t>
        </is>
      </c>
      <c r="F481" t="inlineStr">
        <is>
          <t>High School GPA</t>
        </is>
      </c>
      <c r="G481" t="inlineStr">
        <is>
          <t>Undergraduates</t>
        </is>
      </c>
      <c r="H481" t="inlineStr">
        <is>
          <t>First-time, first-year</t>
        </is>
      </c>
      <c r="I481" t="inlineStr">
        <is>
          <t>All</t>
        </is>
      </c>
      <c r="J481" t="inlineStr">
        <is>
          <t>All</t>
        </is>
      </c>
      <c r="K481" t="inlineStr">
        <is>
          <t>All</t>
        </is>
      </c>
      <c r="L481" t="inlineStr">
        <is>
          <t>Whole Number or Round to Nearest Tenths</t>
        </is>
      </c>
    </row>
    <row r="482">
      <c r="A482" t="inlineStr">
        <is>
          <t>C1108</t>
        </is>
      </c>
      <c r="B482" t="inlineStr">
        <is>
          <t>Percent who had GPA between 1.0 and 1.99</t>
        </is>
      </c>
      <c r="C482">
        <f>IFERROR(IF(VLOOKUP($A482,'CDS-C'!$A:$L,3,FALSE)="","",(VLOOKUP($A482,'CDS-C'!$A:$L,3,FALSE))),"")</f>
        <v/>
      </c>
      <c r="D482" t="inlineStr">
        <is>
          <t>First-Time, First-Year Admission</t>
        </is>
      </c>
      <c r="E482" t="inlineStr">
        <is>
          <t>First-time, first-year Profile</t>
        </is>
      </c>
      <c r="F482" t="inlineStr">
        <is>
          <t>High School GPA</t>
        </is>
      </c>
      <c r="G482" t="inlineStr">
        <is>
          <t>Undergraduates</t>
        </is>
      </c>
      <c r="H482" t="inlineStr">
        <is>
          <t>First-time, first-year</t>
        </is>
      </c>
      <c r="I482" t="inlineStr">
        <is>
          <t>All</t>
        </is>
      </c>
      <c r="J482" t="inlineStr">
        <is>
          <t>All</t>
        </is>
      </c>
      <c r="K482" t="inlineStr">
        <is>
          <t>All</t>
        </is>
      </c>
      <c r="L482" t="inlineStr">
        <is>
          <t>Whole Number or Round to Nearest Tenths</t>
        </is>
      </c>
    </row>
    <row r="483">
      <c r="A483" t="inlineStr">
        <is>
          <t>C1109</t>
        </is>
      </c>
      <c r="B483" t="inlineStr">
        <is>
          <t>Percent who had GPA below 1.0</t>
        </is>
      </c>
      <c r="C483">
        <f>IFERROR(IF(VLOOKUP($A483,'CDS-C'!$A:$L,3,FALSE)="","",(VLOOKUP($A483,'CDS-C'!$A:$L,3,FALSE))),"")</f>
        <v/>
      </c>
      <c r="D483" t="inlineStr">
        <is>
          <t>First-Time, First-Year Admission</t>
        </is>
      </c>
      <c r="E483" t="inlineStr">
        <is>
          <t>First-time, first-year Profile</t>
        </is>
      </c>
      <c r="F483" t="inlineStr">
        <is>
          <t>High School GPA</t>
        </is>
      </c>
      <c r="G483" t="inlineStr">
        <is>
          <t>Undergraduates</t>
        </is>
      </c>
      <c r="H483" t="inlineStr">
        <is>
          <t>First-time, first-year</t>
        </is>
      </c>
      <c r="I483" t="inlineStr">
        <is>
          <t>All</t>
        </is>
      </c>
      <c r="J483" t="inlineStr">
        <is>
          <t>All</t>
        </is>
      </c>
      <c r="K483" t="inlineStr">
        <is>
          <t>All</t>
        </is>
      </c>
      <c r="L483" t="inlineStr">
        <is>
          <t>Whole Number or Round to Nearest Tenths</t>
        </is>
      </c>
    </row>
    <row r="484">
      <c r="A484" t="inlineStr">
        <is>
          <t>C1110</t>
        </is>
      </c>
      <c r="B484" t="inlineStr">
        <is>
          <t>Total</t>
        </is>
      </c>
      <c r="C484">
        <f>IFERROR(IF(VLOOKUP($A484,'CDS-C'!$A:$L,3,FALSE)="","",(VLOOKUP($A484,'CDS-C'!$A:$L,3,FALSE))),"")</f>
        <v/>
      </c>
      <c r="D484" t="inlineStr">
        <is>
          <t>First-Time, First-Year Admission</t>
        </is>
      </c>
      <c r="E484" t="inlineStr">
        <is>
          <t>First-time, first-year Profile</t>
        </is>
      </c>
      <c r="F484" t="inlineStr">
        <is>
          <t>High School GPA</t>
        </is>
      </c>
      <c r="G484" t="inlineStr">
        <is>
          <t>Undergraduates</t>
        </is>
      </c>
      <c r="H484" t="inlineStr">
        <is>
          <t>First-time, first-year</t>
        </is>
      </c>
      <c r="I484" t="inlineStr">
        <is>
          <t>All</t>
        </is>
      </c>
      <c r="J484" t="inlineStr">
        <is>
          <t>All</t>
        </is>
      </c>
      <c r="K484" t="inlineStr">
        <is>
          <t>All</t>
        </is>
      </c>
      <c r="L484" t="inlineStr">
        <is>
          <t>Whole Number or Round to Nearest Tenths</t>
        </is>
      </c>
    </row>
    <row r="485">
      <c r="A485" t="inlineStr">
        <is>
          <t>C1111</t>
        </is>
      </c>
      <c r="B485" t="inlineStr">
        <is>
          <t>Percent who had GPA of 4.0</t>
        </is>
      </c>
      <c r="C485">
        <f>IFERROR(IF(VLOOKUP($A485,'CDS-C'!$A:$L,3,FALSE)="","",(VLOOKUP($A485,'CDS-C'!$A:$L,3,FALSE))),"")</f>
        <v/>
      </c>
      <c r="D485" t="inlineStr">
        <is>
          <t>First-Time, First-Year Admission</t>
        </is>
      </c>
      <c r="E485" t="inlineStr">
        <is>
          <t>First-time, first-year Profile</t>
        </is>
      </c>
      <c r="F485" t="inlineStr">
        <is>
          <t>High School GPA</t>
        </is>
      </c>
      <c r="G485" t="inlineStr">
        <is>
          <t>Undergraduates</t>
        </is>
      </c>
      <c r="H485" t="inlineStr">
        <is>
          <t>First-time, first-year</t>
        </is>
      </c>
      <c r="I485" t="inlineStr">
        <is>
          <t>All</t>
        </is>
      </c>
      <c r="J485" t="inlineStr">
        <is>
          <t>All</t>
        </is>
      </c>
      <c r="K485" t="inlineStr">
        <is>
          <t>All</t>
        </is>
      </c>
      <c r="L485" t="inlineStr">
        <is>
          <t>Whole Number or Round to Nearest Tenths</t>
        </is>
      </c>
    </row>
    <row r="486">
      <c r="A486" t="inlineStr">
        <is>
          <t>C1112</t>
        </is>
      </c>
      <c r="B486" t="inlineStr">
        <is>
          <t>Percent who had GPA between 3.75 and 3.99</t>
        </is>
      </c>
      <c r="C486">
        <f>IFERROR(IF(VLOOKUP($A486,'CDS-C'!$A:$L,3,FALSE)="","",(VLOOKUP($A486,'CDS-C'!$A:$L,3,FALSE))),"")</f>
        <v/>
      </c>
      <c r="D486" t="inlineStr">
        <is>
          <t>First-Time, First-Year Admission</t>
        </is>
      </c>
      <c r="E486" t="inlineStr">
        <is>
          <t>First-time, first-year Profile</t>
        </is>
      </c>
      <c r="F486" t="inlineStr">
        <is>
          <t>High School GPA</t>
        </is>
      </c>
      <c r="G486" t="inlineStr">
        <is>
          <t>Undergraduates</t>
        </is>
      </c>
      <c r="H486" t="inlineStr">
        <is>
          <t>First-time, first-year</t>
        </is>
      </c>
      <c r="I486" t="inlineStr">
        <is>
          <t>All</t>
        </is>
      </c>
      <c r="J486" t="inlineStr">
        <is>
          <t>All</t>
        </is>
      </c>
      <c r="K486" t="inlineStr">
        <is>
          <t>All</t>
        </is>
      </c>
      <c r="L486" t="inlineStr">
        <is>
          <t>Whole Number or Round to Nearest Tenths</t>
        </is>
      </c>
    </row>
    <row r="487">
      <c r="A487" t="inlineStr">
        <is>
          <t>C1113</t>
        </is>
      </c>
      <c r="B487" t="inlineStr">
        <is>
          <t>Percent who had GPA between 3.50 and 3.74</t>
        </is>
      </c>
      <c r="C487">
        <f>IFERROR(IF(VLOOKUP($A487,'CDS-C'!$A:$L,3,FALSE)="","",(VLOOKUP($A487,'CDS-C'!$A:$L,3,FALSE))),"")</f>
        <v/>
      </c>
      <c r="D487" t="inlineStr">
        <is>
          <t>First-Time, First-Year Admission</t>
        </is>
      </c>
      <c r="E487" t="inlineStr">
        <is>
          <t>First-time, first-year Profile</t>
        </is>
      </c>
      <c r="F487" t="inlineStr">
        <is>
          <t>High School GPA</t>
        </is>
      </c>
      <c r="G487" t="inlineStr">
        <is>
          <t>Undergraduates</t>
        </is>
      </c>
      <c r="H487" t="inlineStr">
        <is>
          <t>First-time, first-year</t>
        </is>
      </c>
      <c r="I487" t="inlineStr">
        <is>
          <t>All</t>
        </is>
      </c>
      <c r="J487" t="inlineStr">
        <is>
          <t>All</t>
        </is>
      </c>
      <c r="K487" t="inlineStr">
        <is>
          <t>All</t>
        </is>
      </c>
      <c r="L487" t="inlineStr">
        <is>
          <t>Whole Number or Round to Nearest Tenths</t>
        </is>
      </c>
    </row>
    <row r="488">
      <c r="A488" t="inlineStr">
        <is>
          <t>C1114</t>
        </is>
      </c>
      <c r="B488" t="inlineStr">
        <is>
          <t>Percent who had GPA between 3.25 and 3.49</t>
        </is>
      </c>
      <c r="C488">
        <f>IFERROR(IF(VLOOKUP($A488,'CDS-C'!$A:$L,3,FALSE)="","",(VLOOKUP($A488,'CDS-C'!$A:$L,3,FALSE))),"")</f>
        <v/>
      </c>
      <c r="D488" t="inlineStr">
        <is>
          <t>First-Time, First-Year Admission</t>
        </is>
      </c>
      <c r="E488" t="inlineStr">
        <is>
          <t>First-time, first-year Profile</t>
        </is>
      </c>
      <c r="F488" t="inlineStr">
        <is>
          <t>High School GPA</t>
        </is>
      </c>
      <c r="G488" t="inlineStr">
        <is>
          <t>Undergraduates</t>
        </is>
      </c>
      <c r="H488" t="inlineStr">
        <is>
          <t>First-time, first-year</t>
        </is>
      </c>
      <c r="I488" t="inlineStr">
        <is>
          <t>All</t>
        </is>
      </c>
      <c r="J488" t="inlineStr">
        <is>
          <t>All</t>
        </is>
      </c>
      <c r="K488" t="inlineStr">
        <is>
          <t>All</t>
        </is>
      </c>
      <c r="L488" t="inlineStr">
        <is>
          <t>Whole Number or Round to Nearest Tenths</t>
        </is>
      </c>
    </row>
    <row r="489">
      <c r="A489" t="inlineStr">
        <is>
          <t>C1115</t>
        </is>
      </c>
      <c r="B489" t="inlineStr">
        <is>
          <t>Percent who had GPA between 3.00 and 3.24</t>
        </is>
      </c>
      <c r="C489">
        <f>IFERROR(IF(VLOOKUP($A489,'CDS-C'!$A:$L,3,FALSE)="","",(VLOOKUP($A489,'CDS-C'!$A:$L,3,FALSE))),"")</f>
        <v/>
      </c>
      <c r="D489" t="inlineStr">
        <is>
          <t>First-Time, First-Year Admission</t>
        </is>
      </c>
      <c r="E489" t="inlineStr">
        <is>
          <t>First-time, first-year Profile</t>
        </is>
      </c>
      <c r="F489" t="inlineStr">
        <is>
          <t>High School GPA</t>
        </is>
      </c>
      <c r="G489" t="inlineStr">
        <is>
          <t>Undergraduates</t>
        </is>
      </c>
      <c r="H489" t="inlineStr">
        <is>
          <t>First-time, first-year</t>
        </is>
      </c>
      <c r="I489" t="inlineStr">
        <is>
          <t>All</t>
        </is>
      </c>
      <c r="J489" t="inlineStr">
        <is>
          <t>All</t>
        </is>
      </c>
      <c r="K489" t="inlineStr">
        <is>
          <t>All</t>
        </is>
      </c>
      <c r="L489" t="inlineStr">
        <is>
          <t>Whole Number or Round to Nearest Tenths</t>
        </is>
      </c>
    </row>
    <row r="490">
      <c r="A490" t="inlineStr">
        <is>
          <t>C1116</t>
        </is>
      </c>
      <c r="B490" t="inlineStr">
        <is>
          <t>Percent who had GPA between 2.50 and 2.99</t>
        </is>
      </c>
      <c r="C490">
        <f>IFERROR(IF(VLOOKUP($A490,'CDS-C'!$A:$L,3,FALSE)="","",(VLOOKUP($A490,'CDS-C'!$A:$L,3,FALSE))),"")</f>
        <v/>
      </c>
      <c r="D490" t="inlineStr">
        <is>
          <t>First-Time, First-Year Admission</t>
        </is>
      </c>
      <c r="E490" t="inlineStr">
        <is>
          <t>First-time, first-year Profile</t>
        </is>
      </c>
      <c r="F490" t="inlineStr">
        <is>
          <t>High School GPA</t>
        </is>
      </c>
      <c r="G490" t="inlineStr">
        <is>
          <t>Undergraduates</t>
        </is>
      </c>
      <c r="H490" t="inlineStr">
        <is>
          <t>First-time, first-year</t>
        </is>
      </c>
      <c r="I490" t="inlineStr">
        <is>
          <t>All</t>
        </is>
      </c>
      <c r="J490" t="inlineStr">
        <is>
          <t>All</t>
        </is>
      </c>
      <c r="K490" t="inlineStr">
        <is>
          <t>All</t>
        </is>
      </c>
      <c r="L490" t="inlineStr">
        <is>
          <t>Whole Number or Round to Nearest Tenths</t>
        </is>
      </c>
    </row>
    <row r="491">
      <c r="A491" t="inlineStr">
        <is>
          <t>C1117</t>
        </is>
      </c>
      <c r="B491" t="inlineStr">
        <is>
          <t>Percent who had GPA between 2.0 and 2.49</t>
        </is>
      </c>
      <c r="C491">
        <f>IFERROR(IF(VLOOKUP($A491,'CDS-C'!$A:$L,3,FALSE)="","",(VLOOKUP($A491,'CDS-C'!$A:$L,3,FALSE))),"")</f>
        <v/>
      </c>
      <c r="D491" t="inlineStr">
        <is>
          <t>First-Time, First-Year Admission</t>
        </is>
      </c>
      <c r="E491" t="inlineStr">
        <is>
          <t>First-time, first-year Profile</t>
        </is>
      </c>
      <c r="F491" t="inlineStr">
        <is>
          <t>High School GPA</t>
        </is>
      </c>
      <c r="G491" t="inlineStr">
        <is>
          <t>Undergraduates</t>
        </is>
      </c>
      <c r="H491" t="inlineStr">
        <is>
          <t>First-time, first-year</t>
        </is>
      </c>
      <c r="I491" t="inlineStr">
        <is>
          <t>All</t>
        </is>
      </c>
      <c r="J491" t="inlineStr">
        <is>
          <t>All</t>
        </is>
      </c>
      <c r="K491" t="inlineStr">
        <is>
          <t>All</t>
        </is>
      </c>
      <c r="L491" t="inlineStr">
        <is>
          <t>Whole Number or Round to Nearest Tenths</t>
        </is>
      </c>
    </row>
    <row r="492">
      <c r="A492" t="inlineStr">
        <is>
          <t>C1118</t>
        </is>
      </c>
      <c r="B492" t="inlineStr">
        <is>
          <t>Percent who had GPA between 1.0 and 1.99</t>
        </is>
      </c>
      <c r="C492">
        <f>IFERROR(IF(VLOOKUP($A492,'CDS-C'!$A:$L,3,FALSE)="","",(VLOOKUP($A492,'CDS-C'!$A:$L,3,FALSE))),"")</f>
        <v/>
      </c>
      <c r="D492" t="inlineStr">
        <is>
          <t>First-Time, First-Year Admission</t>
        </is>
      </c>
      <c r="E492" t="inlineStr">
        <is>
          <t>First-time, first-year Profile</t>
        </is>
      </c>
      <c r="F492" t="inlineStr">
        <is>
          <t>High School GPA</t>
        </is>
      </c>
      <c r="G492" t="inlineStr">
        <is>
          <t>Undergraduates</t>
        </is>
      </c>
      <c r="H492" t="inlineStr">
        <is>
          <t>First-time, first-year</t>
        </is>
      </c>
      <c r="I492" t="inlineStr">
        <is>
          <t>All</t>
        </is>
      </c>
      <c r="J492" t="inlineStr">
        <is>
          <t>All</t>
        </is>
      </c>
      <c r="K492" t="inlineStr">
        <is>
          <t>All</t>
        </is>
      </c>
      <c r="L492" t="inlineStr">
        <is>
          <t>Whole Number or Round to Nearest Tenths</t>
        </is>
      </c>
    </row>
    <row r="493">
      <c r="A493" t="inlineStr">
        <is>
          <t>C1119</t>
        </is>
      </c>
      <c r="B493" t="inlineStr">
        <is>
          <t>Percent who had GPA below 1.0</t>
        </is>
      </c>
      <c r="C493">
        <f>IFERROR(IF(VLOOKUP($A493,'CDS-C'!$A:$L,3,FALSE)="","",(VLOOKUP($A493,'CDS-C'!$A:$L,3,FALSE))),"")</f>
        <v/>
      </c>
      <c r="D493" t="inlineStr">
        <is>
          <t>First-Time, First-Year Admission</t>
        </is>
      </c>
      <c r="E493" t="inlineStr">
        <is>
          <t>First-time, first-year Profile</t>
        </is>
      </c>
      <c r="F493" t="inlineStr">
        <is>
          <t>High School GPA</t>
        </is>
      </c>
      <c r="G493" t="inlineStr">
        <is>
          <t>Undergraduates</t>
        </is>
      </c>
      <c r="H493" t="inlineStr">
        <is>
          <t>First-time, first-year</t>
        </is>
      </c>
      <c r="I493" t="inlineStr">
        <is>
          <t>All</t>
        </is>
      </c>
      <c r="J493" t="inlineStr">
        <is>
          <t>All</t>
        </is>
      </c>
      <c r="K493" t="inlineStr">
        <is>
          <t>All</t>
        </is>
      </c>
      <c r="L493" t="inlineStr">
        <is>
          <t>Whole Number or Round to Nearest Tenths</t>
        </is>
      </c>
    </row>
    <row r="494">
      <c r="A494" t="inlineStr">
        <is>
          <t>C1120</t>
        </is>
      </c>
      <c r="B494" t="inlineStr">
        <is>
          <t>Total</t>
        </is>
      </c>
      <c r="C494">
        <f>IFERROR(IF(VLOOKUP($A494,'CDS-C'!$A:$L,3,FALSE)="","",(VLOOKUP($A494,'CDS-C'!$A:$L,3,FALSE))),"")</f>
        <v/>
      </c>
      <c r="D494" t="inlineStr">
        <is>
          <t>First-Time, First-Year Admission</t>
        </is>
      </c>
      <c r="E494" t="inlineStr">
        <is>
          <t>First-time, first-year Profile</t>
        </is>
      </c>
      <c r="F494" t="inlineStr">
        <is>
          <t>High School GPA</t>
        </is>
      </c>
      <c r="G494" t="inlineStr">
        <is>
          <t>Undergraduates</t>
        </is>
      </c>
      <c r="H494" t="inlineStr">
        <is>
          <t>First-time, first-year</t>
        </is>
      </c>
      <c r="I494" t="inlineStr">
        <is>
          <t>All</t>
        </is>
      </c>
      <c r="J494" t="inlineStr">
        <is>
          <t>All</t>
        </is>
      </c>
      <c r="K494" t="inlineStr">
        <is>
          <t>All</t>
        </is>
      </c>
      <c r="L494" t="inlineStr">
        <is>
          <t>Whole Number or Round to Nearest Tenths</t>
        </is>
      </c>
    </row>
    <row r="495">
      <c r="A495" t="inlineStr">
        <is>
          <t>C1121</t>
        </is>
      </c>
      <c r="B495" t="inlineStr">
        <is>
          <t>Percent who had GPA of 4.0</t>
        </is>
      </c>
      <c r="C495">
        <f>IFERROR(IF(VLOOKUP($A495,'CDS-C'!$A:$L,3,FALSE)="","",(VLOOKUP($A495,'CDS-C'!$A:$L,3,FALSE))),"")</f>
        <v/>
      </c>
      <c r="D495" t="inlineStr">
        <is>
          <t>First-Time, First-Year Admission</t>
        </is>
      </c>
      <c r="E495" t="inlineStr">
        <is>
          <t>First-time, first-year Profile</t>
        </is>
      </c>
      <c r="F495" t="inlineStr">
        <is>
          <t>High School GPA</t>
        </is>
      </c>
      <c r="G495" t="inlineStr">
        <is>
          <t>Undergraduates</t>
        </is>
      </c>
      <c r="H495" t="inlineStr">
        <is>
          <t>First-time, first-year</t>
        </is>
      </c>
      <c r="I495" t="inlineStr">
        <is>
          <t>All</t>
        </is>
      </c>
      <c r="J495" t="inlineStr">
        <is>
          <t>All</t>
        </is>
      </c>
      <c r="K495" t="inlineStr">
        <is>
          <t>All</t>
        </is>
      </c>
      <c r="L495" t="inlineStr">
        <is>
          <t>Whole Number or Round to Nearest Tenths</t>
        </is>
      </c>
    </row>
    <row r="496">
      <c r="A496" t="inlineStr">
        <is>
          <t>C1122</t>
        </is>
      </c>
      <c r="B496" t="inlineStr">
        <is>
          <t>Percent who had GPA between 3.75 and 3.99</t>
        </is>
      </c>
      <c r="C496">
        <f>IFERROR(IF(VLOOKUP($A496,'CDS-C'!$A:$L,3,FALSE)="","",(VLOOKUP($A496,'CDS-C'!$A:$L,3,FALSE))),"")</f>
        <v/>
      </c>
      <c r="D496" t="inlineStr">
        <is>
          <t>First-Time, First-Year Admission</t>
        </is>
      </c>
      <c r="E496" t="inlineStr">
        <is>
          <t>First-time, first-year Profile</t>
        </is>
      </c>
      <c r="F496" t="inlineStr">
        <is>
          <t>High School GPA</t>
        </is>
      </c>
      <c r="G496" t="inlineStr">
        <is>
          <t>Undergraduates</t>
        </is>
      </c>
      <c r="H496" t="inlineStr">
        <is>
          <t>First-time, first-year</t>
        </is>
      </c>
      <c r="I496" t="inlineStr">
        <is>
          <t>All</t>
        </is>
      </c>
      <c r="J496" t="inlineStr">
        <is>
          <t>All</t>
        </is>
      </c>
      <c r="K496" t="inlineStr">
        <is>
          <t>All</t>
        </is>
      </c>
      <c r="L496" t="inlineStr">
        <is>
          <t>Whole Number or Round to Nearest Tenths</t>
        </is>
      </c>
    </row>
    <row r="497">
      <c r="A497" t="inlineStr">
        <is>
          <t>C1123</t>
        </is>
      </c>
      <c r="B497" t="inlineStr">
        <is>
          <t>Percent who had GPA between 3.50 and 3.74</t>
        </is>
      </c>
      <c r="C497">
        <f>IFERROR(IF(VLOOKUP($A497,'CDS-C'!$A:$L,3,FALSE)="","",(VLOOKUP($A497,'CDS-C'!$A:$L,3,FALSE))),"")</f>
        <v/>
      </c>
      <c r="D497" t="inlineStr">
        <is>
          <t>First-Time, First-Year Admission</t>
        </is>
      </c>
      <c r="E497" t="inlineStr">
        <is>
          <t>First-time, first-year Profile</t>
        </is>
      </c>
      <c r="F497" t="inlineStr">
        <is>
          <t>High School GPA</t>
        </is>
      </c>
      <c r="G497" t="inlineStr">
        <is>
          <t>Undergraduates</t>
        </is>
      </c>
      <c r="H497" t="inlineStr">
        <is>
          <t>First-time, first-year</t>
        </is>
      </c>
      <c r="I497" t="inlineStr">
        <is>
          <t>All</t>
        </is>
      </c>
      <c r="J497" t="inlineStr">
        <is>
          <t>All</t>
        </is>
      </c>
      <c r="K497" t="inlineStr">
        <is>
          <t>All</t>
        </is>
      </c>
      <c r="L497" t="inlineStr">
        <is>
          <t>Whole Number or Round to Nearest Tenths</t>
        </is>
      </c>
    </row>
    <row r="498">
      <c r="A498" t="inlineStr">
        <is>
          <t>C1124</t>
        </is>
      </c>
      <c r="B498" t="inlineStr">
        <is>
          <t>Percent who had GPA between 3.25 and 3.49</t>
        </is>
      </c>
      <c r="C498">
        <f>IFERROR(IF(VLOOKUP($A498,'CDS-C'!$A:$L,3,FALSE)="","",(VLOOKUP($A498,'CDS-C'!$A:$L,3,FALSE))),"")</f>
        <v/>
      </c>
      <c r="D498" t="inlineStr">
        <is>
          <t>First-Time, First-Year Admission</t>
        </is>
      </c>
      <c r="E498" t="inlineStr">
        <is>
          <t>First-time, first-year Profile</t>
        </is>
      </c>
      <c r="F498" t="inlineStr">
        <is>
          <t>High School GPA</t>
        </is>
      </c>
      <c r="G498" t="inlineStr">
        <is>
          <t>Undergraduates</t>
        </is>
      </c>
      <c r="H498" t="inlineStr">
        <is>
          <t>First-time, first-year</t>
        </is>
      </c>
      <c r="I498" t="inlineStr">
        <is>
          <t>All</t>
        </is>
      </c>
      <c r="J498" t="inlineStr">
        <is>
          <t>All</t>
        </is>
      </c>
      <c r="K498" t="inlineStr">
        <is>
          <t>All</t>
        </is>
      </c>
      <c r="L498" t="inlineStr">
        <is>
          <t>Whole Number or Round to Nearest Tenths</t>
        </is>
      </c>
    </row>
    <row r="499">
      <c r="A499" t="inlineStr">
        <is>
          <t>C1125</t>
        </is>
      </c>
      <c r="B499" t="inlineStr">
        <is>
          <t>Percent who had GPA between 3.00 and 3.24</t>
        </is>
      </c>
      <c r="C499">
        <f>IFERROR(IF(VLOOKUP($A499,'CDS-C'!$A:$L,3,FALSE)="","",(VLOOKUP($A499,'CDS-C'!$A:$L,3,FALSE))),"")</f>
        <v/>
      </c>
      <c r="D499" t="inlineStr">
        <is>
          <t>First-Time, First-Year Admission</t>
        </is>
      </c>
      <c r="E499" t="inlineStr">
        <is>
          <t>First-time, first-year Profile</t>
        </is>
      </c>
      <c r="F499" t="inlineStr">
        <is>
          <t>High School GPA</t>
        </is>
      </c>
      <c r="G499" t="inlineStr">
        <is>
          <t>Undergraduates</t>
        </is>
      </c>
      <c r="H499" t="inlineStr">
        <is>
          <t>First-time, first-year</t>
        </is>
      </c>
      <c r="I499" t="inlineStr">
        <is>
          <t>All</t>
        </is>
      </c>
      <c r="J499" t="inlineStr">
        <is>
          <t>All</t>
        </is>
      </c>
      <c r="K499" t="inlineStr">
        <is>
          <t>All</t>
        </is>
      </c>
      <c r="L499" t="inlineStr">
        <is>
          <t>Whole Number or Round to Nearest Tenths</t>
        </is>
      </c>
    </row>
    <row r="500">
      <c r="A500" t="inlineStr">
        <is>
          <t>C1126</t>
        </is>
      </c>
      <c r="B500" t="inlineStr">
        <is>
          <t>Percent who had GPA between 2.50 and 2.99</t>
        </is>
      </c>
      <c r="C500">
        <f>IFERROR(IF(VLOOKUP($A500,'CDS-C'!$A:$L,3,FALSE)="","",(VLOOKUP($A500,'CDS-C'!$A:$L,3,FALSE))),"")</f>
        <v/>
      </c>
      <c r="D500" t="inlineStr">
        <is>
          <t>First-Time, First-Year Admission</t>
        </is>
      </c>
      <c r="E500" t="inlineStr">
        <is>
          <t>First-time, first-year Profile</t>
        </is>
      </c>
      <c r="F500" t="inlineStr">
        <is>
          <t>High School GPA</t>
        </is>
      </c>
      <c r="G500" t="inlineStr">
        <is>
          <t>Undergraduates</t>
        </is>
      </c>
      <c r="H500" t="inlineStr">
        <is>
          <t>First-time, first-year</t>
        </is>
      </c>
      <c r="I500" t="inlineStr">
        <is>
          <t>All</t>
        </is>
      </c>
      <c r="J500" t="inlineStr">
        <is>
          <t>All</t>
        </is>
      </c>
      <c r="K500" t="inlineStr">
        <is>
          <t>All</t>
        </is>
      </c>
      <c r="L500" t="inlineStr">
        <is>
          <t>Whole Number or Round to Nearest Tenths</t>
        </is>
      </c>
    </row>
    <row r="501">
      <c r="A501" t="inlineStr">
        <is>
          <t>C1127</t>
        </is>
      </c>
      <c r="B501" t="inlineStr">
        <is>
          <t>Percent who had GPA between 2.0 and 2.49</t>
        </is>
      </c>
      <c r="C501">
        <f>IFERROR(IF(VLOOKUP($A501,'CDS-C'!$A:$L,3,FALSE)="","",(VLOOKUP($A501,'CDS-C'!$A:$L,3,FALSE))),"")</f>
        <v/>
      </c>
      <c r="D501" t="inlineStr">
        <is>
          <t>First-Time, First-Year Admission</t>
        </is>
      </c>
      <c r="E501" t="inlineStr">
        <is>
          <t>First-time, first-year Profile</t>
        </is>
      </c>
      <c r="F501" t="inlineStr">
        <is>
          <t>High School GPA</t>
        </is>
      </c>
      <c r="G501" t="inlineStr">
        <is>
          <t>Undergraduates</t>
        </is>
      </c>
      <c r="H501" t="inlineStr">
        <is>
          <t>First-time, first-year</t>
        </is>
      </c>
      <c r="I501" t="inlineStr">
        <is>
          <t>All</t>
        </is>
      </c>
      <c r="J501" t="inlineStr">
        <is>
          <t>All</t>
        </is>
      </c>
      <c r="K501" t="inlineStr">
        <is>
          <t>All</t>
        </is>
      </c>
      <c r="L501" t="inlineStr">
        <is>
          <t>Whole Number or Round to Nearest Tenths</t>
        </is>
      </c>
    </row>
    <row r="502">
      <c r="A502" t="inlineStr">
        <is>
          <t>C1128</t>
        </is>
      </c>
      <c r="B502" t="inlineStr">
        <is>
          <t>Percent who had GPA between 1.0 and 1.99</t>
        </is>
      </c>
      <c r="C502">
        <f>IFERROR(IF(VLOOKUP($A502,'CDS-C'!$A:$L,3,FALSE)="","",(VLOOKUP($A502,'CDS-C'!$A:$L,3,FALSE))),"")</f>
        <v/>
      </c>
      <c r="D502" t="inlineStr">
        <is>
          <t>First-Time, First-Year Admission</t>
        </is>
      </c>
      <c r="E502" t="inlineStr">
        <is>
          <t>First-time, first-year Profile</t>
        </is>
      </c>
      <c r="F502" t="inlineStr">
        <is>
          <t>High School GPA</t>
        </is>
      </c>
      <c r="G502" t="inlineStr">
        <is>
          <t>Undergraduates</t>
        </is>
      </c>
      <c r="H502" t="inlineStr">
        <is>
          <t>First-time, first-year</t>
        </is>
      </c>
      <c r="I502" t="inlineStr">
        <is>
          <t>All</t>
        </is>
      </c>
      <c r="J502" t="inlineStr">
        <is>
          <t>All</t>
        </is>
      </c>
      <c r="K502" t="inlineStr">
        <is>
          <t>All</t>
        </is>
      </c>
      <c r="L502" t="inlineStr">
        <is>
          <t>Whole Number or Round to Nearest Tenths</t>
        </is>
      </c>
    </row>
    <row r="503">
      <c r="A503" t="inlineStr">
        <is>
          <t>C1129</t>
        </is>
      </c>
      <c r="B503" t="inlineStr">
        <is>
          <t>Percent who had GPA below 1.0</t>
        </is>
      </c>
      <c r="C503">
        <f>IFERROR(IF(VLOOKUP($A503,'CDS-C'!$A:$L,3,FALSE)="","",(VLOOKUP($A503,'CDS-C'!$A:$L,3,FALSE))),"")</f>
        <v/>
      </c>
      <c r="D503" t="inlineStr">
        <is>
          <t>First-Time, First-Year Admission</t>
        </is>
      </c>
      <c r="E503" t="inlineStr">
        <is>
          <t>First-time, first-year Profile</t>
        </is>
      </c>
      <c r="F503" t="inlineStr">
        <is>
          <t>High School GPA</t>
        </is>
      </c>
      <c r="G503" t="inlineStr">
        <is>
          <t>Undergraduates</t>
        </is>
      </c>
      <c r="H503" t="inlineStr">
        <is>
          <t>First-time, first-year</t>
        </is>
      </c>
      <c r="I503" t="inlineStr">
        <is>
          <t>All</t>
        </is>
      </c>
      <c r="J503" t="inlineStr">
        <is>
          <t>All</t>
        </is>
      </c>
      <c r="K503" t="inlineStr">
        <is>
          <t>All</t>
        </is>
      </c>
      <c r="L503" t="inlineStr">
        <is>
          <t>Whole Number or Round to Nearest Tenths</t>
        </is>
      </c>
    </row>
    <row r="504">
      <c r="A504" t="inlineStr">
        <is>
          <t>C1130</t>
        </is>
      </c>
      <c r="B504" t="inlineStr">
        <is>
          <t>Total</t>
        </is>
      </c>
      <c r="C504">
        <f>IFERROR(IF(VLOOKUP($A504,'CDS-C'!$A:$L,3,FALSE)="","",(VLOOKUP($A504,'CDS-C'!$A:$L,3,FALSE))),"")</f>
        <v/>
      </c>
      <c r="D504" t="inlineStr">
        <is>
          <t>First-Time, First-Year Admission</t>
        </is>
      </c>
      <c r="E504" t="inlineStr">
        <is>
          <t>First-time, first-year Profile</t>
        </is>
      </c>
      <c r="F504" t="inlineStr">
        <is>
          <t>High School GPA</t>
        </is>
      </c>
      <c r="G504" t="inlineStr">
        <is>
          <t>Undergraduates</t>
        </is>
      </c>
      <c r="H504" t="inlineStr">
        <is>
          <t>First-time, first-year</t>
        </is>
      </c>
      <c r="I504" t="inlineStr">
        <is>
          <t>All</t>
        </is>
      </c>
      <c r="J504" t="inlineStr">
        <is>
          <t>All</t>
        </is>
      </c>
      <c r="K504" t="inlineStr">
        <is>
          <t>All</t>
        </is>
      </c>
      <c r="L504" t="inlineStr">
        <is>
          <t>Whole Number or Round to Nearest Tenths</t>
        </is>
      </c>
    </row>
    <row r="505">
      <c r="A505" t="inlineStr">
        <is>
          <t>C1201</t>
        </is>
      </c>
      <c r="B505" t="inlineStr">
        <is>
          <t>Average high school GPA of all degree-seeking, first-time, first-year students who submitted GPA:</t>
        </is>
      </c>
      <c r="C505">
        <f>IFERROR(IF(VLOOKUP($A505,'CDS-C'!$A:$L,3,FALSE)="","",(VLOOKUP($A505,'CDS-C'!$A:$L,3,FALSE))),"")</f>
        <v/>
      </c>
      <c r="D505" t="inlineStr">
        <is>
          <t>First-Time, First-Year Admission</t>
        </is>
      </c>
      <c r="E505" t="inlineStr">
        <is>
          <t>First-time, first-year Profile</t>
        </is>
      </c>
      <c r="F505" t="inlineStr">
        <is>
          <t>High School GPA</t>
        </is>
      </c>
      <c r="G505" t="inlineStr">
        <is>
          <t>Undergraduates</t>
        </is>
      </c>
      <c r="H505" t="inlineStr">
        <is>
          <t>First-time, first-year</t>
        </is>
      </c>
      <c r="I505" t="inlineStr">
        <is>
          <t>All</t>
        </is>
      </c>
      <c r="J505" t="inlineStr">
        <is>
          <t>All</t>
        </is>
      </c>
      <c r="K505" t="inlineStr">
        <is>
          <t>All</t>
        </is>
      </c>
      <c r="L505" t="inlineStr">
        <is>
          <t>Whole Number or Round to Nearest Hundredths</t>
        </is>
      </c>
    </row>
    <row r="506">
      <c r="A506" t="inlineStr">
        <is>
          <t>C1202</t>
        </is>
      </c>
      <c r="B506" t="inlineStr">
        <is>
          <t xml:space="preserve">Percent of total first-time, first-year students who submitted high school GPA:  </t>
        </is>
      </c>
      <c r="C506">
        <f>IFERROR(IF(VLOOKUP($A506,'CDS-C'!$A:$L,3,FALSE)="","",(VLOOKUP($A506,'CDS-C'!$A:$L,3,FALSE))),"")</f>
        <v/>
      </c>
      <c r="D506" t="inlineStr">
        <is>
          <t>First-Time, First-Year Admission</t>
        </is>
      </c>
      <c r="E506" t="inlineStr">
        <is>
          <t>First-time, first-year Profile</t>
        </is>
      </c>
      <c r="F506" t="inlineStr">
        <is>
          <t>High School GPA</t>
        </is>
      </c>
      <c r="G506" t="inlineStr">
        <is>
          <t>Undergraduates</t>
        </is>
      </c>
      <c r="H506" t="inlineStr">
        <is>
          <t>First-time, first-year</t>
        </is>
      </c>
      <c r="I506" t="inlineStr">
        <is>
          <t>All</t>
        </is>
      </c>
      <c r="J506" t="inlineStr">
        <is>
          <t>All</t>
        </is>
      </c>
      <c r="K506" t="inlineStr">
        <is>
          <t>All</t>
        </is>
      </c>
      <c r="L506" t="inlineStr">
        <is>
          <t>Whole Number or Round to Nearest Tenths</t>
        </is>
      </c>
    </row>
    <row r="507">
      <c r="A507" t="inlineStr">
        <is>
          <t>C1301</t>
        </is>
      </c>
      <c r="B507" t="inlineStr">
        <is>
          <t>Does your institution have an application fee?</t>
        </is>
      </c>
      <c r="C507">
        <f>IFERROR(IF(VLOOKUP($A507,'CDS-C'!$A:$L,3,FALSE)="","",(VLOOKUP($A507,'CDS-C'!$A:$L,3,FALSE))),"")</f>
        <v/>
      </c>
      <c r="D507" t="inlineStr">
        <is>
          <t>First-Time, First-Year Admission</t>
        </is>
      </c>
      <c r="E507" t="inlineStr">
        <is>
          <t>Admission Policies</t>
        </is>
      </c>
      <c r="F507" t="inlineStr">
        <is>
          <t>Application Fee</t>
        </is>
      </c>
      <c r="G507" t="inlineStr">
        <is>
          <t>Undergraduates</t>
        </is>
      </c>
      <c r="H507" t="inlineStr">
        <is>
          <t>First-time, first-year</t>
        </is>
      </c>
      <c r="I507" t="inlineStr">
        <is>
          <t>All</t>
        </is>
      </c>
      <c r="J507" t="inlineStr">
        <is>
          <t>All</t>
        </is>
      </c>
      <c r="K507" t="inlineStr">
        <is>
          <t>All</t>
        </is>
      </c>
      <c r="L507" t="inlineStr">
        <is>
          <t>YN</t>
        </is>
      </c>
    </row>
    <row r="508">
      <c r="A508" t="inlineStr">
        <is>
          <t>C1302</t>
        </is>
      </c>
      <c r="B508" t="inlineStr">
        <is>
          <t>Amount of application fee:</t>
        </is>
      </c>
      <c r="C508">
        <f>IFERROR(IF(VLOOKUP($A508,'CDS-C'!$A:$L,3,FALSE)="","",(VLOOKUP($A508,'CDS-C'!$A:$L,3,FALSE))),"")</f>
        <v/>
      </c>
      <c r="D508" t="inlineStr">
        <is>
          <t>First-Time, First-Year Admission</t>
        </is>
      </c>
      <c r="E508" t="inlineStr">
        <is>
          <t>Admission Policies</t>
        </is>
      </c>
      <c r="F508" t="inlineStr">
        <is>
          <t>Application Fee</t>
        </is>
      </c>
      <c r="G508" t="inlineStr">
        <is>
          <t>Undergraduates</t>
        </is>
      </c>
      <c r="H508" t="inlineStr">
        <is>
          <t>First-time, first-year</t>
        </is>
      </c>
      <c r="I508" t="inlineStr">
        <is>
          <t>All</t>
        </is>
      </c>
      <c r="J508" t="inlineStr">
        <is>
          <t>All</t>
        </is>
      </c>
      <c r="K508" t="inlineStr">
        <is>
          <t>All</t>
        </is>
      </c>
      <c r="L508" t="inlineStr">
        <is>
          <t>Number</t>
        </is>
      </c>
    </row>
    <row r="509">
      <c r="A509" t="inlineStr">
        <is>
          <t>C1303</t>
        </is>
      </c>
      <c r="B509" t="inlineStr">
        <is>
          <t>Can it be waived for applicants with financial need?</t>
        </is>
      </c>
      <c r="C509">
        <f>IFERROR(IF(VLOOKUP($A509,'CDS-C'!$A:$L,3,FALSE)="","",(VLOOKUP($A509,'CDS-C'!$A:$L,3,FALSE))),"")</f>
        <v/>
      </c>
      <c r="D509" t="inlineStr">
        <is>
          <t>First-Time, First-Year Admission</t>
        </is>
      </c>
      <c r="E509" t="inlineStr">
        <is>
          <t>Admission Policies</t>
        </is>
      </c>
      <c r="F509" t="inlineStr">
        <is>
          <t>Application Fee</t>
        </is>
      </c>
      <c r="G509" t="inlineStr">
        <is>
          <t>Undergraduates</t>
        </is>
      </c>
      <c r="H509" t="inlineStr">
        <is>
          <t>First-time, first-year</t>
        </is>
      </c>
      <c r="I509" t="inlineStr">
        <is>
          <t>All</t>
        </is>
      </c>
      <c r="J509" t="inlineStr">
        <is>
          <t>All</t>
        </is>
      </c>
      <c r="K509" t="inlineStr">
        <is>
          <t>All</t>
        </is>
      </c>
      <c r="L509" t="inlineStr">
        <is>
          <t>YN</t>
        </is>
      </c>
    </row>
    <row r="510">
      <c r="A510" t="inlineStr">
        <is>
          <t>C1304</t>
        </is>
      </c>
      <c r="B510" t="inlineStr">
        <is>
          <t>Same fee</t>
        </is>
      </c>
      <c r="C510">
        <f>IFERROR(IF(VLOOKUP($A510,'CDS-C'!$A:$L,3,FALSE)="","",(VLOOKUP($A510,'CDS-C'!$A:$L,3,FALSE))),"")</f>
        <v/>
      </c>
      <c r="D510" t="inlineStr">
        <is>
          <t>First-Time, First-Year Admission</t>
        </is>
      </c>
      <c r="E510" t="inlineStr">
        <is>
          <t>Admission Policies</t>
        </is>
      </c>
      <c r="F510" t="inlineStr">
        <is>
          <t>Application Fee</t>
        </is>
      </c>
      <c r="G510" t="inlineStr">
        <is>
          <t>Undergraduates</t>
        </is>
      </c>
      <c r="H510" t="inlineStr">
        <is>
          <t>First-time, first-year</t>
        </is>
      </c>
      <c r="I510" t="inlineStr">
        <is>
          <t>All</t>
        </is>
      </c>
      <c r="J510" t="inlineStr">
        <is>
          <t>All</t>
        </is>
      </c>
      <c r="K510" t="inlineStr">
        <is>
          <t>All</t>
        </is>
      </c>
      <c r="L510" t="inlineStr">
        <is>
          <t>x</t>
        </is>
      </c>
    </row>
    <row r="511">
      <c r="A511" t="inlineStr">
        <is>
          <t>C1305</t>
        </is>
      </c>
      <c r="B511" t="inlineStr">
        <is>
          <t>Free</t>
        </is>
      </c>
      <c r="C511">
        <f>IFERROR(IF(VLOOKUP($A511,'CDS-C'!$A:$L,3,FALSE)="","",(VLOOKUP($A511,'CDS-C'!$A:$L,3,FALSE))),"")</f>
        <v/>
      </c>
      <c r="D511" t="inlineStr">
        <is>
          <t>First-Time, First-Year Admission</t>
        </is>
      </c>
      <c r="E511" t="inlineStr">
        <is>
          <t>Admission Policies</t>
        </is>
      </c>
      <c r="F511" t="inlineStr">
        <is>
          <t>Application Fee</t>
        </is>
      </c>
      <c r="G511" t="inlineStr">
        <is>
          <t>Undergraduates</t>
        </is>
      </c>
      <c r="H511" t="inlineStr">
        <is>
          <t>First-time, first-year</t>
        </is>
      </c>
      <c r="I511" t="inlineStr">
        <is>
          <t>All</t>
        </is>
      </c>
      <c r="J511" t="inlineStr">
        <is>
          <t>All</t>
        </is>
      </c>
      <c r="K511" t="inlineStr">
        <is>
          <t>All</t>
        </is>
      </c>
      <c r="L511" t="inlineStr">
        <is>
          <t>x</t>
        </is>
      </c>
    </row>
    <row r="512">
      <c r="A512" t="inlineStr">
        <is>
          <t>C1306</t>
        </is>
      </c>
      <c r="B512" t="inlineStr">
        <is>
          <t>Reduced</t>
        </is>
      </c>
      <c r="C512">
        <f>IFERROR(IF(VLOOKUP($A512,'CDS-C'!$A:$L,3,FALSE)="","",(VLOOKUP($A512,'CDS-C'!$A:$L,3,FALSE))),"")</f>
        <v/>
      </c>
      <c r="D512" t="inlineStr">
        <is>
          <t>First-Time, First-Year Admission</t>
        </is>
      </c>
      <c r="E512" t="inlineStr">
        <is>
          <t>Admission Policies</t>
        </is>
      </c>
      <c r="F512" t="inlineStr">
        <is>
          <t>Application Fee</t>
        </is>
      </c>
      <c r="G512" t="inlineStr">
        <is>
          <t>Undergraduates</t>
        </is>
      </c>
      <c r="H512" t="inlineStr">
        <is>
          <t>First-time, first-year</t>
        </is>
      </c>
      <c r="I512" t="inlineStr">
        <is>
          <t>All</t>
        </is>
      </c>
      <c r="J512" t="inlineStr">
        <is>
          <t>All</t>
        </is>
      </c>
      <c r="K512" t="inlineStr">
        <is>
          <t>All</t>
        </is>
      </c>
      <c r="L512" t="inlineStr">
        <is>
          <t>x</t>
        </is>
      </c>
    </row>
    <row r="513">
      <c r="A513" t="inlineStr">
        <is>
          <t>C1306</t>
        </is>
      </c>
      <c r="B513" t="inlineStr">
        <is>
          <t>Can on-line application fee be waived for applicants with financial need?</t>
        </is>
      </c>
      <c r="C513">
        <f>IFERROR(IF(VLOOKUP($A513,'CDS-C'!$A:$L,3,FALSE)="","",(VLOOKUP($A513,'CDS-C'!$A:$L,3,FALSE))),"")</f>
        <v/>
      </c>
      <c r="D513" t="inlineStr">
        <is>
          <t>First-Time, First-Year Admission</t>
        </is>
      </c>
      <c r="E513" t="inlineStr">
        <is>
          <t>Admission Policies</t>
        </is>
      </c>
      <c r="F513" t="inlineStr">
        <is>
          <t>Application Fee</t>
        </is>
      </c>
      <c r="G513" t="inlineStr">
        <is>
          <t>Undergraduates</t>
        </is>
      </c>
      <c r="H513" t="inlineStr">
        <is>
          <t>First-time, first-year</t>
        </is>
      </c>
      <c r="I513" t="inlineStr">
        <is>
          <t>All</t>
        </is>
      </c>
      <c r="J513" t="inlineStr">
        <is>
          <t>All</t>
        </is>
      </c>
      <c r="K513" t="inlineStr">
        <is>
          <t>All</t>
        </is>
      </c>
      <c r="L513" t="inlineStr">
        <is>
          <t>YN</t>
        </is>
      </c>
    </row>
    <row r="514">
      <c r="A514" t="inlineStr">
        <is>
          <t>C1401</t>
        </is>
      </c>
      <c r="B514" t="inlineStr">
        <is>
          <t>Does your institution have an application closing date?</t>
        </is>
      </c>
      <c r="C514">
        <f>IFERROR(IF(VLOOKUP($A514,'CDS-C'!$A:$L,3,FALSE)="","",(VLOOKUP($A514,'CDS-C'!$A:$L,3,FALSE))),"")</f>
        <v/>
      </c>
      <c r="D514" t="inlineStr">
        <is>
          <t>First-Time, First-Year Admission</t>
        </is>
      </c>
      <c r="E514" t="inlineStr">
        <is>
          <t>Admission Policies</t>
        </is>
      </c>
      <c r="F514" t="inlineStr">
        <is>
          <t>Application Dates</t>
        </is>
      </c>
      <c r="G514" t="inlineStr">
        <is>
          <t>Undergraduates</t>
        </is>
      </c>
      <c r="H514" t="inlineStr">
        <is>
          <t>First-time, first-year</t>
        </is>
      </c>
      <c r="I514" t="inlineStr">
        <is>
          <t>All</t>
        </is>
      </c>
      <c r="J514" t="inlineStr">
        <is>
          <t>All</t>
        </is>
      </c>
      <c r="K514" t="inlineStr">
        <is>
          <t>All</t>
        </is>
      </c>
      <c r="L514" t="inlineStr">
        <is>
          <t>YN</t>
        </is>
      </c>
    </row>
    <row r="515">
      <c r="A515" t="inlineStr">
        <is>
          <t>C1402</t>
        </is>
      </c>
      <c r="B515" t="inlineStr">
        <is>
          <t>Application closing date (fall)</t>
        </is>
      </c>
      <c r="C515">
        <f>IFERROR(IF(VLOOKUP($A515,'CDS-C'!$A:$L,3,FALSE)="","",(VLOOKUP($A515,'CDS-C'!$A:$L,3,FALSE))),"")</f>
        <v/>
      </c>
      <c r="D515" t="inlineStr">
        <is>
          <t>First-Time, First-Year Admission</t>
        </is>
      </c>
      <c r="E515" t="inlineStr">
        <is>
          <t>Admission Policies</t>
        </is>
      </c>
      <c r="F515" t="inlineStr">
        <is>
          <t>Application Dates</t>
        </is>
      </c>
      <c r="G515" t="inlineStr">
        <is>
          <t>Undergraduates</t>
        </is>
      </c>
      <c r="H515" t="inlineStr">
        <is>
          <t>First-time, first-year</t>
        </is>
      </c>
      <c r="I515" t="inlineStr">
        <is>
          <t>All</t>
        </is>
      </c>
      <c r="J515" t="inlineStr">
        <is>
          <t>All</t>
        </is>
      </c>
      <c r="K515" t="inlineStr">
        <is>
          <t>All</t>
        </is>
      </c>
      <c r="L515" t="inlineStr">
        <is>
          <t>YN</t>
        </is>
      </c>
    </row>
    <row r="516">
      <c r="A516" t="inlineStr">
        <is>
          <t>C1403</t>
        </is>
      </c>
      <c r="B516" t="inlineStr">
        <is>
          <t>Priority Date</t>
        </is>
      </c>
      <c r="C516">
        <f>IFERROR(IF(VLOOKUP($A516,'CDS-C'!$A:$L,3,FALSE)="","",(VLOOKUP($A516,'CDS-C'!$A:$L,3,FALSE))),"")</f>
        <v/>
      </c>
      <c r="D516" t="inlineStr">
        <is>
          <t>First-Time, First-Year Admission</t>
        </is>
      </c>
      <c r="E516" t="inlineStr">
        <is>
          <t>Admission Policies</t>
        </is>
      </c>
      <c r="F516" t="inlineStr">
        <is>
          <t>Application Dates</t>
        </is>
      </c>
      <c r="G516" t="inlineStr">
        <is>
          <t>Undergraduates</t>
        </is>
      </c>
      <c r="H516" t="inlineStr">
        <is>
          <t>First-time, first-year</t>
        </is>
      </c>
      <c r="I516" t="inlineStr">
        <is>
          <t>All</t>
        </is>
      </c>
      <c r="J516" t="inlineStr">
        <is>
          <t>All</t>
        </is>
      </c>
      <c r="K516" t="inlineStr">
        <is>
          <t>All</t>
        </is>
      </c>
      <c r="L516" t="inlineStr">
        <is>
          <t>YN</t>
        </is>
      </c>
    </row>
    <row r="517">
      <c r="A517" t="inlineStr">
        <is>
          <t>C1501</t>
        </is>
      </c>
      <c r="B517" t="inlineStr">
        <is>
          <t>Are first-time, first-year students accepted for terms other than the fall?</t>
        </is>
      </c>
      <c r="C517">
        <f>IFERROR(IF(VLOOKUP($A517,'CDS-C'!$A:$L,3,FALSE)="","",(VLOOKUP($A517,'CDS-C'!$A:$L,3,FALSE))),"")</f>
        <v/>
      </c>
      <c r="D517" t="inlineStr">
        <is>
          <t>First-Time, First-Year Admission</t>
        </is>
      </c>
      <c r="E517" t="inlineStr">
        <is>
          <t>Admission Policies</t>
        </is>
      </c>
      <c r="F517" t="inlineStr">
        <is>
          <t>Application Dates</t>
        </is>
      </c>
      <c r="G517" t="inlineStr">
        <is>
          <t>Undergraduates</t>
        </is>
      </c>
      <c r="H517" t="inlineStr">
        <is>
          <t>First-time, first-year</t>
        </is>
      </c>
      <c r="I517" t="inlineStr">
        <is>
          <t>All</t>
        </is>
      </c>
      <c r="J517" t="inlineStr">
        <is>
          <t>All</t>
        </is>
      </c>
      <c r="K517" t="inlineStr">
        <is>
          <t>All</t>
        </is>
      </c>
      <c r="L517" t="inlineStr">
        <is>
          <t>YN</t>
        </is>
      </c>
    </row>
    <row r="518">
      <c r="A518" t="inlineStr">
        <is>
          <t>C1601</t>
        </is>
      </c>
      <c r="B518" t="inlineStr">
        <is>
          <t xml:space="preserve">Yes, on a rolling basis:  </t>
        </is>
      </c>
      <c r="C518">
        <f>IFERROR(IF(VLOOKUP($A518,'CDS-C'!$A:$L,3,FALSE)="","",(VLOOKUP($A518,'CDS-C'!$A:$L,3,FALSE))),"")</f>
        <v/>
      </c>
      <c r="D518" t="inlineStr">
        <is>
          <t>First-Time, First-Year Admission</t>
        </is>
      </c>
      <c r="E518" t="inlineStr">
        <is>
          <t>Admission Policies</t>
        </is>
      </c>
      <c r="F518" t="inlineStr">
        <is>
          <t>Application Dates</t>
        </is>
      </c>
      <c r="G518" t="inlineStr">
        <is>
          <t>Undergraduates</t>
        </is>
      </c>
      <c r="H518" t="inlineStr">
        <is>
          <t>First-time, first-year</t>
        </is>
      </c>
      <c r="I518" t="inlineStr">
        <is>
          <t>All</t>
        </is>
      </c>
      <c r="J518" t="inlineStr">
        <is>
          <t>All</t>
        </is>
      </c>
      <c r="K518" t="inlineStr">
        <is>
          <t>All</t>
        </is>
      </c>
      <c r="L518" t="inlineStr">
        <is>
          <t>x</t>
        </is>
      </c>
    </row>
    <row r="519">
      <c r="A519" t="inlineStr">
        <is>
          <t>C1602</t>
        </is>
      </c>
      <c r="B519" t="inlineStr">
        <is>
          <t>Beginning date</t>
        </is>
      </c>
      <c r="C519">
        <f>IFERROR(IF(VLOOKUP($A519,'CDS-C'!$A:$L,3,FALSE)="","",(VLOOKUP($A519,'CDS-C'!$A:$L,3,FALSE))),"")</f>
        <v/>
      </c>
      <c r="D519" t="inlineStr">
        <is>
          <t>First-Time, First-Year Admission</t>
        </is>
      </c>
      <c r="E519" t="inlineStr">
        <is>
          <t>Admission Policies</t>
        </is>
      </c>
      <c r="F519" t="inlineStr">
        <is>
          <t>Application Dates</t>
        </is>
      </c>
      <c r="G519" t="inlineStr">
        <is>
          <t>Undergraduates</t>
        </is>
      </c>
      <c r="H519" t="inlineStr">
        <is>
          <t>First-time, first-year</t>
        </is>
      </c>
      <c r="I519" t="inlineStr">
        <is>
          <t>All</t>
        </is>
      </c>
      <c r="J519" t="inlineStr">
        <is>
          <t>All</t>
        </is>
      </c>
      <c r="K519" t="inlineStr">
        <is>
          <t>All</t>
        </is>
      </c>
      <c r="L519" t="inlineStr">
        <is>
          <t>MM-DD</t>
        </is>
      </c>
    </row>
    <row r="520">
      <c r="A520" t="inlineStr">
        <is>
          <t>C1603</t>
        </is>
      </c>
      <c r="B520" t="inlineStr">
        <is>
          <t xml:space="preserve">Yes, by:  </t>
        </is>
      </c>
      <c r="C520">
        <f>IFERROR(IF(VLOOKUP($A520,'CDS-C'!$A:$L,3,FALSE)="","",(VLOOKUP($A520,'CDS-C'!$A:$L,3,FALSE))),"")</f>
        <v/>
      </c>
      <c r="D520" t="inlineStr">
        <is>
          <t>First-Time, First-Year Admission</t>
        </is>
      </c>
      <c r="E520" t="inlineStr">
        <is>
          <t>Admission Policies</t>
        </is>
      </c>
      <c r="F520" t="inlineStr">
        <is>
          <t>Application Dates</t>
        </is>
      </c>
      <c r="G520" t="inlineStr">
        <is>
          <t>Undergraduates</t>
        </is>
      </c>
      <c r="H520" t="inlineStr">
        <is>
          <t>First-time, first-year</t>
        </is>
      </c>
      <c r="I520" t="inlineStr">
        <is>
          <t>All</t>
        </is>
      </c>
      <c r="J520" t="inlineStr">
        <is>
          <t>All</t>
        </is>
      </c>
      <c r="K520" t="inlineStr">
        <is>
          <t>All</t>
        </is>
      </c>
      <c r="L520" t="inlineStr">
        <is>
          <t>x</t>
        </is>
      </c>
    </row>
    <row r="521">
      <c r="A521" t="inlineStr">
        <is>
          <t>C1604</t>
        </is>
      </c>
      <c r="B521" t="inlineStr">
        <is>
          <t>Date</t>
        </is>
      </c>
      <c r="C521">
        <f>IFERROR(IF(VLOOKUP($A521,'CDS-C'!$A:$L,3,FALSE)="","",(VLOOKUP($A521,'CDS-C'!$A:$L,3,FALSE))),"")</f>
        <v/>
      </c>
      <c r="D521" t="inlineStr">
        <is>
          <t>First-Time, First-Year Admission</t>
        </is>
      </c>
      <c r="E521" t="inlineStr">
        <is>
          <t>Admission Policies</t>
        </is>
      </c>
      <c r="F521" t="inlineStr">
        <is>
          <t>Application Dates</t>
        </is>
      </c>
      <c r="G521" t="inlineStr">
        <is>
          <t>Undergraduates</t>
        </is>
      </c>
      <c r="H521" t="inlineStr">
        <is>
          <t>First-time, first-year</t>
        </is>
      </c>
      <c r="I521" t="inlineStr">
        <is>
          <t>All</t>
        </is>
      </c>
      <c r="J521" t="inlineStr">
        <is>
          <t>All</t>
        </is>
      </c>
      <c r="K521" t="inlineStr">
        <is>
          <t>All</t>
        </is>
      </c>
      <c r="L521" t="inlineStr">
        <is>
          <t>MM-DD</t>
        </is>
      </c>
    </row>
    <row r="522">
      <c r="A522" t="inlineStr">
        <is>
          <t>C1605</t>
        </is>
      </c>
      <c r="B522" t="inlineStr">
        <is>
          <t xml:space="preserve">Yes, other:  </t>
        </is>
      </c>
      <c r="C522">
        <f>IFERROR(IF(VLOOKUP($A522,'CDS-C'!$A:$L,3,FALSE)="","",(VLOOKUP($A522,'CDS-C'!$A:$L,3,FALSE))),"")</f>
        <v/>
      </c>
      <c r="D522" t="inlineStr">
        <is>
          <t>First-Time, First-Year Admission</t>
        </is>
      </c>
      <c r="E522" t="inlineStr">
        <is>
          <t>Admission Policies</t>
        </is>
      </c>
      <c r="F522" t="inlineStr">
        <is>
          <t>Application Dates</t>
        </is>
      </c>
      <c r="G522" t="inlineStr">
        <is>
          <t>Undergraduates</t>
        </is>
      </c>
      <c r="H522" t="inlineStr">
        <is>
          <t>First-time, first-year</t>
        </is>
      </c>
      <c r="I522" t="inlineStr">
        <is>
          <t>All</t>
        </is>
      </c>
      <c r="J522" t="inlineStr">
        <is>
          <t>All</t>
        </is>
      </c>
      <c r="K522" t="inlineStr">
        <is>
          <t>All</t>
        </is>
      </c>
      <c r="L522" t="inlineStr">
        <is>
          <t>x</t>
        </is>
      </c>
    </row>
    <row r="523">
      <c r="A523" t="inlineStr">
        <is>
          <t>C1606</t>
        </is>
      </c>
      <c r="B523" t="inlineStr">
        <is>
          <t>Other Date</t>
        </is>
      </c>
      <c r="C523">
        <f>IFERROR(IF(VLOOKUP($A523,'CDS-C'!$A:$L,3,FALSE)="","",(VLOOKUP($A523,'CDS-C'!$A:$L,3,FALSE))),"")</f>
        <v/>
      </c>
      <c r="D523" t="inlineStr">
        <is>
          <t>First-Time, First-Year Admission</t>
        </is>
      </c>
      <c r="E523" t="inlineStr">
        <is>
          <t>Admission Policies</t>
        </is>
      </c>
      <c r="F523" t="inlineStr">
        <is>
          <t>Application Dates</t>
        </is>
      </c>
      <c r="G523" t="inlineStr">
        <is>
          <t>Undergraduates</t>
        </is>
      </c>
      <c r="H523" t="inlineStr">
        <is>
          <t>First-time, first-year</t>
        </is>
      </c>
      <c r="I523" t="inlineStr">
        <is>
          <t>All</t>
        </is>
      </c>
      <c r="J523" t="inlineStr">
        <is>
          <t>All</t>
        </is>
      </c>
      <c r="K523" t="inlineStr">
        <is>
          <t>All</t>
        </is>
      </c>
      <c r="L523" t="inlineStr">
        <is>
          <t>MM-DD</t>
        </is>
      </c>
    </row>
    <row r="524">
      <c r="A524" t="inlineStr">
        <is>
          <t>C1701</t>
        </is>
      </c>
      <c r="B524" t="inlineStr">
        <is>
          <t>Date</t>
        </is>
      </c>
      <c r="C524">
        <f>IFERROR(IF(VLOOKUP($A524,'CDS-C'!$A:$L,3,FALSE)="","",(VLOOKUP($A524,'CDS-C'!$A:$L,3,FALSE))),"")</f>
        <v/>
      </c>
      <c r="D524" t="inlineStr">
        <is>
          <t>First-Time, First-Year Admission</t>
        </is>
      </c>
      <c r="E524" t="inlineStr">
        <is>
          <t>Admission Policies</t>
        </is>
      </c>
      <c r="F524" t="inlineStr">
        <is>
          <t>Reply Policy</t>
        </is>
      </c>
      <c r="G524" t="inlineStr">
        <is>
          <t>Undergraduates</t>
        </is>
      </c>
      <c r="H524" t="inlineStr">
        <is>
          <t>First-time, first-year</t>
        </is>
      </c>
      <c r="I524" t="inlineStr">
        <is>
          <t>All</t>
        </is>
      </c>
      <c r="J524" t="inlineStr">
        <is>
          <t>All</t>
        </is>
      </c>
      <c r="K524" t="inlineStr">
        <is>
          <t>All</t>
        </is>
      </c>
      <c r="L524" t="inlineStr">
        <is>
          <t>MM-DD</t>
        </is>
      </c>
    </row>
    <row r="525">
      <c r="A525" t="inlineStr">
        <is>
          <t>C1702</t>
        </is>
      </c>
      <c r="B525" t="inlineStr">
        <is>
          <t>No set Date</t>
        </is>
      </c>
      <c r="C525">
        <f>IFERROR(IF(VLOOKUP($A525,'CDS-C'!$A:$L,3,FALSE)="","",(VLOOKUP($A525,'CDS-C'!$A:$L,3,FALSE))),"")</f>
        <v/>
      </c>
      <c r="D525" t="inlineStr">
        <is>
          <t>First-Time, First-Year Admission</t>
        </is>
      </c>
      <c r="E525" t="inlineStr">
        <is>
          <t>Admission Policies</t>
        </is>
      </c>
      <c r="F525" t="inlineStr">
        <is>
          <t>Reply Policy</t>
        </is>
      </c>
      <c r="G525" t="inlineStr">
        <is>
          <t>Undergraduates</t>
        </is>
      </c>
      <c r="H525" t="inlineStr">
        <is>
          <t>First-time, first-year</t>
        </is>
      </c>
      <c r="I525" t="inlineStr">
        <is>
          <t>All</t>
        </is>
      </c>
      <c r="J525" t="inlineStr">
        <is>
          <t>All</t>
        </is>
      </c>
      <c r="K525" t="inlineStr">
        <is>
          <t>All</t>
        </is>
      </c>
      <c r="L525" t="inlineStr">
        <is>
          <t>x</t>
        </is>
      </c>
    </row>
    <row r="526">
      <c r="A526" t="inlineStr">
        <is>
          <t>C1703</t>
        </is>
      </c>
      <c r="B526" t="inlineStr">
        <is>
          <t>Must reply by May 1st or within____weeks if notified after</t>
        </is>
      </c>
      <c r="C526">
        <f>IFERROR(IF(VLOOKUP($A526,'CDS-C'!$A:$L,3,FALSE)="","",(VLOOKUP($A526,'CDS-C'!$A:$L,3,FALSE))),"")</f>
        <v/>
      </c>
      <c r="D526" t="inlineStr">
        <is>
          <t>First-Time, First-Year Admission</t>
        </is>
      </c>
      <c r="E526" t="inlineStr">
        <is>
          <t>Admission Policies</t>
        </is>
      </c>
      <c r="F526" t="inlineStr">
        <is>
          <t>Reply Policy</t>
        </is>
      </c>
      <c r="G526" t="inlineStr">
        <is>
          <t>Undergraduates</t>
        </is>
      </c>
      <c r="H526" t="inlineStr">
        <is>
          <t>First-time, first-year</t>
        </is>
      </c>
      <c r="I526" t="inlineStr">
        <is>
          <t>All</t>
        </is>
      </c>
      <c r="J526" t="inlineStr">
        <is>
          <t>All</t>
        </is>
      </c>
      <c r="K526" t="inlineStr">
        <is>
          <t>All</t>
        </is>
      </c>
      <c r="L526" t="inlineStr">
        <is>
          <t>Number</t>
        </is>
      </c>
    </row>
    <row r="527">
      <c r="A527" t="inlineStr">
        <is>
          <t>C1704</t>
        </is>
      </c>
      <c r="B527" t="inlineStr">
        <is>
          <t>Other</t>
        </is>
      </c>
      <c r="C527">
        <f>IFERROR(IF(VLOOKUP($A527,'CDS-C'!$A:$L,3,FALSE)="","",(VLOOKUP($A527,'CDS-C'!$A:$L,3,FALSE))),"")</f>
        <v/>
      </c>
      <c r="D527" t="inlineStr">
        <is>
          <t>First-Time, First-Year Admission</t>
        </is>
      </c>
      <c r="E527" t="inlineStr">
        <is>
          <t>Admission Policies</t>
        </is>
      </c>
      <c r="F527" t="inlineStr">
        <is>
          <t>Reply Policy</t>
        </is>
      </c>
      <c r="G527" t="inlineStr">
        <is>
          <t>Undergraduates</t>
        </is>
      </c>
      <c r="H527" t="inlineStr">
        <is>
          <t>First-time, first-year</t>
        </is>
      </c>
      <c r="I527" t="inlineStr">
        <is>
          <t>All</t>
        </is>
      </c>
      <c r="J527" t="inlineStr">
        <is>
          <t>All</t>
        </is>
      </c>
      <c r="K527" t="inlineStr">
        <is>
          <t>All</t>
        </is>
      </c>
      <c r="L527" t="inlineStr">
        <is>
          <t>x</t>
        </is>
      </c>
    </row>
    <row r="528">
      <c r="A528" t="inlineStr">
        <is>
          <t>C1705</t>
        </is>
      </c>
      <c r="B528" t="inlineStr">
        <is>
          <t>Other Date</t>
        </is>
      </c>
      <c r="C528">
        <f>IFERROR(IF(VLOOKUP($A528,'CDS-C'!$A:$L,3,FALSE)="","",(VLOOKUP($A528,'CDS-C'!$A:$L,3,FALSE))),"")</f>
        <v/>
      </c>
      <c r="D528" t="inlineStr">
        <is>
          <t>First-Time, First-Year Admission</t>
        </is>
      </c>
      <c r="E528" t="inlineStr">
        <is>
          <t>Admission Policies</t>
        </is>
      </c>
      <c r="F528" t="inlineStr">
        <is>
          <t>Reply Policy</t>
        </is>
      </c>
      <c r="G528" t="inlineStr">
        <is>
          <t>Undergraduates</t>
        </is>
      </c>
      <c r="H528" t="inlineStr">
        <is>
          <t>First-time, first-year</t>
        </is>
      </c>
      <c r="I528" t="inlineStr">
        <is>
          <t>All</t>
        </is>
      </c>
      <c r="J528" t="inlineStr">
        <is>
          <t>All</t>
        </is>
      </c>
      <c r="K528" t="inlineStr">
        <is>
          <t>All</t>
        </is>
      </c>
      <c r="L528" t="inlineStr">
        <is>
          <t>MM-DD</t>
        </is>
      </c>
    </row>
    <row r="529">
      <c r="A529" t="inlineStr">
        <is>
          <t>C1706</t>
        </is>
      </c>
      <c r="B529" t="inlineStr">
        <is>
          <t xml:space="preserve">Deadline for housing deposit (MMDD): </t>
        </is>
      </c>
      <c r="C529">
        <f>IFERROR(IF(VLOOKUP($A529,'CDS-C'!$A:$L,3,FALSE)="","",(VLOOKUP($A529,'CDS-C'!$A:$L,3,FALSE))),"")</f>
        <v/>
      </c>
      <c r="D529" t="inlineStr">
        <is>
          <t>First-Time, First-Year Admission</t>
        </is>
      </c>
      <c r="E529" t="inlineStr">
        <is>
          <t>Admission Policies</t>
        </is>
      </c>
      <c r="F529" t="inlineStr">
        <is>
          <t>Housing Deposit</t>
        </is>
      </c>
      <c r="G529" t="inlineStr">
        <is>
          <t>Undergraduates</t>
        </is>
      </c>
      <c r="H529" t="inlineStr">
        <is>
          <t>First-time, first-year</t>
        </is>
      </c>
      <c r="I529" t="inlineStr">
        <is>
          <t>All</t>
        </is>
      </c>
      <c r="J529" t="inlineStr">
        <is>
          <t>All</t>
        </is>
      </c>
      <c r="K529" t="inlineStr">
        <is>
          <t>All</t>
        </is>
      </c>
      <c r="L529" t="inlineStr">
        <is>
          <t>MM-DD</t>
        </is>
      </c>
    </row>
    <row r="530">
      <c r="A530" t="inlineStr">
        <is>
          <t>C1707</t>
        </is>
      </c>
      <c r="B530" t="inlineStr">
        <is>
          <t>Amount of housing deposit:</t>
        </is>
      </c>
      <c r="C530">
        <f>IFERROR(IF(VLOOKUP($A530,'CDS-C'!$A:$L,3,FALSE)="","",(VLOOKUP($A530,'CDS-C'!$A:$L,3,FALSE))),"")</f>
        <v/>
      </c>
      <c r="D530" t="inlineStr">
        <is>
          <t>First-Time, First-Year Admission</t>
        </is>
      </c>
      <c r="E530" t="inlineStr">
        <is>
          <t>Admission Policies</t>
        </is>
      </c>
      <c r="F530" t="inlineStr">
        <is>
          <t>Housing Deposit</t>
        </is>
      </c>
      <c r="G530" t="inlineStr">
        <is>
          <t>Undergraduates</t>
        </is>
      </c>
      <c r="H530" t="inlineStr">
        <is>
          <t>First-time, first-year</t>
        </is>
      </c>
      <c r="I530" t="inlineStr">
        <is>
          <t>All</t>
        </is>
      </c>
      <c r="J530" t="inlineStr">
        <is>
          <t>All</t>
        </is>
      </c>
      <c r="K530" t="inlineStr">
        <is>
          <t>All</t>
        </is>
      </c>
      <c r="L530" t="inlineStr">
        <is>
          <t>Number</t>
        </is>
      </c>
    </row>
    <row r="531">
      <c r="A531" t="inlineStr">
        <is>
          <t>C1708</t>
        </is>
      </c>
      <c r="B531" t="inlineStr">
        <is>
          <t>Yes, in full</t>
        </is>
      </c>
      <c r="C531">
        <f>IFERROR(IF(VLOOKUP($A531,'CDS-C'!$A:$L,3,FALSE)="","",(VLOOKUP($A531,'CDS-C'!$A:$L,3,FALSE))),"")</f>
        <v/>
      </c>
      <c r="D531" t="inlineStr">
        <is>
          <t>First-Time, First-Year Admission</t>
        </is>
      </c>
      <c r="E531" t="inlineStr">
        <is>
          <t>Admission Policies</t>
        </is>
      </c>
      <c r="F531" t="inlineStr">
        <is>
          <t>Housing Deposit</t>
        </is>
      </c>
      <c r="G531" t="inlineStr">
        <is>
          <t>Undergraduates</t>
        </is>
      </c>
      <c r="H531" t="inlineStr">
        <is>
          <t>First-time, first-year</t>
        </is>
      </c>
      <c r="I531" t="inlineStr">
        <is>
          <t>All</t>
        </is>
      </c>
      <c r="J531" t="inlineStr">
        <is>
          <t>All</t>
        </is>
      </c>
      <c r="K531" t="inlineStr">
        <is>
          <t>All</t>
        </is>
      </c>
      <c r="L531" t="inlineStr">
        <is>
          <t>x</t>
        </is>
      </c>
    </row>
    <row r="532">
      <c r="A532" t="inlineStr">
        <is>
          <t>C1709</t>
        </is>
      </c>
      <c r="B532" t="inlineStr">
        <is>
          <t>Yes, in part</t>
        </is>
      </c>
      <c r="C532">
        <f>IFERROR(IF(VLOOKUP($A532,'CDS-C'!$A:$L,3,FALSE)="","",(VLOOKUP($A532,'CDS-C'!$A:$L,3,FALSE))),"")</f>
        <v/>
      </c>
      <c r="D532" t="inlineStr">
        <is>
          <t>First-Time, First-Year Admission</t>
        </is>
      </c>
      <c r="E532" t="inlineStr">
        <is>
          <t>Admission Policies</t>
        </is>
      </c>
      <c r="F532" t="inlineStr">
        <is>
          <t>Housing Deposit</t>
        </is>
      </c>
      <c r="G532" t="inlineStr">
        <is>
          <t>Undergraduates</t>
        </is>
      </c>
      <c r="H532" t="inlineStr">
        <is>
          <t>First-time, first-year</t>
        </is>
      </c>
      <c r="I532" t="inlineStr">
        <is>
          <t>All</t>
        </is>
      </c>
      <c r="J532" t="inlineStr">
        <is>
          <t>All</t>
        </is>
      </c>
      <c r="K532" t="inlineStr">
        <is>
          <t>All</t>
        </is>
      </c>
      <c r="L532" t="inlineStr">
        <is>
          <t>x</t>
        </is>
      </c>
    </row>
    <row r="533">
      <c r="A533" t="inlineStr">
        <is>
          <t>C1710</t>
        </is>
      </c>
      <c r="B533" t="inlineStr">
        <is>
          <t>No</t>
        </is>
      </c>
      <c r="C533">
        <f>IFERROR(IF(VLOOKUP($A533,'CDS-C'!$A:$L,3,FALSE)="","",(VLOOKUP($A533,'CDS-C'!$A:$L,3,FALSE))),"")</f>
        <v/>
      </c>
      <c r="D533" t="inlineStr">
        <is>
          <t>First-Time, First-Year Admission</t>
        </is>
      </c>
      <c r="E533" t="inlineStr">
        <is>
          <t>Admission Policies</t>
        </is>
      </c>
      <c r="F533" t="inlineStr">
        <is>
          <t>Housing Deposit</t>
        </is>
      </c>
      <c r="G533" t="inlineStr">
        <is>
          <t>Undergraduates</t>
        </is>
      </c>
      <c r="H533" t="inlineStr">
        <is>
          <t>First-time, first-year</t>
        </is>
      </c>
      <c r="I533" t="inlineStr">
        <is>
          <t>All</t>
        </is>
      </c>
      <c r="J533" t="inlineStr">
        <is>
          <t>All</t>
        </is>
      </c>
      <c r="K533" t="inlineStr">
        <is>
          <t>All</t>
        </is>
      </c>
      <c r="L533" t="inlineStr">
        <is>
          <t>x</t>
        </is>
      </c>
    </row>
    <row r="534">
      <c r="A534" t="inlineStr">
        <is>
          <t>C1801</t>
        </is>
      </c>
      <c r="B534" t="inlineStr">
        <is>
          <t>Does your institution allow students to postpone enrollment after admission?</t>
        </is>
      </c>
      <c r="C534">
        <f>IFERROR(IF(VLOOKUP($A534,'CDS-C'!$A:$L,3,FALSE)="","",(VLOOKUP($A534,'CDS-C'!$A:$L,3,FALSE))),"")</f>
        <v/>
      </c>
      <c r="D534" t="inlineStr">
        <is>
          <t>First-Time, First-Year Admission</t>
        </is>
      </c>
      <c r="E534" t="inlineStr">
        <is>
          <t>Admission Policies</t>
        </is>
      </c>
      <c r="F534" t="inlineStr">
        <is>
          <t>Housing Deposit</t>
        </is>
      </c>
      <c r="G534" t="inlineStr">
        <is>
          <t>Undergraduates</t>
        </is>
      </c>
      <c r="H534" t="inlineStr">
        <is>
          <t>First-time, first-year</t>
        </is>
      </c>
      <c r="I534" t="inlineStr">
        <is>
          <t>All</t>
        </is>
      </c>
      <c r="J534" t="inlineStr">
        <is>
          <t>All</t>
        </is>
      </c>
      <c r="K534" t="inlineStr">
        <is>
          <t>All</t>
        </is>
      </c>
      <c r="L534" t="inlineStr">
        <is>
          <t>YN</t>
        </is>
      </c>
    </row>
    <row r="535">
      <c r="A535" t="inlineStr">
        <is>
          <t>C1802</t>
        </is>
      </c>
      <c r="B535" t="inlineStr">
        <is>
          <t>If yes, maximum period of postponement:</t>
        </is>
      </c>
      <c r="C535">
        <f>IFERROR(IF(VLOOKUP($A535,'CDS-C'!$A:$L,3,FALSE)="","",(VLOOKUP($A535,'CDS-C'!$A:$L,3,FALSE))),"")</f>
        <v/>
      </c>
      <c r="D535" t="inlineStr">
        <is>
          <t>First-Time, First-Year Admission</t>
        </is>
      </c>
      <c r="E535" t="inlineStr">
        <is>
          <t>Admission Policies</t>
        </is>
      </c>
      <c r="F535" t="inlineStr">
        <is>
          <t>Housing Deposit</t>
        </is>
      </c>
      <c r="G535" t="inlineStr">
        <is>
          <t>Undergraduates</t>
        </is>
      </c>
      <c r="H535" t="inlineStr">
        <is>
          <t>First-time, first-year</t>
        </is>
      </c>
      <c r="I535" t="inlineStr">
        <is>
          <t>All</t>
        </is>
      </c>
      <c r="J535" t="inlineStr">
        <is>
          <t>All</t>
        </is>
      </c>
      <c r="K535" t="inlineStr">
        <is>
          <t>All</t>
        </is>
      </c>
      <c r="L535" t="inlineStr">
        <is>
          <t>Text</t>
        </is>
      </c>
    </row>
    <row r="536">
      <c r="A536" t="inlineStr">
        <is>
          <t>C1901</t>
        </is>
      </c>
      <c r="B536" t="inlineStr">
        <is>
          <t>Does your institution allow high school students to enroll as full-time, first-time, first-year students one year or more before high school graduation?</t>
        </is>
      </c>
      <c r="C536">
        <f>IFERROR(IF(VLOOKUP($A536,'CDS-C'!$A:$L,3,FALSE)="","",(VLOOKUP($A536,'CDS-C'!$A:$L,3,FALSE))),"")</f>
        <v/>
      </c>
      <c r="D536" t="inlineStr">
        <is>
          <t>First-Time, First-Year Admission</t>
        </is>
      </c>
      <c r="E536" t="inlineStr">
        <is>
          <t>Admission Policies</t>
        </is>
      </c>
      <c r="F536" t="inlineStr">
        <is>
          <t>Early Admission</t>
        </is>
      </c>
      <c r="G536" t="inlineStr">
        <is>
          <t>Undergraduates</t>
        </is>
      </c>
      <c r="H536" t="inlineStr">
        <is>
          <t>First-time, first-year</t>
        </is>
      </c>
      <c r="I536" t="inlineStr">
        <is>
          <t>All</t>
        </is>
      </c>
      <c r="J536" t="inlineStr">
        <is>
          <t>FT</t>
        </is>
      </c>
      <c r="K536" t="inlineStr">
        <is>
          <t>All</t>
        </is>
      </c>
      <c r="L536" t="inlineStr">
        <is>
          <t>YN</t>
        </is>
      </c>
    </row>
    <row r="537">
      <c r="A537" t="inlineStr">
        <is>
          <t>C2101</t>
        </is>
      </c>
      <c r="B537"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C537">
        <f>IFERROR(IF(VLOOKUP($A537,'CDS-C'!$A:$L,3,FALSE)="","",(VLOOKUP($A537,'CDS-C'!$A:$L,3,FALSE))),"")</f>
        <v/>
      </c>
      <c r="D537" t="inlineStr">
        <is>
          <t>First-Time, First-Year Admission</t>
        </is>
      </c>
      <c r="E537" t="inlineStr">
        <is>
          <t>Admission Policies</t>
        </is>
      </c>
      <c r="F537" t="inlineStr">
        <is>
          <t>Early Decision</t>
        </is>
      </c>
      <c r="G537" t="inlineStr">
        <is>
          <t>Undergraduates</t>
        </is>
      </c>
      <c r="H537" t="inlineStr">
        <is>
          <t>First-time, first-year</t>
        </is>
      </c>
      <c r="I537" t="inlineStr">
        <is>
          <t>All</t>
        </is>
      </c>
      <c r="J537" t="inlineStr">
        <is>
          <t>All</t>
        </is>
      </c>
      <c r="K537" t="inlineStr">
        <is>
          <t>All</t>
        </is>
      </c>
      <c r="L537" t="inlineStr">
        <is>
          <t>YN</t>
        </is>
      </c>
    </row>
    <row r="538">
      <c r="A538" t="inlineStr">
        <is>
          <t>C2102</t>
        </is>
      </c>
      <c r="B538" t="inlineStr">
        <is>
          <t>First or only early decision plan closing date</t>
        </is>
      </c>
      <c r="C538">
        <f>IFERROR(IF(VLOOKUP($A538,'CDS-C'!$A:$L,3,FALSE)="","",(VLOOKUP($A538,'CDS-C'!$A:$L,3,FALSE))),"")</f>
        <v/>
      </c>
      <c r="D538" t="inlineStr">
        <is>
          <t>First-Time, First-Year Admission</t>
        </is>
      </c>
      <c r="E538" t="inlineStr">
        <is>
          <t>Admission Policies</t>
        </is>
      </c>
      <c r="F538" t="inlineStr">
        <is>
          <t>Early Decision</t>
        </is>
      </c>
      <c r="G538" t="inlineStr">
        <is>
          <t>Undergraduates</t>
        </is>
      </c>
      <c r="H538" t="inlineStr">
        <is>
          <t>First-time, first-year</t>
        </is>
      </c>
      <c r="I538" t="inlineStr">
        <is>
          <t>All</t>
        </is>
      </c>
      <c r="J538" t="inlineStr">
        <is>
          <t>All</t>
        </is>
      </c>
      <c r="K538" t="inlineStr">
        <is>
          <t>All</t>
        </is>
      </c>
      <c r="L538" t="inlineStr">
        <is>
          <t>MM-DD</t>
        </is>
      </c>
    </row>
    <row r="539">
      <c r="A539" t="inlineStr">
        <is>
          <t>C2103</t>
        </is>
      </c>
      <c r="B539" t="inlineStr">
        <is>
          <t>First or only early decision plan notification date</t>
        </is>
      </c>
      <c r="C539">
        <f>IFERROR(IF(VLOOKUP($A539,'CDS-C'!$A:$L,3,FALSE)="","",(VLOOKUP($A539,'CDS-C'!$A:$L,3,FALSE))),"")</f>
        <v/>
      </c>
      <c r="D539" t="inlineStr">
        <is>
          <t>First-Time, First-Year Admission</t>
        </is>
      </c>
      <c r="E539" t="inlineStr">
        <is>
          <t>Admission Policies</t>
        </is>
      </c>
      <c r="F539" t="inlineStr">
        <is>
          <t>Early Decision</t>
        </is>
      </c>
      <c r="G539" t="inlineStr">
        <is>
          <t>Undergraduates</t>
        </is>
      </c>
      <c r="H539" t="inlineStr">
        <is>
          <t>First-time, first-year</t>
        </is>
      </c>
      <c r="I539" t="inlineStr">
        <is>
          <t>All</t>
        </is>
      </c>
      <c r="J539" t="inlineStr">
        <is>
          <t>All</t>
        </is>
      </c>
      <c r="K539" t="inlineStr">
        <is>
          <t>All</t>
        </is>
      </c>
      <c r="L539" t="inlineStr">
        <is>
          <t>MM-DD</t>
        </is>
      </c>
    </row>
    <row r="540">
      <c r="A540" t="inlineStr">
        <is>
          <t>C2104</t>
        </is>
      </c>
      <c r="B540" t="inlineStr">
        <is>
          <t>Other early decision plan closing date</t>
        </is>
      </c>
      <c r="C540">
        <f>IFERROR(IF(VLOOKUP($A540,'CDS-C'!$A:$L,3,FALSE)="","",(VLOOKUP($A540,'CDS-C'!$A:$L,3,FALSE))),"")</f>
        <v/>
      </c>
      <c r="D540" t="inlineStr">
        <is>
          <t>First-Time, First-Year Admission</t>
        </is>
      </c>
      <c r="E540" t="inlineStr">
        <is>
          <t>Admission Policies</t>
        </is>
      </c>
      <c r="F540" t="inlineStr">
        <is>
          <t>Early Decision</t>
        </is>
      </c>
      <c r="G540" t="inlineStr">
        <is>
          <t>Undergraduates</t>
        </is>
      </c>
      <c r="H540" t="inlineStr">
        <is>
          <t>First-time, first-year</t>
        </is>
      </c>
      <c r="I540" t="inlineStr">
        <is>
          <t>All</t>
        </is>
      </c>
      <c r="J540" t="inlineStr">
        <is>
          <t>All</t>
        </is>
      </c>
      <c r="K540" t="inlineStr">
        <is>
          <t>All</t>
        </is>
      </c>
      <c r="L540" t="inlineStr">
        <is>
          <t>MM-DD</t>
        </is>
      </c>
    </row>
    <row r="541">
      <c r="A541" t="inlineStr">
        <is>
          <t>C2105</t>
        </is>
      </c>
      <c r="B541" t="inlineStr">
        <is>
          <t>Other early decision plan notification date</t>
        </is>
      </c>
      <c r="C541">
        <f>IFERROR(IF(VLOOKUP($A541,'CDS-C'!$A:$L,3,FALSE)="","",(VLOOKUP($A541,'CDS-C'!$A:$L,3,FALSE))),"")</f>
        <v/>
      </c>
      <c r="D541" t="inlineStr">
        <is>
          <t>First-Time, First-Year Admission</t>
        </is>
      </c>
      <c r="E541" t="inlineStr">
        <is>
          <t>Admission Policies</t>
        </is>
      </c>
      <c r="F541" t="inlineStr">
        <is>
          <t>Early Decision</t>
        </is>
      </c>
      <c r="G541" t="inlineStr">
        <is>
          <t>Undergraduates</t>
        </is>
      </c>
      <c r="H541" t="inlineStr">
        <is>
          <t>First-time, first-year</t>
        </is>
      </c>
      <c r="I541" t="inlineStr">
        <is>
          <t>All</t>
        </is>
      </c>
      <c r="J541" t="inlineStr">
        <is>
          <t>All</t>
        </is>
      </c>
      <c r="K541" t="inlineStr">
        <is>
          <t>All</t>
        </is>
      </c>
      <c r="L541" t="inlineStr">
        <is>
          <t>MM-DD</t>
        </is>
      </c>
    </row>
    <row r="542">
      <c r="A542" t="inlineStr">
        <is>
          <t>C2106</t>
        </is>
      </c>
      <c r="B542" t="inlineStr">
        <is>
          <t>Number of early decision applications received by your institution</t>
        </is>
      </c>
      <c r="C542">
        <f>IFERROR(IF(VLOOKUP($A542,'CDS-C'!$A:$L,3,FALSE)="","",(VLOOKUP($A542,'CDS-C'!$A:$L,3,FALSE))),"")</f>
        <v/>
      </c>
      <c r="D542" t="inlineStr">
        <is>
          <t>First-Time, First-Year Admission</t>
        </is>
      </c>
      <c r="E542" t="inlineStr">
        <is>
          <t>Admission Policies</t>
        </is>
      </c>
      <c r="F542" t="inlineStr">
        <is>
          <t>Early Decision</t>
        </is>
      </c>
      <c r="G542" t="inlineStr">
        <is>
          <t>Undergraduates</t>
        </is>
      </c>
      <c r="H542" t="inlineStr">
        <is>
          <t>First-time, first-year</t>
        </is>
      </c>
      <c r="I542" t="inlineStr">
        <is>
          <t>All</t>
        </is>
      </c>
      <c r="J542" t="inlineStr">
        <is>
          <t>All</t>
        </is>
      </c>
      <c r="K542" t="inlineStr">
        <is>
          <t>All</t>
        </is>
      </c>
      <c r="L542" t="inlineStr">
        <is>
          <t>Number</t>
        </is>
      </c>
    </row>
    <row r="543">
      <c r="A543" t="inlineStr">
        <is>
          <t>C2106</t>
        </is>
      </c>
      <c r="B543" t="inlineStr">
        <is>
          <t>Number of applicants admitted under early decision plan</t>
        </is>
      </c>
      <c r="C543">
        <f>IFERROR(IF(VLOOKUP($A543,'CDS-C'!$A:$L,3,FALSE)="","",(VLOOKUP($A543,'CDS-C'!$A:$L,3,FALSE))),"")</f>
        <v/>
      </c>
      <c r="D543" t="inlineStr">
        <is>
          <t>First-Time, First-Year Admission</t>
        </is>
      </c>
      <c r="E543" t="inlineStr">
        <is>
          <t>Admission Policies</t>
        </is>
      </c>
      <c r="F543" t="inlineStr">
        <is>
          <t>Early Decision</t>
        </is>
      </c>
      <c r="G543" t="inlineStr">
        <is>
          <t>Undergraduates</t>
        </is>
      </c>
      <c r="H543" t="inlineStr">
        <is>
          <t>First-time, first-year</t>
        </is>
      </c>
      <c r="I543" t="inlineStr">
        <is>
          <t>All</t>
        </is>
      </c>
      <c r="J543" t="inlineStr">
        <is>
          <t>All</t>
        </is>
      </c>
      <c r="K543" t="inlineStr">
        <is>
          <t>All</t>
        </is>
      </c>
      <c r="L543" t="inlineStr">
        <is>
          <t>Number</t>
        </is>
      </c>
    </row>
    <row r="544">
      <c r="A544" t="inlineStr">
        <is>
          <t>C2107</t>
        </is>
      </c>
      <c r="B544" t="inlineStr">
        <is>
          <t xml:space="preserve">Please provide significant details about your early decision plan:  </t>
        </is>
      </c>
      <c r="C544">
        <f>IFERROR(IF(VLOOKUP($A544,'CDS-C'!$A:$L,3,FALSE)="","",(VLOOKUP($A544,'CDS-C'!$A:$L,3,FALSE))),"")</f>
        <v/>
      </c>
      <c r="D544" t="inlineStr">
        <is>
          <t>First-Time, First-Year Admission</t>
        </is>
      </c>
      <c r="E544" t="inlineStr">
        <is>
          <t>Admission Policies</t>
        </is>
      </c>
      <c r="F544" t="inlineStr">
        <is>
          <t>Early Decision</t>
        </is>
      </c>
      <c r="G544" t="inlineStr">
        <is>
          <t>Undergraduates</t>
        </is>
      </c>
      <c r="H544" t="inlineStr">
        <is>
          <t>First-time, first-year</t>
        </is>
      </c>
      <c r="I544" t="inlineStr">
        <is>
          <t>All</t>
        </is>
      </c>
      <c r="J544" t="inlineStr">
        <is>
          <t>All</t>
        </is>
      </c>
      <c r="K544" t="inlineStr">
        <is>
          <t>All</t>
        </is>
      </c>
      <c r="L544" t="inlineStr">
        <is>
          <t>Text</t>
        </is>
      </c>
    </row>
    <row r="545">
      <c r="A545" t="inlineStr">
        <is>
          <t>C2201</t>
        </is>
      </c>
      <c r="B545" t="inlineStr">
        <is>
          <t>Do you have a nonbinding early action plan whereby students are notified of an admission decision well in advance of the regular notification date but do not have to commit to attending your college?</t>
        </is>
      </c>
      <c r="C545">
        <f>IFERROR(IF(VLOOKUP($A545,'CDS-C'!$A:$L,3,FALSE)="","",(VLOOKUP($A545,'CDS-C'!$A:$L,3,FALSE))),"")</f>
        <v/>
      </c>
      <c r="D545" t="inlineStr">
        <is>
          <t>First-Time, First-Year Admission</t>
        </is>
      </c>
      <c r="E545" t="inlineStr">
        <is>
          <t>Admission Policies</t>
        </is>
      </c>
      <c r="F545" t="inlineStr">
        <is>
          <t>Early Action</t>
        </is>
      </c>
      <c r="G545" t="inlineStr">
        <is>
          <t>Undergraduates</t>
        </is>
      </c>
      <c r="H545" t="inlineStr">
        <is>
          <t>First-time, first-year</t>
        </is>
      </c>
      <c r="I545" t="inlineStr">
        <is>
          <t>All</t>
        </is>
      </c>
      <c r="J545" t="inlineStr">
        <is>
          <t>All</t>
        </is>
      </c>
      <c r="K545" t="inlineStr">
        <is>
          <t>All</t>
        </is>
      </c>
      <c r="L545" t="inlineStr">
        <is>
          <t>YN</t>
        </is>
      </c>
    </row>
    <row r="546">
      <c r="A546" t="inlineStr">
        <is>
          <t>C2202</t>
        </is>
      </c>
      <c r="B546" t="inlineStr">
        <is>
          <t>Early action closing date</t>
        </is>
      </c>
      <c r="C546">
        <f>IFERROR(IF(VLOOKUP($A546,'CDS-C'!$A:$L,3,FALSE)="","",(VLOOKUP($A546,'CDS-C'!$A:$L,3,FALSE))),"")</f>
        <v/>
      </c>
      <c r="D546" t="inlineStr">
        <is>
          <t>First-Time, First-Year Admission</t>
        </is>
      </c>
      <c r="E546" t="inlineStr">
        <is>
          <t>Admission Policies</t>
        </is>
      </c>
      <c r="F546" t="inlineStr">
        <is>
          <t>Early Action</t>
        </is>
      </c>
      <c r="G546" t="inlineStr">
        <is>
          <t>Undergraduates</t>
        </is>
      </c>
      <c r="H546" t="inlineStr">
        <is>
          <t>First-time, first-year</t>
        </is>
      </c>
      <c r="I546" t="inlineStr">
        <is>
          <t>All</t>
        </is>
      </c>
      <c r="J546" t="inlineStr">
        <is>
          <t>All</t>
        </is>
      </c>
      <c r="K546" t="inlineStr">
        <is>
          <t>All</t>
        </is>
      </c>
      <c r="L546" t="inlineStr">
        <is>
          <t>MM-DD</t>
        </is>
      </c>
    </row>
    <row r="547">
      <c r="A547" t="inlineStr">
        <is>
          <t>C2203</t>
        </is>
      </c>
      <c r="B547" t="inlineStr">
        <is>
          <t>Early action notification date</t>
        </is>
      </c>
      <c r="C547">
        <f>IFERROR(IF(VLOOKUP($A547,'CDS-C'!$A:$L,3,FALSE)="","",(VLOOKUP($A547,'CDS-C'!$A:$L,3,FALSE))),"")</f>
        <v/>
      </c>
      <c r="D547" t="inlineStr">
        <is>
          <t>First-Time, First-Year Admission</t>
        </is>
      </c>
      <c r="E547" t="inlineStr">
        <is>
          <t>Admission Policies</t>
        </is>
      </c>
      <c r="F547" t="inlineStr">
        <is>
          <t>Early Action</t>
        </is>
      </c>
      <c r="G547" t="inlineStr">
        <is>
          <t>Undergraduates</t>
        </is>
      </c>
      <c r="H547" t="inlineStr">
        <is>
          <t>First-time, first-year</t>
        </is>
      </c>
      <c r="I547" t="inlineStr">
        <is>
          <t>All</t>
        </is>
      </c>
      <c r="J547" t="inlineStr">
        <is>
          <t>All</t>
        </is>
      </c>
      <c r="K547" t="inlineStr">
        <is>
          <t>All</t>
        </is>
      </c>
      <c r="L547" t="inlineStr">
        <is>
          <t>MM-DD</t>
        </is>
      </c>
    </row>
    <row r="548">
      <c r="A548" t="inlineStr">
        <is>
          <t>C2204</t>
        </is>
      </c>
      <c r="B548" t="inlineStr">
        <is>
          <t>Is your early action plan a “restrictive” plan under which you limit students from applying to other early plans?</t>
        </is>
      </c>
      <c r="C548">
        <f>IFERROR(IF(VLOOKUP($A548,'CDS-C'!$A:$L,3,FALSE)="","",(VLOOKUP($A548,'CDS-C'!$A:$L,3,FALSE))),"")</f>
        <v/>
      </c>
      <c r="D548" t="inlineStr">
        <is>
          <t>First-Time, First-Year Admission</t>
        </is>
      </c>
      <c r="E548" t="inlineStr">
        <is>
          <t>Admission Policies</t>
        </is>
      </c>
      <c r="F548" t="inlineStr">
        <is>
          <t>Early Action</t>
        </is>
      </c>
      <c r="G548" t="inlineStr">
        <is>
          <t>Undergraduates</t>
        </is>
      </c>
      <c r="H548" t="inlineStr">
        <is>
          <t>First-time, first-year</t>
        </is>
      </c>
      <c r="I548" t="inlineStr">
        <is>
          <t>All</t>
        </is>
      </c>
      <c r="J548" t="inlineStr">
        <is>
          <t>All</t>
        </is>
      </c>
      <c r="K548" t="inlineStr">
        <is>
          <t>All</t>
        </is>
      </c>
      <c r="L548" t="inlineStr">
        <is>
          <t>YN</t>
        </is>
      </c>
    </row>
    <row r="549">
      <c r="A549" t="inlineStr">
        <is>
          <t>D101</t>
        </is>
      </c>
      <c r="B549" t="inlineStr">
        <is>
          <t>Does your institution enroll transfer students? (If no, please skip to Section E)</t>
        </is>
      </c>
      <c r="C549">
        <f>IFERROR(IF(VLOOKUP($A549,'CDS-D'!$A:$L,3,FALSE)="","",(VLOOKUP($A549,'CDS-D'!$A:$L,3,FALSE))),"")</f>
        <v/>
      </c>
      <c r="D549" t="inlineStr">
        <is>
          <t>Transfer Admission</t>
        </is>
      </c>
      <c r="E549" t="inlineStr">
        <is>
          <t>Fall Applicants</t>
        </is>
      </c>
      <c r="F549" t="inlineStr">
        <is>
          <t>All</t>
        </is>
      </c>
      <c r="G549" t="inlineStr">
        <is>
          <t>Undergraduates</t>
        </is>
      </c>
      <c r="H549" t="inlineStr">
        <is>
          <t>Transfer</t>
        </is>
      </c>
      <c r="I549" t="inlineStr">
        <is>
          <t>All</t>
        </is>
      </c>
      <c r="J549" t="inlineStr">
        <is>
          <t>All</t>
        </is>
      </c>
      <c r="K549" t="inlineStr">
        <is>
          <t>All</t>
        </is>
      </c>
      <c r="L549" t="inlineStr">
        <is>
          <t>YN</t>
        </is>
      </c>
    </row>
    <row r="550">
      <c r="A550" t="inlineStr">
        <is>
          <t>D102</t>
        </is>
      </c>
      <c r="B550" t="inlineStr">
        <is>
          <t>If yes, may transfer students earn advanced standing credit by transferring credits earned from course work completed at other colleges/universities?</t>
        </is>
      </c>
      <c r="C550">
        <f>IFERROR(IF(VLOOKUP($A550,'CDS-D'!$A:$L,3,FALSE)="","",(VLOOKUP($A550,'CDS-D'!$A:$L,3,FALSE))),"")</f>
        <v/>
      </c>
      <c r="D550" t="inlineStr">
        <is>
          <t>Transfer Admission</t>
        </is>
      </c>
      <c r="E550" t="inlineStr">
        <is>
          <t>Fall Applicants</t>
        </is>
      </c>
      <c r="F550" t="inlineStr">
        <is>
          <t>All</t>
        </is>
      </c>
      <c r="G550" t="inlineStr">
        <is>
          <t>Undergraduates</t>
        </is>
      </c>
      <c r="H550" t="inlineStr">
        <is>
          <t>Transfer</t>
        </is>
      </c>
      <c r="I550" t="inlineStr">
        <is>
          <t>All</t>
        </is>
      </c>
      <c r="J550" t="inlineStr">
        <is>
          <t>All</t>
        </is>
      </c>
      <c r="K550" t="inlineStr">
        <is>
          <t>All</t>
        </is>
      </c>
      <c r="L550" t="inlineStr">
        <is>
          <t>YN</t>
        </is>
      </c>
    </row>
    <row r="551">
      <c r="A551" t="inlineStr">
        <is>
          <t>D201</t>
        </is>
      </c>
      <c r="B551" t="inlineStr">
        <is>
          <t>Men</t>
        </is>
      </c>
      <c r="C551">
        <f>IFERROR(IF(VLOOKUP($A551,'CDS-D'!$A:$L,3,FALSE)="","",(VLOOKUP($A551,'CDS-D'!$A:$L,3,FALSE))),"")</f>
        <v/>
      </c>
      <c r="D551" t="inlineStr">
        <is>
          <t>Transfer Admission</t>
        </is>
      </c>
      <c r="E551" t="inlineStr">
        <is>
          <t>Fall Applicants</t>
        </is>
      </c>
      <c r="F551" t="inlineStr">
        <is>
          <t>Applied</t>
        </is>
      </c>
      <c r="G551" t="inlineStr">
        <is>
          <t>Undergraduates</t>
        </is>
      </c>
      <c r="H551" t="inlineStr">
        <is>
          <t>Transfer</t>
        </is>
      </c>
      <c r="I551" t="inlineStr">
        <is>
          <t>All</t>
        </is>
      </c>
      <c r="J551" t="inlineStr">
        <is>
          <t>All</t>
        </is>
      </c>
      <c r="K551" t="inlineStr">
        <is>
          <t>Men</t>
        </is>
      </c>
      <c r="L551" t="inlineStr">
        <is>
          <t>Number</t>
        </is>
      </c>
    </row>
    <row r="552">
      <c r="A552" t="inlineStr">
        <is>
          <t>D202</t>
        </is>
      </c>
      <c r="B552" t="inlineStr">
        <is>
          <t>Women</t>
        </is>
      </c>
      <c r="C552">
        <f>IFERROR(IF(VLOOKUP($A552,'CDS-D'!$A:$L,3,FALSE)="","",(VLOOKUP($A552,'CDS-D'!$A:$L,3,FALSE))),"")</f>
        <v/>
      </c>
      <c r="D552" t="inlineStr">
        <is>
          <t>Transfer Admission</t>
        </is>
      </c>
      <c r="E552" t="inlineStr">
        <is>
          <t>Fall Applicants</t>
        </is>
      </c>
      <c r="F552" t="inlineStr">
        <is>
          <t>Applied</t>
        </is>
      </c>
      <c r="G552" t="inlineStr">
        <is>
          <t>Undergraduates</t>
        </is>
      </c>
      <c r="H552" t="inlineStr">
        <is>
          <t>Transfer</t>
        </is>
      </c>
      <c r="I552" t="inlineStr">
        <is>
          <t>All</t>
        </is>
      </c>
      <c r="J552" t="inlineStr">
        <is>
          <t>All</t>
        </is>
      </c>
      <c r="K552" t="inlineStr">
        <is>
          <t>Women</t>
        </is>
      </c>
      <c r="L552" t="inlineStr">
        <is>
          <t>Number</t>
        </is>
      </c>
    </row>
    <row r="553">
      <c r="A553" t="inlineStr">
        <is>
          <t>D203</t>
        </is>
      </c>
      <c r="B553" t="inlineStr">
        <is>
          <t>Another Gender</t>
        </is>
      </c>
      <c r="C553">
        <f>IFERROR(IF(VLOOKUP($A553,'CDS-D'!$A:$L,3,FALSE)="","",(VLOOKUP($A553,'CDS-D'!$A:$L,3,FALSE))),"")</f>
        <v/>
      </c>
      <c r="D553" t="inlineStr">
        <is>
          <t>Transfer Admission</t>
        </is>
      </c>
      <c r="E553" t="inlineStr">
        <is>
          <t>Fall Applicants</t>
        </is>
      </c>
      <c r="F553" t="inlineStr">
        <is>
          <t>Applied</t>
        </is>
      </c>
      <c r="G553" t="inlineStr">
        <is>
          <t>Undergraduates</t>
        </is>
      </c>
      <c r="H553" t="inlineStr">
        <is>
          <t>Transfer</t>
        </is>
      </c>
      <c r="I553" t="inlineStr">
        <is>
          <t>All</t>
        </is>
      </c>
      <c r="J553" t="inlineStr">
        <is>
          <t>All</t>
        </is>
      </c>
      <c r="K553" t="inlineStr">
        <is>
          <t>Another Gender</t>
        </is>
      </c>
      <c r="L553" t="inlineStr">
        <is>
          <t>Number</t>
        </is>
      </c>
    </row>
    <row r="554">
      <c r="A554" t="inlineStr">
        <is>
          <t>D204</t>
        </is>
      </c>
      <c r="B554" t="inlineStr">
        <is>
          <t>Unknown</t>
        </is>
      </c>
      <c r="C554">
        <f>IFERROR(IF(VLOOKUP($A554,'CDS-D'!$A:$L,3,FALSE)="","",(VLOOKUP($A554,'CDS-D'!$A:$L,3,FALSE))),"")</f>
        <v/>
      </c>
      <c r="D554" t="inlineStr">
        <is>
          <t>Transfer Admission</t>
        </is>
      </c>
      <c r="E554" t="inlineStr">
        <is>
          <t>Fall Applicants</t>
        </is>
      </c>
      <c r="F554" t="inlineStr">
        <is>
          <t>Applied</t>
        </is>
      </c>
      <c r="G554" t="inlineStr">
        <is>
          <t>Undergraduates</t>
        </is>
      </c>
      <c r="H554" t="inlineStr">
        <is>
          <t>Transfer</t>
        </is>
      </c>
      <c r="I554" t="inlineStr">
        <is>
          <t>All</t>
        </is>
      </c>
      <c r="J554" t="inlineStr">
        <is>
          <t>All</t>
        </is>
      </c>
      <c r="K554" t="inlineStr">
        <is>
          <t>Unknown</t>
        </is>
      </c>
      <c r="L554" t="inlineStr">
        <is>
          <t>Number</t>
        </is>
      </c>
    </row>
    <row r="555">
      <c r="A555" t="inlineStr">
        <is>
          <t>D205</t>
        </is>
      </c>
      <c r="B555" t="inlineStr">
        <is>
          <t>Total</t>
        </is>
      </c>
      <c r="C555">
        <f>IFERROR(IF(VLOOKUP($A555,'CDS-D'!$A:$L,3,FALSE)="","",(VLOOKUP($A555,'CDS-D'!$A:$L,3,FALSE))),"")</f>
        <v/>
      </c>
      <c r="D555" t="inlineStr">
        <is>
          <t>Transfer Admission</t>
        </is>
      </c>
      <c r="E555" t="inlineStr">
        <is>
          <t>Fall Applicants</t>
        </is>
      </c>
      <c r="F555" t="inlineStr">
        <is>
          <t>Applied</t>
        </is>
      </c>
      <c r="G555" t="inlineStr">
        <is>
          <t>Undergraduates</t>
        </is>
      </c>
      <c r="H555" t="inlineStr">
        <is>
          <t>Transfer</t>
        </is>
      </c>
      <c r="I555" t="inlineStr">
        <is>
          <t>All</t>
        </is>
      </c>
      <c r="J555" t="inlineStr">
        <is>
          <t>All</t>
        </is>
      </c>
      <c r="K555" t="inlineStr">
        <is>
          <t>All</t>
        </is>
      </c>
      <c r="L555" t="inlineStr">
        <is>
          <t>Number</t>
        </is>
      </c>
    </row>
    <row r="556">
      <c r="A556" t="inlineStr">
        <is>
          <t>D206</t>
        </is>
      </c>
      <c r="B556" t="inlineStr">
        <is>
          <t>Men</t>
        </is>
      </c>
      <c r="C556">
        <f>IFERROR(IF(VLOOKUP($A556,'CDS-D'!$A:$L,3,FALSE)="","",(VLOOKUP($A556,'CDS-D'!$A:$L,3,FALSE))),"")</f>
        <v/>
      </c>
      <c r="D556" t="inlineStr">
        <is>
          <t>Transfer Admission</t>
        </is>
      </c>
      <c r="E556" t="inlineStr">
        <is>
          <t>Fall Applicants</t>
        </is>
      </c>
      <c r="F556" t="inlineStr">
        <is>
          <t>Admitted</t>
        </is>
      </c>
      <c r="G556" t="inlineStr">
        <is>
          <t>Undergraduates</t>
        </is>
      </c>
      <c r="H556" t="inlineStr">
        <is>
          <t>Transfer</t>
        </is>
      </c>
      <c r="I556" t="inlineStr">
        <is>
          <t>All</t>
        </is>
      </c>
      <c r="J556" t="inlineStr">
        <is>
          <t>All</t>
        </is>
      </c>
      <c r="K556" t="inlineStr">
        <is>
          <t>Men</t>
        </is>
      </c>
      <c r="L556" t="inlineStr">
        <is>
          <t>Number</t>
        </is>
      </c>
    </row>
    <row r="557">
      <c r="A557" t="inlineStr">
        <is>
          <t>D207</t>
        </is>
      </c>
      <c r="B557" t="inlineStr">
        <is>
          <t>Women</t>
        </is>
      </c>
      <c r="C557">
        <f>IFERROR(IF(VLOOKUP($A557,'CDS-D'!$A:$L,3,FALSE)="","",(VLOOKUP($A557,'CDS-D'!$A:$L,3,FALSE))),"")</f>
        <v/>
      </c>
      <c r="D557" t="inlineStr">
        <is>
          <t>Transfer Admission</t>
        </is>
      </c>
      <c r="E557" t="inlineStr">
        <is>
          <t>Fall Applicants</t>
        </is>
      </c>
      <c r="F557" t="inlineStr">
        <is>
          <t>Admitted</t>
        </is>
      </c>
      <c r="G557" t="inlineStr">
        <is>
          <t>Undergraduates</t>
        </is>
      </c>
      <c r="H557" t="inlineStr">
        <is>
          <t>Transfer</t>
        </is>
      </c>
      <c r="I557" t="inlineStr">
        <is>
          <t>All</t>
        </is>
      </c>
      <c r="J557" t="inlineStr">
        <is>
          <t>All</t>
        </is>
      </c>
      <c r="K557" t="inlineStr">
        <is>
          <t>Women</t>
        </is>
      </c>
      <c r="L557" t="inlineStr">
        <is>
          <t>Number</t>
        </is>
      </c>
    </row>
    <row r="558">
      <c r="A558" t="inlineStr">
        <is>
          <t>D208</t>
        </is>
      </c>
      <c r="B558" t="inlineStr">
        <is>
          <t>Another Gender</t>
        </is>
      </c>
      <c r="C558">
        <f>IFERROR(IF(VLOOKUP($A558,'CDS-D'!$A:$L,3,FALSE)="","",(VLOOKUP($A558,'CDS-D'!$A:$L,3,FALSE))),"")</f>
        <v/>
      </c>
      <c r="D558" t="inlineStr">
        <is>
          <t>Transfer Admission</t>
        </is>
      </c>
      <c r="E558" t="inlineStr">
        <is>
          <t>Fall Applicants</t>
        </is>
      </c>
      <c r="F558" t="inlineStr">
        <is>
          <t>Admitted</t>
        </is>
      </c>
      <c r="G558" t="inlineStr">
        <is>
          <t>Undergraduates</t>
        </is>
      </c>
      <c r="H558" t="inlineStr">
        <is>
          <t>Transfer</t>
        </is>
      </c>
      <c r="I558" t="inlineStr">
        <is>
          <t>All</t>
        </is>
      </c>
      <c r="J558" t="inlineStr">
        <is>
          <t>All</t>
        </is>
      </c>
      <c r="K558" t="inlineStr">
        <is>
          <t>Another Gender</t>
        </is>
      </c>
      <c r="L558" t="inlineStr">
        <is>
          <t>Number</t>
        </is>
      </c>
    </row>
    <row r="559">
      <c r="A559" t="inlineStr">
        <is>
          <t>D209</t>
        </is>
      </c>
      <c r="B559" t="inlineStr">
        <is>
          <t>Unknown</t>
        </is>
      </c>
      <c r="C559">
        <f>IFERROR(IF(VLOOKUP($A559,'CDS-D'!$A:$L,3,FALSE)="","",(VLOOKUP($A559,'CDS-D'!$A:$L,3,FALSE))),"")</f>
        <v/>
      </c>
      <c r="D559" t="inlineStr">
        <is>
          <t>Transfer Admission</t>
        </is>
      </c>
      <c r="E559" t="inlineStr">
        <is>
          <t>Fall Applicants</t>
        </is>
      </c>
      <c r="F559" t="inlineStr">
        <is>
          <t>Admitted</t>
        </is>
      </c>
      <c r="G559" t="inlineStr">
        <is>
          <t>Undergraduates</t>
        </is>
      </c>
      <c r="H559" t="inlineStr">
        <is>
          <t>Transfer</t>
        </is>
      </c>
      <c r="I559" t="inlineStr">
        <is>
          <t>All</t>
        </is>
      </c>
      <c r="J559" t="inlineStr">
        <is>
          <t>All</t>
        </is>
      </c>
      <c r="K559" t="inlineStr">
        <is>
          <t>Unknown</t>
        </is>
      </c>
      <c r="L559" t="inlineStr">
        <is>
          <t>Number</t>
        </is>
      </c>
    </row>
    <row r="560">
      <c r="A560" t="inlineStr">
        <is>
          <t>D210</t>
        </is>
      </c>
      <c r="B560" t="inlineStr">
        <is>
          <t>Total</t>
        </is>
      </c>
      <c r="C560">
        <f>IFERROR(IF(VLOOKUP($A560,'CDS-D'!$A:$L,3,FALSE)="","",(VLOOKUP($A560,'CDS-D'!$A:$L,3,FALSE))),"")</f>
        <v/>
      </c>
      <c r="D560" t="inlineStr">
        <is>
          <t>Transfer Admission</t>
        </is>
      </c>
      <c r="E560" t="inlineStr">
        <is>
          <t>Fall Applicants</t>
        </is>
      </c>
      <c r="F560" t="inlineStr">
        <is>
          <t>Admitted</t>
        </is>
      </c>
      <c r="G560" t="inlineStr">
        <is>
          <t>Undergraduates</t>
        </is>
      </c>
      <c r="H560" t="inlineStr">
        <is>
          <t>Transfer</t>
        </is>
      </c>
      <c r="I560" t="inlineStr">
        <is>
          <t>All</t>
        </is>
      </c>
      <c r="J560" t="inlineStr">
        <is>
          <t>All</t>
        </is>
      </c>
      <c r="K560" t="inlineStr">
        <is>
          <t>All</t>
        </is>
      </c>
      <c r="L560" t="inlineStr">
        <is>
          <t>Number</t>
        </is>
      </c>
    </row>
    <row r="561">
      <c r="A561" t="inlineStr">
        <is>
          <t>D211</t>
        </is>
      </c>
      <c r="B561" t="inlineStr">
        <is>
          <t>Men</t>
        </is>
      </c>
      <c r="C561">
        <f>IFERROR(IF(VLOOKUP($A561,'CDS-D'!$A:$L,3,FALSE)="","",(VLOOKUP($A561,'CDS-D'!$A:$L,3,FALSE))),"")</f>
        <v/>
      </c>
      <c r="D561" t="inlineStr">
        <is>
          <t>Transfer Admission</t>
        </is>
      </c>
      <c r="E561" t="inlineStr">
        <is>
          <t>Fall Applicants</t>
        </is>
      </c>
      <c r="F561" t="inlineStr">
        <is>
          <t>Enrolled</t>
        </is>
      </c>
      <c r="G561" t="inlineStr">
        <is>
          <t>Undergraduates</t>
        </is>
      </c>
      <c r="H561" t="inlineStr">
        <is>
          <t>Transfer</t>
        </is>
      </c>
      <c r="I561" t="inlineStr">
        <is>
          <t>All</t>
        </is>
      </c>
      <c r="J561" t="inlineStr">
        <is>
          <t>All</t>
        </is>
      </c>
      <c r="K561" t="inlineStr">
        <is>
          <t>Men</t>
        </is>
      </c>
      <c r="L561" t="inlineStr">
        <is>
          <t>Number</t>
        </is>
      </c>
    </row>
    <row r="562">
      <c r="A562" t="inlineStr">
        <is>
          <t>D212</t>
        </is>
      </c>
      <c r="B562" t="inlineStr">
        <is>
          <t>Women</t>
        </is>
      </c>
      <c r="C562">
        <f>IFERROR(IF(VLOOKUP($A562,'CDS-D'!$A:$L,3,FALSE)="","",(VLOOKUP($A562,'CDS-D'!$A:$L,3,FALSE))),"")</f>
        <v/>
      </c>
      <c r="D562" t="inlineStr">
        <is>
          <t>Transfer Admission</t>
        </is>
      </c>
      <c r="E562" t="inlineStr">
        <is>
          <t>Fall Applicants</t>
        </is>
      </c>
      <c r="F562" t="inlineStr">
        <is>
          <t>Enrolled</t>
        </is>
      </c>
      <c r="G562" t="inlineStr">
        <is>
          <t>Undergraduates</t>
        </is>
      </c>
      <c r="H562" t="inlineStr">
        <is>
          <t>Transfer</t>
        </is>
      </c>
      <c r="I562" t="inlineStr">
        <is>
          <t>All</t>
        </is>
      </c>
      <c r="J562" t="inlineStr">
        <is>
          <t>All</t>
        </is>
      </c>
      <c r="K562" t="inlineStr">
        <is>
          <t>Women</t>
        </is>
      </c>
      <c r="L562" t="inlineStr">
        <is>
          <t>Number</t>
        </is>
      </c>
    </row>
    <row r="563">
      <c r="A563" t="inlineStr">
        <is>
          <t>D213</t>
        </is>
      </c>
      <c r="B563" t="inlineStr">
        <is>
          <t>Another Gender</t>
        </is>
      </c>
      <c r="C563">
        <f>IFERROR(IF(VLOOKUP($A563,'CDS-D'!$A:$L,3,FALSE)="","",(VLOOKUP($A563,'CDS-D'!$A:$L,3,FALSE))),"")</f>
        <v/>
      </c>
      <c r="D563" t="inlineStr">
        <is>
          <t>Transfer Admission</t>
        </is>
      </c>
      <c r="E563" t="inlineStr">
        <is>
          <t>Fall Applicants</t>
        </is>
      </c>
      <c r="F563" t="inlineStr">
        <is>
          <t>Enrolled</t>
        </is>
      </c>
      <c r="G563" t="inlineStr">
        <is>
          <t>Undergraduates</t>
        </is>
      </c>
      <c r="H563" t="inlineStr">
        <is>
          <t>Transfer</t>
        </is>
      </c>
      <c r="I563" t="inlineStr">
        <is>
          <t>All</t>
        </is>
      </c>
      <c r="J563" t="inlineStr">
        <is>
          <t>All</t>
        </is>
      </c>
      <c r="K563" t="inlineStr">
        <is>
          <t>Another Gender</t>
        </is>
      </c>
      <c r="L563" t="inlineStr">
        <is>
          <t>Number</t>
        </is>
      </c>
    </row>
    <row r="564">
      <c r="A564" t="inlineStr">
        <is>
          <t>D214</t>
        </is>
      </c>
      <c r="B564" t="inlineStr">
        <is>
          <t>Unknown</t>
        </is>
      </c>
      <c r="C564">
        <f>IFERROR(IF(VLOOKUP($A564,'CDS-D'!$A:$L,3,FALSE)="","",(VLOOKUP($A564,'CDS-D'!$A:$L,3,FALSE))),"")</f>
        <v/>
      </c>
      <c r="D564" t="inlineStr">
        <is>
          <t>Transfer Admission</t>
        </is>
      </c>
      <c r="E564" t="inlineStr">
        <is>
          <t>Fall Applicants</t>
        </is>
      </c>
      <c r="F564" t="inlineStr">
        <is>
          <t>Enrolled</t>
        </is>
      </c>
      <c r="G564" t="inlineStr">
        <is>
          <t>Undergraduates</t>
        </is>
      </c>
      <c r="H564" t="inlineStr">
        <is>
          <t>Transfer</t>
        </is>
      </c>
      <c r="I564" t="inlineStr">
        <is>
          <t>All</t>
        </is>
      </c>
      <c r="J564" t="inlineStr">
        <is>
          <t>All</t>
        </is>
      </c>
      <c r="K564" t="inlineStr">
        <is>
          <t>Unknown</t>
        </is>
      </c>
      <c r="L564" t="inlineStr">
        <is>
          <t>Number</t>
        </is>
      </c>
    </row>
    <row r="565">
      <c r="A565" t="inlineStr">
        <is>
          <t>D215</t>
        </is>
      </c>
      <c r="B565" t="inlineStr">
        <is>
          <t>Total</t>
        </is>
      </c>
      <c r="C565">
        <f>IFERROR(IF(VLOOKUP($A565,'CDS-D'!$A:$L,3,FALSE)="","",(VLOOKUP($A565,'CDS-D'!$A:$L,3,FALSE))),"")</f>
        <v/>
      </c>
      <c r="D565" t="inlineStr">
        <is>
          <t>Transfer Admission</t>
        </is>
      </c>
      <c r="E565" t="inlineStr">
        <is>
          <t>Fall Applicants</t>
        </is>
      </c>
      <c r="F565" t="inlineStr">
        <is>
          <t>Enrolled</t>
        </is>
      </c>
      <c r="G565" t="inlineStr">
        <is>
          <t>Undergraduates</t>
        </is>
      </c>
      <c r="H565" t="inlineStr">
        <is>
          <t>Transfer</t>
        </is>
      </c>
      <c r="I565" t="inlineStr">
        <is>
          <t>All</t>
        </is>
      </c>
      <c r="J565" t="inlineStr">
        <is>
          <t>All</t>
        </is>
      </c>
      <c r="K565" t="inlineStr">
        <is>
          <t>All</t>
        </is>
      </c>
      <c r="L565" t="inlineStr">
        <is>
          <t>Number</t>
        </is>
      </c>
    </row>
    <row r="566">
      <c r="A566" t="inlineStr">
        <is>
          <t>D301</t>
        </is>
      </c>
      <c r="B566" t="inlineStr">
        <is>
          <t>Fall</t>
        </is>
      </c>
      <c r="C566">
        <f>IFERROR(IF(VLOOKUP($A566,'CDS-D'!$A:$L,3,FALSE)="","",(VLOOKUP($A566,'CDS-D'!$A:$L,3,FALSE))),"")</f>
        <v/>
      </c>
      <c r="D566" t="inlineStr">
        <is>
          <t>Transfer Admission</t>
        </is>
      </c>
      <c r="E566" t="inlineStr">
        <is>
          <t>Application for Admission</t>
        </is>
      </c>
      <c r="F566" t="inlineStr">
        <is>
          <t>Fall</t>
        </is>
      </c>
      <c r="G566" t="inlineStr">
        <is>
          <t>Undergraduates</t>
        </is>
      </c>
      <c r="H566" t="inlineStr">
        <is>
          <t>Transfer</t>
        </is>
      </c>
      <c r="I566" t="inlineStr">
        <is>
          <t>All</t>
        </is>
      </c>
      <c r="J566" t="inlineStr">
        <is>
          <t>All</t>
        </is>
      </c>
      <c r="K566" t="inlineStr">
        <is>
          <t>All</t>
        </is>
      </c>
      <c r="L566" t="inlineStr">
        <is>
          <t>x</t>
        </is>
      </c>
    </row>
    <row r="567">
      <c r="A567" t="inlineStr">
        <is>
          <t>D302</t>
        </is>
      </c>
      <c r="B567" t="inlineStr">
        <is>
          <t>Winter</t>
        </is>
      </c>
      <c r="C567">
        <f>IFERROR(IF(VLOOKUP($A567,'CDS-D'!$A:$L,3,FALSE)="","",(VLOOKUP($A567,'CDS-D'!$A:$L,3,FALSE))),"")</f>
        <v/>
      </c>
      <c r="D567" t="inlineStr">
        <is>
          <t>Transfer Admission</t>
        </is>
      </c>
      <c r="E567" t="inlineStr">
        <is>
          <t>Application for Admission</t>
        </is>
      </c>
      <c r="F567" t="inlineStr">
        <is>
          <t>Winter</t>
        </is>
      </c>
      <c r="G567" t="inlineStr">
        <is>
          <t>Undergraduates</t>
        </is>
      </c>
      <c r="H567" t="inlineStr">
        <is>
          <t>Transfer</t>
        </is>
      </c>
      <c r="I567" t="inlineStr">
        <is>
          <t>All</t>
        </is>
      </c>
      <c r="J567" t="inlineStr">
        <is>
          <t>All</t>
        </is>
      </c>
      <c r="K567" t="inlineStr">
        <is>
          <t>All</t>
        </is>
      </c>
      <c r="L567" t="inlineStr">
        <is>
          <t>x</t>
        </is>
      </c>
    </row>
    <row r="568">
      <c r="A568" t="inlineStr">
        <is>
          <t>D303</t>
        </is>
      </c>
      <c r="B568" t="inlineStr">
        <is>
          <t>Spring</t>
        </is>
      </c>
      <c r="C568">
        <f>IFERROR(IF(VLOOKUP($A568,'CDS-D'!$A:$L,3,FALSE)="","",(VLOOKUP($A568,'CDS-D'!$A:$L,3,FALSE))),"")</f>
        <v/>
      </c>
      <c r="D568" t="inlineStr">
        <is>
          <t>Transfer Admission</t>
        </is>
      </c>
      <c r="E568" t="inlineStr">
        <is>
          <t>Application for Admission</t>
        </is>
      </c>
      <c r="F568" t="inlineStr">
        <is>
          <t>Spring</t>
        </is>
      </c>
      <c r="G568" t="inlineStr">
        <is>
          <t>Undergraduates</t>
        </is>
      </c>
      <c r="H568" t="inlineStr">
        <is>
          <t>Transfer</t>
        </is>
      </c>
      <c r="I568" t="inlineStr">
        <is>
          <t>All</t>
        </is>
      </c>
      <c r="J568" t="inlineStr">
        <is>
          <t>All</t>
        </is>
      </c>
      <c r="K568" t="inlineStr">
        <is>
          <t>All</t>
        </is>
      </c>
      <c r="L568" t="inlineStr">
        <is>
          <t>x</t>
        </is>
      </c>
    </row>
    <row r="569">
      <c r="A569" t="inlineStr">
        <is>
          <t>D304</t>
        </is>
      </c>
      <c r="B569" t="inlineStr">
        <is>
          <t>Summer</t>
        </is>
      </c>
      <c r="C569">
        <f>IFERROR(IF(VLOOKUP($A569,'CDS-D'!$A:$L,3,FALSE)="","",(VLOOKUP($A569,'CDS-D'!$A:$L,3,FALSE))),"")</f>
        <v/>
      </c>
      <c r="D569" t="inlineStr">
        <is>
          <t>Transfer Admission</t>
        </is>
      </c>
      <c r="E569" t="inlineStr">
        <is>
          <t>Application for Admission</t>
        </is>
      </c>
      <c r="F569" t="inlineStr">
        <is>
          <t>Summer</t>
        </is>
      </c>
      <c r="G569" t="inlineStr">
        <is>
          <t>Undergraduates</t>
        </is>
      </c>
      <c r="H569" t="inlineStr">
        <is>
          <t>Transfer</t>
        </is>
      </c>
      <c r="I569" t="inlineStr">
        <is>
          <t>All</t>
        </is>
      </c>
      <c r="J569" t="inlineStr">
        <is>
          <t>All</t>
        </is>
      </c>
      <c r="K569" t="inlineStr">
        <is>
          <t>All</t>
        </is>
      </c>
      <c r="L569" t="inlineStr">
        <is>
          <t>x</t>
        </is>
      </c>
    </row>
    <row r="570">
      <c r="A570" t="inlineStr">
        <is>
          <t>D401</t>
        </is>
      </c>
      <c r="B570" t="inlineStr">
        <is>
          <t>Must a transfer applicant have a minimum number of credits completed or else must apply as an entering first-year student?</t>
        </is>
      </c>
      <c r="C570">
        <f>IFERROR(IF(VLOOKUP($A570,'CDS-D'!$A:$L,3,FALSE)="","",(VLOOKUP($A570,'CDS-D'!$A:$L,3,FALSE))),"")</f>
        <v/>
      </c>
      <c r="D570" t="inlineStr">
        <is>
          <t>Transfer Admission</t>
        </is>
      </c>
      <c r="E570" t="inlineStr">
        <is>
          <t>Application for Admission</t>
        </is>
      </c>
      <c r="F570" t="inlineStr">
        <is>
          <t>Min Credits</t>
        </is>
      </c>
      <c r="G570" t="inlineStr">
        <is>
          <t>Undergraduates</t>
        </is>
      </c>
      <c r="H570" t="inlineStr">
        <is>
          <t>Transfer</t>
        </is>
      </c>
      <c r="I570" t="inlineStr">
        <is>
          <t>All</t>
        </is>
      </c>
      <c r="J570" t="inlineStr">
        <is>
          <t>All</t>
        </is>
      </c>
      <c r="K570" t="inlineStr">
        <is>
          <t>All</t>
        </is>
      </c>
      <c r="L570" t="inlineStr">
        <is>
          <t>YN</t>
        </is>
      </c>
    </row>
    <row r="571">
      <c r="A571" t="inlineStr">
        <is>
          <t>D402</t>
        </is>
      </c>
      <c r="B571" t="inlineStr">
        <is>
          <t>Number</t>
        </is>
      </c>
      <c r="C571">
        <f>IFERROR(IF(VLOOKUP($A571,'CDS-D'!$A:$L,3,FALSE)="","",(VLOOKUP($A571,'CDS-D'!$A:$L,3,FALSE))),"")</f>
        <v/>
      </c>
      <c r="D571" t="inlineStr">
        <is>
          <t>Transfer Admission</t>
        </is>
      </c>
      <c r="E571" t="inlineStr">
        <is>
          <t>Transfer Credit Policies</t>
        </is>
      </c>
      <c r="F571" t="inlineStr">
        <is>
          <t>Min Credits</t>
        </is>
      </c>
      <c r="G571" t="inlineStr">
        <is>
          <t>Undergraduates</t>
        </is>
      </c>
      <c r="H571" t="inlineStr">
        <is>
          <t>Transfer</t>
        </is>
      </c>
      <c r="I571" t="inlineStr">
        <is>
          <t>All</t>
        </is>
      </c>
      <c r="J571" t="inlineStr">
        <is>
          <t>All</t>
        </is>
      </c>
      <c r="K571" t="inlineStr">
        <is>
          <t>All</t>
        </is>
      </c>
      <c r="L571" t="inlineStr">
        <is>
          <t>Number</t>
        </is>
      </c>
    </row>
    <row r="572">
      <c r="A572" t="inlineStr">
        <is>
          <t>D403</t>
        </is>
      </c>
      <c r="B572" t="inlineStr">
        <is>
          <t>Unit Type</t>
        </is>
      </c>
      <c r="C572">
        <f>IFERROR(IF(VLOOKUP($A572,'CDS-D'!$A:$L,3,FALSE)="","",(VLOOKUP($A572,'CDS-D'!$A:$L,3,FALSE))),"")</f>
        <v/>
      </c>
      <c r="D572" t="inlineStr">
        <is>
          <t>Transfer Admission</t>
        </is>
      </c>
      <c r="E572" t="inlineStr">
        <is>
          <t>Transfer Credit Policies</t>
        </is>
      </c>
      <c r="F572" t="inlineStr">
        <is>
          <t>Min Credits</t>
        </is>
      </c>
      <c r="G572" t="inlineStr">
        <is>
          <t>Undergraduates</t>
        </is>
      </c>
      <c r="H572" t="inlineStr">
        <is>
          <t>Transfer</t>
        </is>
      </c>
      <c r="I572" t="inlineStr">
        <is>
          <t>All</t>
        </is>
      </c>
      <c r="J572" t="inlineStr">
        <is>
          <t>All</t>
        </is>
      </c>
      <c r="K572" t="inlineStr">
        <is>
          <t>All</t>
        </is>
      </c>
      <c r="L572" t="inlineStr">
        <is>
          <t>Unit Type</t>
        </is>
      </c>
    </row>
    <row r="573">
      <c r="A573" t="inlineStr">
        <is>
          <t>D501</t>
        </is>
      </c>
      <c r="B573" t="inlineStr">
        <is>
          <t>High school transcript</t>
        </is>
      </c>
      <c r="C573">
        <f>IFERROR(IF(VLOOKUP($A573,'CDS-D'!$A:$L,3,FALSE)="","",(VLOOKUP($A573,'CDS-D'!$A:$L,3,FALSE))),"")</f>
        <v/>
      </c>
      <c r="D573" t="inlineStr">
        <is>
          <t>Transfer Admission</t>
        </is>
      </c>
      <c r="E573" t="inlineStr">
        <is>
          <t>Application for Admission</t>
        </is>
      </c>
      <c r="F573" t="inlineStr">
        <is>
          <t>Requirements</t>
        </is>
      </c>
      <c r="G573" t="inlineStr">
        <is>
          <t>Undergraduates</t>
        </is>
      </c>
      <c r="H573" t="inlineStr">
        <is>
          <t>Transfer</t>
        </is>
      </c>
      <c r="I573" t="inlineStr">
        <is>
          <t>All</t>
        </is>
      </c>
      <c r="J573" t="inlineStr">
        <is>
          <t>All</t>
        </is>
      </c>
      <c r="K573" t="inlineStr">
        <is>
          <t>All</t>
        </is>
      </c>
      <c r="L573" t="inlineStr">
        <is>
          <t>Text</t>
        </is>
      </c>
    </row>
    <row r="574">
      <c r="A574" t="inlineStr">
        <is>
          <t>D502</t>
        </is>
      </c>
      <c r="B574" t="inlineStr">
        <is>
          <t>College transcript(s)</t>
        </is>
      </c>
      <c r="C574">
        <f>IFERROR(IF(VLOOKUP($A574,'CDS-D'!$A:$L,3,FALSE)="","",(VLOOKUP($A574,'CDS-D'!$A:$L,3,FALSE))),"")</f>
        <v/>
      </c>
      <c r="D574" t="inlineStr">
        <is>
          <t>Transfer Admission</t>
        </is>
      </c>
      <c r="E574" t="inlineStr">
        <is>
          <t>Application for Admission</t>
        </is>
      </c>
      <c r="F574" t="inlineStr">
        <is>
          <t>Requirements</t>
        </is>
      </c>
      <c r="G574" t="inlineStr">
        <is>
          <t>Undergraduates</t>
        </is>
      </c>
      <c r="H574" t="inlineStr">
        <is>
          <t>Transfer</t>
        </is>
      </c>
      <c r="I574" t="inlineStr">
        <is>
          <t>All</t>
        </is>
      </c>
      <c r="J574" t="inlineStr">
        <is>
          <t>All</t>
        </is>
      </c>
      <c r="K574" t="inlineStr">
        <is>
          <t>All</t>
        </is>
      </c>
      <c r="L574" t="inlineStr">
        <is>
          <t>Text</t>
        </is>
      </c>
    </row>
    <row r="575">
      <c r="A575" t="inlineStr">
        <is>
          <t>D503</t>
        </is>
      </c>
      <c r="B575" t="inlineStr">
        <is>
          <t>Essay or personal statement</t>
        </is>
      </c>
      <c r="C575">
        <f>IFERROR(IF(VLOOKUP($A575,'CDS-D'!$A:$L,3,FALSE)="","",(VLOOKUP($A575,'CDS-D'!$A:$L,3,FALSE))),"")</f>
        <v/>
      </c>
      <c r="D575" t="inlineStr">
        <is>
          <t>Transfer Admission</t>
        </is>
      </c>
      <c r="E575" t="inlineStr">
        <is>
          <t>Application for Admission</t>
        </is>
      </c>
      <c r="F575" t="inlineStr">
        <is>
          <t>Requirements</t>
        </is>
      </c>
      <c r="G575" t="inlineStr">
        <is>
          <t>Undergraduates</t>
        </is>
      </c>
      <c r="H575" t="inlineStr">
        <is>
          <t>Transfer</t>
        </is>
      </c>
      <c r="I575" t="inlineStr">
        <is>
          <t>All</t>
        </is>
      </c>
      <c r="J575" t="inlineStr">
        <is>
          <t>All</t>
        </is>
      </c>
      <c r="K575" t="inlineStr">
        <is>
          <t>All</t>
        </is>
      </c>
      <c r="L575" t="inlineStr">
        <is>
          <t>Text</t>
        </is>
      </c>
    </row>
    <row r="576">
      <c r="A576" t="inlineStr">
        <is>
          <t>D504</t>
        </is>
      </c>
      <c r="B576" t="inlineStr">
        <is>
          <t>Interview</t>
        </is>
      </c>
      <c r="C576">
        <f>IFERROR(IF(VLOOKUP($A576,'CDS-D'!$A:$L,3,FALSE)="","",(VLOOKUP($A576,'CDS-D'!$A:$L,3,FALSE))),"")</f>
        <v/>
      </c>
      <c r="D576" t="inlineStr">
        <is>
          <t>Transfer Admission</t>
        </is>
      </c>
      <c r="E576" t="inlineStr">
        <is>
          <t>Application for Admission</t>
        </is>
      </c>
      <c r="F576" t="inlineStr">
        <is>
          <t>Requirements</t>
        </is>
      </c>
      <c r="G576" t="inlineStr">
        <is>
          <t>Undergraduates</t>
        </is>
      </c>
      <c r="H576" t="inlineStr">
        <is>
          <t>Transfer</t>
        </is>
      </c>
      <c r="I576" t="inlineStr">
        <is>
          <t>All</t>
        </is>
      </c>
      <c r="J576" t="inlineStr">
        <is>
          <t>All</t>
        </is>
      </c>
      <c r="K576" t="inlineStr">
        <is>
          <t>All</t>
        </is>
      </c>
      <c r="L576" t="inlineStr">
        <is>
          <t>Text</t>
        </is>
      </c>
    </row>
    <row r="577">
      <c r="A577" t="inlineStr">
        <is>
          <t>D505</t>
        </is>
      </c>
      <c r="B577" t="inlineStr">
        <is>
          <t>Standardized test scores</t>
        </is>
      </c>
      <c r="C577">
        <f>IFERROR(IF(VLOOKUP($A577,'CDS-D'!$A:$L,3,FALSE)="","",(VLOOKUP($A577,'CDS-D'!$A:$L,3,FALSE))),"")</f>
        <v/>
      </c>
      <c r="D577" t="inlineStr">
        <is>
          <t>Transfer Admission</t>
        </is>
      </c>
      <c r="E577" t="inlineStr">
        <is>
          <t>Application for Admission</t>
        </is>
      </c>
      <c r="F577" t="inlineStr">
        <is>
          <t>Requirements</t>
        </is>
      </c>
      <c r="G577" t="inlineStr">
        <is>
          <t>Undergraduates</t>
        </is>
      </c>
      <c r="H577" t="inlineStr">
        <is>
          <t>Transfer</t>
        </is>
      </c>
      <c r="I577" t="inlineStr">
        <is>
          <t>All</t>
        </is>
      </c>
      <c r="J577" t="inlineStr">
        <is>
          <t>All</t>
        </is>
      </c>
      <c r="K577" t="inlineStr">
        <is>
          <t>All</t>
        </is>
      </c>
      <c r="L577" t="inlineStr">
        <is>
          <t>Text</t>
        </is>
      </c>
    </row>
    <row r="578">
      <c r="A578" t="inlineStr">
        <is>
          <t>D506</t>
        </is>
      </c>
      <c r="B578" t="inlineStr">
        <is>
          <t>Statement of good standing from prior institution(s)</t>
        </is>
      </c>
      <c r="C578">
        <f>IFERROR(IF(VLOOKUP($A578,'CDS-D'!$A:$L,3,FALSE)="","",(VLOOKUP($A578,'CDS-D'!$A:$L,3,FALSE))),"")</f>
        <v/>
      </c>
      <c r="D578" t="inlineStr">
        <is>
          <t>Transfer Admission</t>
        </is>
      </c>
      <c r="E578" t="inlineStr">
        <is>
          <t>Application for Admission</t>
        </is>
      </c>
      <c r="F578" t="inlineStr">
        <is>
          <t>Requirements</t>
        </is>
      </c>
      <c r="G578" t="inlineStr">
        <is>
          <t>Undergraduates</t>
        </is>
      </c>
      <c r="H578" t="inlineStr">
        <is>
          <t>Transfer</t>
        </is>
      </c>
      <c r="I578" t="inlineStr">
        <is>
          <t>All</t>
        </is>
      </c>
      <c r="J578" t="inlineStr">
        <is>
          <t>All</t>
        </is>
      </c>
      <c r="K578" t="inlineStr">
        <is>
          <t>All</t>
        </is>
      </c>
      <c r="L578" t="inlineStr">
        <is>
          <t>Text</t>
        </is>
      </c>
    </row>
    <row r="579">
      <c r="A579" t="inlineStr">
        <is>
          <t>D601</t>
        </is>
      </c>
      <c r="B579" t="inlineStr">
        <is>
          <t>If a minimum high school grade point average is required of transfer applicants, specify (on a 4.0 scale):</t>
        </is>
      </c>
      <c r="C579">
        <f>IFERROR(IF(VLOOKUP($A579,'CDS-D'!$A:$L,3,FALSE)="","",(VLOOKUP($A579,'CDS-D'!$A:$L,3,FALSE))),"")</f>
        <v/>
      </c>
      <c r="D579" t="inlineStr">
        <is>
          <t>Transfer Admission</t>
        </is>
      </c>
      <c r="E579" t="inlineStr">
        <is>
          <t>Application for Admission</t>
        </is>
      </c>
      <c r="F579" t="inlineStr">
        <is>
          <t>Requirements</t>
        </is>
      </c>
      <c r="G579" t="inlineStr">
        <is>
          <t>Undergraduates</t>
        </is>
      </c>
      <c r="H579" t="inlineStr">
        <is>
          <t>Transfer</t>
        </is>
      </c>
      <c r="I579" t="inlineStr">
        <is>
          <t>All</t>
        </is>
      </c>
      <c r="J579" t="inlineStr">
        <is>
          <t>All</t>
        </is>
      </c>
      <c r="K579" t="inlineStr">
        <is>
          <t>All</t>
        </is>
      </c>
      <c r="L579" t="inlineStr">
        <is>
          <t>Round to Nearest Hundredths</t>
        </is>
      </c>
    </row>
    <row r="580">
      <c r="A580" t="inlineStr">
        <is>
          <t>D701</t>
        </is>
      </c>
      <c r="B580" t="inlineStr">
        <is>
          <t xml:space="preserve">If a minimum college grade point average is required of transfer applicants, specify (on a 4.0 scale):
</t>
        </is>
      </c>
      <c r="C580">
        <f>IFERROR(IF(VLOOKUP($A580,'CDS-D'!$A:$L,3,FALSE)="","",(VLOOKUP($A580,'CDS-D'!$A:$L,3,FALSE))),"")</f>
        <v/>
      </c>
      <c r="D580" t="inlineStr">
        <is>
          <t>Transfer Admission</t>
        </is>
      </c>
      <c r="E580" t="inlineStr">
        <is>
          <t>Application for Admission</t>
        </is>
      </c>
      <c r="F580" t="inlineStr">
        <is>
          <t>Requirements</t>
        </is>
      </c>
      <c r="G580" t="inlineStr">
        <is>
          <t>Undergraduates</t>
        </is>
      </c>
      <c r="H580" t="inlineStr">
        <is>
          <t>Transfer</t>
        </is>
      </c>
      <c r="I580" t="inlineStr">
        <is>
          <t>All</t>
        </is>
      </c>
      <c r="J580" t="inlineStr">
        <is>
          <t>All</t>
        </is>
      </c>
      <c r="K580" t="inlineStr">
        <is>
          <t>All</t>
        </is>
      </c>
      <c r="L580" t="inlineStr">
        <is>
          <t>Round to Nearest Hundredths</t>
        </is>
      </c>
    </row>
    <row r="581">
      <c r="A581" t="inlineStr">
        <is>
          <t>D801</t>
        </is>
      </c>
      <c r="B581" t="inlineStr">
        <is>
          <t>List any other application requirements specific to transfer applicants:</t>
        </is>
      </c>
      <c r="C581">
        <f>IFERROR(IF(VLOOKUP($A581,'CDS-D'!$A:$L,3,FALSE)="","",(VLOOKUP($A581,'CDS-D'!$A:$L,3,FALSE))),"")</f>
        <v/>
      </c>
      <c r="D581" t="inlineStr">
        <is>
          <t>Transfer Admission</t>
        </is>
      </c>
      <c r="E581" t="inlineStr">
        <is>
          <t>Application for Admission</t>
        </is>
      </c>
      <c r="F581" t="inlineStr">
        <is>
          <t>Requirements</t>
        </is>
      </c>
      <c r="G581" t="inlineStr">
        <is>
          <t>Undergraduates</t>
        </is>
      </c>
      <c r="H581" t="inlineStr">
        <is>
          <t>Transfer</t>
        </is>
      </c>
      <c r="I581" t="inlineStr">
        <is>
          <t>All</t>
        </is>
      </c>
      <c r="J581" t="inlineStr">
        <is>
          <t>All</t>
        </is>
      </c>
      <c r="K581" t="inlineStr">
        <is>
          <t>All</t>
        </is>
      </c>
      <c r="L581" t="inlineStr">
        <is>
          <t>Text</t>
        </is>
      </c>
    </row>
    <row r="582">
      <c r="A582" t="inlineStr">
        <is>
          <t>D901</t>
        </is>
      </c>
      <c r="B582" t="inlineStr">
        <is>
          <t>Fall</t>
        </is>
      </c>
      <c r="C582">
        <f>IFERROR(IF(VLOOKUP($A582,'CDS-D'!$A:$L,3,FALSE)="","",(VLOOKUP($A582,'CDS-D'!$A:$L,3,FALSE))),"")</f>
        <v/>
      </c>
      <c r="D582" t="inlineStr">
        <is>
          <t>Transfer Admission</t>
        </is>
      </c>
      <c r="E582" t="inlineStr">
        <is>
          <t>Application for Admission</t>
        </is>
      </c>
      <c r="F582" t="inlineStr">
        <is>
          <t>Dates</t>
        </is>
      </c>
      <c r="G582" t="inlineStr">
        <is>
          <t>Undergraduates</t>
        </is>
      </c>
      <c r="H582" t="inlineStr">
        <is>
          <t>Transfer</t>
        </is>
      </c>
      <c r="I582" t="inlineStr">
        <is>
          <t>All</t>
        </is>
      </c>
      <c r="J582" t="inlineStr">
        <is>
          <t>All</t>
        </is>
      </c>
      <c r="K582" t="inlineStr">
        <is>
          <t>All</t>
        </is>
      </c>
      <c r="L582" t="inlineStr">
        <is>
          <t>MM-DD</t>
        </is>
      </c>
    </row>
    <row r="583">
      <c r="A583" t="inlineStr">
        <is>
          <t>D902</t>
        </is>
      </c>
      <c r="B583" t="inlineStr">
        <is>
          <t>Winter</t>
        </is>
      </c>
      <c r="C583">
        <f>IFERROR(IF(VLOOKUP($A583,'CDS-D'!$A:$L,3,FALSE)="","",(VLOOKUP($A583,'CDS-D'!$A:$L,3,FALSE))),"")</f>
        <v/>
      </c>
      <c r="D583" t="inlineStr">
        <is>
          <t>Transfer Admission</t>
        </is>
      </c>
      <c r="E583" t="inlineStr">
        <is>
          <t>Application for Admission</t>
        </is>
      </c>
      <c r="F583" t="inlineStr">
        <is>
          <t>Dates</t>
        </is>
      </c>
      <c r="G583" t="inlineStr">
        <is>
          <t>Undergraduates</t>
        </is>
      </c>
      <c r="H583" t="inlineStr">
        <is>
          <t>Transfer</t>
        </is>
      </c>
      <c r="I583" t="inlineStr">
        <is>
          <t>All</t>
        </is>
      </c>
      <c r="J583" t="inlineStr">
        <is>
          <t>All</t>
        </is>
      </c>
      <c r="K583" t="inlineStr">
        <is>
          <t>All</t>
        </is>
      </c>
      <c r="L583" t="inlineStr">
        <is>
          <t>MM-DD</t>
        </is>
      </c>
    </row>
    <row r="584">
      <c r="A584" t="inlineStr">
        <is>
          <t>D903</t>
        </is>
      </c>
      <c r="B584" t="inlineStr">
        <is>
          <t>Spring</t>
        </is>
      </c>
      <c r="C584">
        <f>IFERROR(IF(VLOOKUP($A584,'CDS-D'!$A:$L,3,FALSE)="","",(VLOOKUP($A584,'CDS-D'!$A:$L,3,FALSE))),"")</f>
        <v/>
      </c>
      <c r="D584" t="inlineStr">
        <is>
          <t>Transfer Admission</t>
        </is>
      </c>
      <c r="E584" t="inlineStr">
        <is>
          <t>Application for Admission</t>
        </is>
      </c>
      <c r="F584" t="inlineStr">
        <is>
          <t>Dates</t>
        </is>
      </c>
      <c r="G584" t="inlineStr">
        <is>
          <t>Undergraduates</t>
        </is>
      </c>
      <c r="H584" t="inlineStr">
        <is>
          <t>Transfer</t>
        </is>
      </c>
      <c r="I584" t="inlineStr">
        <is>
          <t>All</t>
        </is>
      </c>
      <c r="J584" t="inlineStr">
        <is>
          <t>All</t>
        </is>
      </c>
      <c r="K584" t="inlineStr">
        <is>
          <t>All</t>
        </is>
      </c>
      <c r="L584" t="inlineStr">
        <is>
          <t>MM-DD</t>
        </is>
      </c>
    </row>
    <row r="585">
      <c r="A585" t="inlineStr">
        <is>
          <t>D904</t>
        </is>
      </c>
      <c r="B585" t="inlineStr">
        <is>
          <t>Summer</t>
        </is>
      </c>
      <c r="C585">
        <f>IFERROR(IF(VLOOKUP($A585,'CDS-D'!$A:$L,3,FALSE)="","",(VLOOKUP($A585,'CDS-D'!$A:$L,3,FALSE))),"")</f>
        <v/>
      </c>
      <c r="D585" t="inlineStr">
        <is>
          <t>Transfer Admission</t>
        </is>
      </c>
      <c r="E585" t="inlineStr">
        <is>
          <t>Application for Admission</t>
        </is>
      </c>
      <c r="F585" t="inlineStr">
        <is>
          <t>Dates</t>
        </is>
      </c>
      <c r="G585" t="inlineStr">
        <is>
          <t>Undergraduates</t>
        </is>
      </c>
      <c r="H585" t="inlineStr">
        <is>
          <t>Transfer</t>
        </is>
      </c>
      <c r="I585" t="inlineStr">
        <is>
          <t>All</t>
        </is>
      </c>
      <c r="J585" t="inlineStr">
        <is>
          <t>All</t>
        </is>
      </c>
      <c r="K585" t="inlineStr">
        <is>
          <t>All</t>
        </is>
      </c>
      <c r="L585" t="inlineStr">
        <is>
          <t>MM-DD</t>
        </is>
      </c>
    </row>
    <row r="586">
      <c r="A586" t="inlineStr">
        <is>
          <t>D905</t>
        </is>
      </c>
      <c r="B586" t="inlineStr">
        <is>
          <t>Fall</t>
        </is>
      </c>
      <c r="C586">
        <f>IFERROR(IF(VLOOKUP($A586,'CDS-D'!$A:$L,3,FALSE)="","",(VLOOKUP($A586,'CDS-D'!$A:$L,3,FALSE))),"")</f>
        <v/>
      </c>
      <c r="D586" t="inlineStr">
        <is>
          <t>Transfer Admission</t>
        </is>
      </c>
      <c r="E586" t="inlineStr">
        <is>
          <t>Application for Admission</t>
        </is>
      </c>
      <c r="F586" t="inlineStr">
        <is>
          <t>Dates</t>
        </is>
      </c>
      <c r="G586" t="inlineStr">
        <is>
          <t>Undergraduates</t>
        </is>
      </c>
      <c r="H586" t="inlineStr">
        <is>
          <t>Transfer</t>
        </is>
      </c>
      <c r="I586" t="inlineStr">
        <is>
          <t>All</t>
        </is>
      </c>
      <c r="J586" t="inlineStr">
        <is>
          <t>All</t>
        </is>
      </c>
      <c r="K586" t="inlineStr">
        <is>
          <t>All</t>
        </is>
      </c>
      <c r="L586" t="inlineStr">
        <is>
          <t>MM-DD</t>
        </is>
      </c>
    </row>
    <row r="587">
      <c r="A587" t="inlineStr">
        <is>
          <t>D906</t>
        </is>
      </c>
      <c r="B587" t="inlineStr">
        <is>
          <t>Winter</t>
        </is>
      </c>
      <c r="C587">
        <f>IFERROR(IF(VLOOKUP($A587,'CDS-D'!$A:$L,3,FALSE)="","",(VLOOKUP($A587,'CDS-D'!$A:$L,3,FALSE))),"")</f>
        <v/>
      </c>
      <c r="D587" t="inlineStr">
        <is>
          <t>Transfer Admission</t>
        </is>
      </c>
      <c r="E587" t="inlineStr">
        <is>
          <t>Application for Admission</t>
        </is>
      </c>
      <c r="F587" t="inlineStr">
        <is>
          <t>Dates</t>
        </is>
      </c>
      <c r="G587" t="inlineStr">
        <is>
          <t>Undergraduates</t>
        </is>
      </c>
      <c r="H587" t="inlineStr">
        <is>
          <t>Transfer</t>
        </is>
      </c>
      <c r="I587" t="inlineStr">
        <is>
          <t>All</t>
        </is>
      </c>
      <c r="J587" t="inlineStr">
        <is>
          <t>All</t>
        </is>
      </c>
      <c r="K587" t="inlineStr">
        <is>
          <t>All</t>
        </is>
      </c>
      <c r="L587" t="inlineStr">
        <is>
          <t>MM-DD</t>
        </is>
      </c>
    </row>
    <row r="588">
      <c r="A588" t="inlineStr">
        <is>
          <t>D907</t>
        </is>
      </c>
      <c r="B588" t="inlineStr">
        <is>
          <t>Spring</t>
        </is>
      </c>
      <c r="C588">
        <f>IFERROR(IF(VLOOKUP($A588,'CDS-D'!$A:$L,3,FALSE)="","",(VLOOKUP($A588,'CDS-D'!$A:$L,3,FALSE))),"")</f>
        <v/>
      </c>
      <c r="D588" t="inlineStr">
        <is>
          <t>Transfer Admission</t>
        </is>
      </c>
      <c r="E588" t="inlineStr">
        <is>
          <t>Application for Admission</t>
        </is>
      </c>
      <c r="F588" t="inlineStr">
        <is>
          <t>Dates</t>
        </is>
      </c>
      <c r="G588" t="inlineStr">
        <is>
          <t>Undergraduates</t>
        </is>
      </c>
      <c r="H588" t="inlineStr">
        <is>
          <t>Transfer</t>
        </is>
      </c>
      <c r="I588" t="inlineStr">
        <is>
          <t>All</t>
        </is>
      </c>
      <c r="J588" t="inlineStr">
        <is>
          <t>All</t>
        </is>
      </c>
      <c r="K588" t="inlineStr">
        <is>
          <t>All</t>
        </is>
      </c>
      <c r="L588" t="inlineStr">
        <is>
          <t>MM-DD</t>
        </is>
      </c>
    </row>
    <row r="589">
      <c r="A589" t="inlineStr">
        <is>
          <t>D908</t>
        </is>
      </c>
      <c r="B589" t="inlineStr">
        <is>
          <t>Summer</t>
        </is>
      </c>
      <c r="C589">
        <f>IFERROR(IF(VLOOKUP($A589,'CDS-D'!$A:$L,3,FALSE)="","",(VLOOKUP($A589,'CDS-D'!$A:$L,3,FALSE))),"")</f>
        <v/>
      </c>
      <c r="D589" t="inlineStr">
        <is>
          <t>Transfer Admission</t>
        </is>
      </c>
      <c r="E589" t="inlineStr">
        <is>
          <t>Application for Admission</t>
        </is>
      </c>
      <c r="F589" t="inlineStr">
        <is>
          <t>Dates</t>
        </is>
      </c>
      <c r="G589" t="inlineStr">
        <is>
          <t>Undergraduates</t>
        </is>
      </c>
      <c r="H589" t="inlineStr">
        <is>
          <t>Transfer</t>
        </is>
      </c>
      <c r="I589" t="inlineStr">
        <is>
          <t>All</t>
        </is>
      </c>
      <c r="J589" t="inlineStr">
        <is>
          <t>All</t>
        </is>
      </c>
      <c r="K589" t="inlineStr">
        <is>
          <t>All</t>
        </is>
      </c>
      <c r="L589" t="inlineStr">
        <is>
          <t>MM-DD</t>
        </is>
      </c>
    </row>
    <row r="590">
      <c r="A590" t="inlineStr">
        <is>
          <t>D909</t>
        </is>
      </c>
      <c r="B590" t="inlineStr">
        <is>
          <t>Fall</t>
        </is>
      </c>
      <c r="C590">
        <f>IFERROR(IF(VLOOKUP($A590,'CDS-D'!$A:$L,3,FALSE)="","",(VLOOKUP($A590,'CDS-D'!$A:$L,3,FALSE))),"")</f>
        <v/>
      </c>
      <c r="D590" t="inlineStr">
        <is>
          <t>Transfer Admission</t>
        </is>
      </c>
      <c r="E590" t="inlineStr">
        <is>
          <t>Application for Admission</t>
        </is>
      </c>
      <c r="F590" t="inlineStr">
        <is>
          <t>Dates</t>
        </is>
      </c>
      <c r="G590" t="inlineStr">
        <is>
          <t>Undergraduates</t>
        </is>
      </c>
      <c r="H590" t="inlineStr">
        <is>
          <t>Transfer</t>
        </is>
      </c>
      <c r="I590" t="inlineStr">
        <is>
          <t>All</t>
        </is>
      </c>
      <c r="J590" t="inlineStr">
        <is>
          <t>All</t>
        </is>
      </c>
      <c r="K590" t="inlineStr">
        <is>
          <t>All</t>
        </is>
      </c>
      <c r="L590" t="inlineStr">
        <is>
          <t>MM-DD</t>
        </is>
      </c>
    </row>
    <row r="591">
      <c r="A591" t="inlineStr">
        <is>
          <t>D910</t>
        </is>
      </c>
      <c r="B591" t="inlineStr">
        <is>
          <t>Winter</t>
        </is>
      </c>
      <c r="C591">
        <f>IFERROR(IF(VLOOKUP($A591,'CDS-D'!$A:$L,3,FALSE)="","",(VLOOKUP($A591,'CDS-D'!$A:$L,3,FALSE))),"")</f>
        <v/>
      </c>
      <c r="D591" t="inlineStr">
        <is>
          <t>Transfer Admission</t>
        </is>
      </c>
      <c r="E591" t="inlineStr">
        <is>
          <t>Application for Admission</t>
        </is>
      </c>
      <c r="F591" t="inlineStr">
        <is>
          <t>Dates</t>
        </is>
      </c>
      <c r="G591" t="inlineStr">
        <is>
          <t>Undergraduates</t>
        </is>
      </c>
      <c r="H591" t="inlineStr">
        <is>
          <t>Transfer</t>
        </is>
      </c>
      <c r="I591" t="inlineStr">
        <is>
          <t>All</t>
        </is>
      </c>
      <c r="J591" t="inlineStr">
        <is>
          <t>All</t>
        </is>
      </c>
      <c r="K591" t="inlineStr">
        <is>
          <t>All</t>
        </is>
      </c>
      <c r="L591" t="inlineStr">
        <is>
          <t>MM-DD</t>
        </is>
      </c>
    </row>
    <row r="592">
      <c r="A592" t="inlineStr">
        <is>
          <t>D911</t>
        </is>
      </c>
      <c r="B592" t="inlineStr">
        <is>
          <t>Spring</t>
        </is>
      </c>
      <c r="C592">
        <f>IFERROR(IF(VLOOKUP($A592,'CDS-D'!$A:$L,3,FALSE)="","",(VLOOKUP($A592,'CDS-D'!$A:$L,3,FALSE))),"")</f>
        <v/>
      </c>
      <c r="D592" t="inlineStr">
        <is>
          <t>Transfer Admission</t>
        </is>
      </c>
      <c r="E592" t="inlineStr">
        <is>
          <t>Application for Admission</t>
        </is>
      </c>
      <c r="F592" t="inlineStr">
        <is>
          <t>Dates</t>
        </is>
      </c>
      <c r="G592" t="inlineStr">
        <is>
          <t>Undergraduates</t>
        </is>
      </c>
      <c r="H592" t="inlineStr">
        <is>
          <t>Transfer</t>
        </is>
      </c>
      <c r="I592" t="inlineStr">
        <is>
          <t>All</t>
        </is>
      </c>
      <c r="J592" t="inlineStr">
        <is>
          <t>All</t>
        </is>
      </c>
      <c r="K592" t="inlineStr">
        <is>
          <t>All</t>
        </is>
      </c>
      <c r="L592" t="inlineStr">
        <is>
          <t>MM-DD</t>
        </is>
      </c>
    </row>
    <row r="593">
      <c r="A593" t="inlineStr">
        <is>
          <t>D912</t>
        </is>
      </c>
      <c r="B593" t="inlineStr">
        <is>
          <t>Summer</t>
        </is>
      </c>
      <c r="C593">
        <f>IFERROR(IF(VLOOKUP($A593,'CDS-D'!$A:$L,3,FALSE)="","",(VLOOKUP($A593,'CDS-D'!$A:$L,3,FALSE))),"")</f>
        <v/>
      </c>
      <c r="D593" t="inlineStr">
        <is>
          <t>Transfer Admission</t>
        </is>
      </c>
      <c r="E593" t="inlineStr">
        <is>
          <t>Application for Admission</t>
        </is>
      </c>
      <c r="F593" t="inlineStr">
        <is>
          <t>Dates</t>
        </is>
      </c>
      <c r="G593" t="inlineStr">
        <is>
          <t>Undergraduates</t>
        </is>
      </c>
      <c r="H593" t="inlineStr">
        <is>
          <t>Transfer</t>
        </is>
      </c>
      <c r="I593" t="inlineStr">
        <is>
          <t>All</t>
        </is>
      </c>
      <c r="J593" t="inlineStr">
        <is>
          <t>All</t>
        </is>
      </c>
      <c r="K593" t="inlineStr">
        <is>
          <t>All</t>
        </is>
      </c>
      <c r="L593" t="inlineStr">
        <is>
          <t>MM-DD</t>
        </is>
      </c>
    </row>
    <row r="594">
      <c r="A594" t="inlineStr">
        <is>
          <t>D913</t>
        </is>
      </c>
      <c r="B594" t="inlineStr">
        <is>
          <t>Fall</t>
        </is>
      </c>
      <c r="C594">
        <f>IFERROR(IF(VLOOKUP($A594,'CDS-D'!$A:$L,3,FALSE)="","",(VLOOKUP($A594,'CDS-D'!$A:$L,3,FALSE))),"")</f>
        <v/>
      </c>
      <c r="D594" t="inlineStr">
        <is>
          <t>Transfer Admission</t>
        </is>
      </c>
      <c r="E594" t="inlineStr">
        <is>
          <t>Application for Admission</t>
        </is>
      </c>
      <c r="F594" t="inlineStr">
        <is>
          <t>Dates</t>
        </is>
      </c>
      <c r="G594" t="inlineStr">
        <is>
          <t>Undergraduates</t>
        </is>
      </c>
      <c r="H594" t="inlineStr">
        <is>
          <t>Transfer</t>
        </is>
      </c>
      <c r="I594" t="inlineStr">
        <is>
          <t>All</t>
        </is>
      </c>
      <c r="J594" t="inlineStr">
        <is>
          <t>All</t>
        </is>
      </c>
      <c r="K594" t="inlineStr">
        <is>
          <t>All</t>
        </is>
      </c>
      <c r="L594" t="inlineStr">
        <is>
          <t>MM-DD</t>
        </is>
      </c>
    </row>
    <row r="595">
      <c r="A595" t="inlineStr">
        <is>
          <t>D914</t>
        </is>
      </c>
      <c r="B595" t="inlineStr">
        <is>
          <t>Winter</t>
        </is>
      </c>
      <c r="C595">
        <f>IFERROR(IF(VLOOKUP($A595,'CDS-D'!$A:$L,3,FALSE)="","",(VLOOKUP($A595,'CDS-D'!$A:$L,3,FALSE))),"")</f>
        <v/>
      </c>
      <c r="D595" t="inlineStr">
        <is>
          <t>Transfer Admission</t>
        </is>
      </c>
      <c r="E595" t="inlineStr">
        <is>
          <t>Application for Admission</t>
        </is>
      </c>
      <c r="F595" t="inlineStr">
        <is>
          <t>Dates</t>
        </is>
      </c>
      <c r="G595" t="inlineStr">
        <is>
          <t>Undergraduates</t>
        </is>
      </c>
      <c r="H595" t="inlineStr">
        <is>
          <t>Transfer</t>
        </is>
      </c>
      <c r="I595" t="inlineStr">
        <is>
          <t>All</t>
        </is>
      </c>
      <c r="J595" t="inlineStr">
        <is>
          <t>All</t>
        </is>
      </c>
      <c r="K595" t="inlineStr">
        <is>
          <t>All</t>
        </is>
      </c>
      <c r="L595" t="inlineStr">
        <is>
          <t>MM-DD</t>
        </is>
      </c>
    </row>
    <row r="596">
      <c r="A596" t="inlineStr">
        <is>
          <t>D915</t>
        </is>
      </c>
      <c r="B596" t="inlineStr">
        <is>
          <t>Spring</t>
        </is>
      </c>
      <c r="C596">
        <f>IFERROR(IF(VLOOKUP($A596,'CDS-D'!$A:$L,3,FALSE)="","",(VLOOKUP($A596,'CDS-D'!$A:$L,3,FALSE))),"")</f>
        <v/>
      </c>
      <c r="D596" t="inlineStr">
        <is>
          <t>Transfer Admission</t>
        </is>
      </c>
      <c r="E596" t="inlineStr">
        <is>
          <t>Application for Admission</t>
        </is>
      </c>
      <c r="F596" t="inlineStr">
        <is>
          <t>Dates</t>
        </is>
      </c>
      <c r="G596" t="inlineStr">
        <is>
          <t>Undergraduates</t>
        </is>
      </c>
      <c r="H596" t="inlineStr">
        <is>
          <t>Transfer</t>
        </is>
      </c>
      <c r="I596" t="inlineStr">
        <is>
          <t>All</t>
        </is>
      </c>
      <c r="J596" t="inlineStr">
        <is>
          <t>All</t>
        </is>
      </c>
      <c r="K596" t="inlineStr">
        <is>
          <t>All</t>
        </is>
      </c>
      <c r="L596" t="inlineStr">
        <is>
          <t>MM-DD</t>
        </is>
      </c>
    </row>
    <row r="597">
      <c r="A597" t="inlineStr">
        <is>
          <t>D916</t>
        </is>
      </c>
      <c r="B597" t="inlineStr">
        <is>
          <t>Summer</t>
        </is>
      </c>
      <c r="C597">
        <f>IFERROR(IF(VLOOKUP($A597,'CDS-D'!$A:$L,3,FALSE)="","",(VLOOKUP($A597,'CDS-D'!$A:$L,3,FALSE))),"")</f>
        <v/>
      </c>
      <c r="D597" t="inlineStr">
        <is>
          <t>Transfer Admission</t>
        </is>
      </c>
      <c r="E597" t="inlineStr">
        <is>
          <t>Application for Admission</t>
        </is>
      </c>
      <c r="F597" t="inlineStr">
        <is>
          <t>Dates</t>
        </is>
      </c>
      <c r="G597" t="inlineStr">
        <is>
          <t>Undergraduates</t>
        </is>
      </c>
      <c r="H597" t="inlineStr">
        <is>
          <t>Transfer</t>
        </is>
      </c>
      <c r="I597" t="inlineStr">
        <is>
          <t>All</t>
        </is>
      </c>
      <c r="J597" t="inlineStr">
        <is>
          <t>All</t>
        </is>
      </c>
      <c r="K597" t="inlineStr">
        <is>
          <t>All</t>
        </is>
      </c>
      <c r="L597" t="inlineStr">
        <is>
          <t>MM-DD</t>
        </is>
      </c>
    </row>
    <row r="598">
      <c r="A598" t="inlineStr">
        <is>
          <t>D917</t>
        </is>
      </c>
      <c r="B598" t="inlineStr">
        <is>
          <t>Fall</t>
        </is>
      </c>
      <c r="C598">
        <f>IFERROR(IF(VLOOKUP($A598,'CDS-D'!$A:$L,3,FALSE)="","",(VLOOKUP($A598,'CDS-D'!$A:$L,3,FALSE))),"")</f>
        <v/>
      </c>
      <c r="D598" t="inlineStr">
        <is>
          <t>Transfer Admission</t>
        </is>
      </c>
      <c r="E598" t="inlineStr">
        <is>
          <t>Application for Admission</t>
        </is>
      </c>
      <c r="F598" t="inlineStr">
        <is>
          <t>Dates</t>
        </is>
      </c>
      <c r="G598" t="inlineStr">
        <is>
          <t>Undergraduates</t>
        </is>
      </c>
      <c r="H598" t="inlineStr">
        <is>
          <t>Transfer</t>
        </is>
      </c>
      <c r="I598" t="inlineStr">
        <is>
          <t>All</t>
        </is>
      </c>
      <c r="J598" t="inlineStr">
        <is>
          <t>All</t>
        </is>
      </c>
      <c r="K598" t="inlineStr">
        <is>
          <t>All</t>
        </is>
      </c>
      <c r="L598" t="inlineStr">
        <is>
          <t>MM-DD</t>
        </is>
      </c>
    </row>
    <row r="599">
      <c r="A599" t="inlineStr">
        <is>
          <t>D918</t>
        </is>
      </c>
      <c r="B599" t="inlineStr">
        <is>
          <t>Winter</t>
        </is>
      </c>
      <c r="C599">
        <f>IFERROR(IF(VLOOKUP($A599,'CDS-D'!$A:$L,3,FALSE)="","",(VLOOKUP($A599,'CDS-D'!$A:$L,3,FALSE))),"")</f>
        <v/>
      </c>
      <c r="D599" t="inlineStr">
        <is>
          <t>Transfer Admission</t>
        </is>
      </c>
      <c r="E599" t="inlineStr">
        <is>
          <t>Application for Admission</t>
        </is>
      </c>
      <c r="F599" t="inlineStr">
        <is>
          <t>Dates</t>
        </is>
      </c>
      <c r="G599" t="inlineStr">
        <is>
          <t>Undergraduates</t>
        </is>
      </c>
      <c r="H599" t="inlineStr">
        <is>
          <t>Transfer</t>
        </is>
      </c>
      <c r="I599" t="inlineStr">
        <is>
          <t>All</t>
        </is>
      </c>
      <c r="J599" t="inlineStr">
        <is>
          <t>All</t>
        </is>
      </c>
      <c r="K599" t="inlineStr">
        <is>
          <t>All</t>
        </is>
      </c>
      <c r="L599" t="inlineStr">
        <is>
          <t>MM-DD</t>
        </is>
      </c>
    </row>
    <row r="600">
      <c r="A600" t="inlineStr">
        <is>
          <t>D919</t>
        </is>
      </c>
      <c r="B600" t="inlineStr">
        <is>
          <t>Spring</t>
        </is>
      </c>
      <c r="C600">
        <f>IFERROR(IF(VLOOKUP($A600,'CDS-D'!$A:$L,3,FALSE)="","",(VLOOKUP($A600,'CDS-D'!$A:$L,3,FALSE))),"")</f>
        <v/>
      </c>
      <c r="D600" t="inlineStr">
        <is>
          <t>Transfer Admission</t>
        </is>
      </c>
      <c r="E600" t="inlineStr">
        <is>
          <t>Application for Admission</t>
        </is>
      </c>
      <c r="F600" t="inlineStr">
        <is>
          <t>Dates</t>
        </is>
      </c>
      <c r="G600" t="inlineStr">
        <is>
          <t>Undergraduates</t>
        </is>
      </c>
      <c r="H600" t="inlineStr">
        <is>
          <t>Transfer</t>
        </is>
      </c>
      <c r="I600" t="inlineStr">
        <is>
          <t>All</t>
        </is>
      </c>
      <c r="J600" t="inlineStr">
        <is>
          <t>All</t>
        </is>
      </c>
      <c r="K600" t="inlineStr">
        <is>
          <t>All</t>
        </is>
      </c>
      <c r="L600" t="inlineStr">
        <is>
          <t>MM-DD</t>
        </is>
      </c>
    </row>
    <row r="601">
      <c r="A601" t="inlineStr">
        <is>
          <t>D920</t>
        </is>
      </c>
      <c r="B601" t="inlineStr">
        <is>
          <t>Summer</t>
        </is>
      </c>
      <c r="C601">
        <f>IFERROR(IF(VLOOKUP($A601,'CDS-D'!$A:$L,3,FALSE)="","",(VLOOKUP($A601,'CDS-D'!$A:$L,3,FALSE))),"")</f>
        <v/>
      </c>
      <c r="D601" t="inlineStr">
        <is>
          <t>Transfer Admission</t>
        </is>
      </c>
      <c r="E601" t="inlineStr">
        <is>
          <t>Application for Admission</t>
        </is>
      </c>
      <c r="F601" t="inlineStr">
        <is>
          <t>Dates</t>
        </is>
      </c>
      <c r="G601" t="inlineStr">
        <is>
          <t>Undergraduates</t>
        </is>
      </c>
      <c r="H601" t="inlineStr">
        <is>
          <t>Transfer</t>
        </is>
      </c>
      <c r="I601" t="inlineStr">
        <is>
          <t>All</t>
        </is>
      </c>
      <c r="J601" t="inlineStr">
        <is>
          <t>All</t>
        </is>
      </c>
      <c r="K601" t="inlineStr">
        <is>
          <t>All</t>
        </is>
      </c>
      <c r="L601" t="inlineStr">
        <is>
          <t>MM-DD</t>
        </is>
      </c>
    </row>
    <row r="602">
      <c r="A602" t="inlineStr">
        <is>
          <t>D1001</t>
        </is>
      </c>
      <c r="B602" t="inlineStr">
        <is>
          <t>Does an open admission policy, if reported, apply to transfer students?</t>
        </is>
      </c>
      <c r="C602">
        <f>IFERROR(IF(VLOOKUP($A602,'CDS-D'!$A:$L,3,FALSE)="","",(VLOOKUP($A602,'CDS-D'!$A:$L,3,FALSE))),"")</f>
        <v/>
      </c>
      <c r="D602" t="inlineStr">
        <is>
          <t>Transfer Admission</t>
        </is>
      </c>
      <c r="E602" t="inlineStr">
        <is>
          <t>Application for Admission</t>
        </is>
      </c>
      <c r="F602" t="inlineStr">
        <is>
          <t>Requirements</t>
        </is>
      </c>
      <c r="G602" t="inlineStr">
        <is>
          <t>Undergraduates</t>
        </is>
      </c>
      <c r="H602" t="inlineStr">
        <is>
          <t>Transfer</t>
        </is>
      </c>
      <c r="I602" t="inlineStr">
        <is>
          <t>All</t>
        </is>
      </c>
      <c r="J602" t="inlineStr">
        <is>
          <t>All</t>
        </is>
      </c>
      <c r="K602" t="inlineStr">
        <is>
          <t>All</t>
        </is>
      </c>
      <c r="L602" t="inlineStr">
        <is>
          <t>YN</t>
        </is>
      </c>
    </row>
    <row r="603">
      <c r="A603" t="inlineStr">
        <is>
          <t>D1101</t>
        </is>
      </c>
      <c r="B603" t="inlineStr">
        <is>
          <t xml:space="preserve">Describe additional requirements for transfer admission, if applicable: </t>
        </is>
      </c>
      <c r="C603">
        <f>IFERROR(IF(VLOOKUP($A603,'CDS-D'!$A:$L,3,FALSE)="","",(VLOOKUP($A603,'CDS-D'!$A:$L,3,FALSE))),"")</f>
        <v/>
      </c>
      <c r="D603" t="inlineStr">
        <is>
          <t>Transfer Admission</t>
        </is>
      </c>
      <c r="E603" t="inlineStr">
        <is>
          <t>Application for Admission</t>
        </is>
      </c>
      <c r="F603" t="inlineStr">
        <is>
          <t>Requirements</t>
        </is>
      </c>
      <c r="G603" t="inlineStr">
        <is>
          <t>Undergraduates</t>
        </is>
      </c>
      <c r="H603" t="inlineStr">
        <is>
          <t>Transfer</t>
        </is>
      </c>
      <c r="I603" t="inlineStr">
        <is>
          <t>All</t>
        </is>
      </c>
      <c r="J603" t="inlineStr">
        <is>
          <t>All</t>
        </is>
      </c>
      <c r="K603" t="inlineStr">
        <is>
          <t>All</t>
        </is>
      </c>
      <c r="L603" t="inlineStr">
        <is>
          <t>Text</t>
        </is>
      </c>
    </row>
    <row r="604">
      <c r="A604" t="inlineStr">
        <is>
          <t>D1201</t>
        </is>
      </c>
      <c r="B604" t="inlineStr">
        <is>
          <t>Report the lowest grade earned for any course that may be transferred for credit:</t>
        </is>
      </c>
      <c r="C604">
        <f>IFERROR(IF(VLOOKUP($A604,'CDS-D'!$A:$L,3,FALSE)="","",(VLOOKUP($A604,'CDS-D'!$A:$L,3,FALSE))),"")</f>
        <v/>
      </c>
      <c r="D604" t="inlineStr">
        <is>
          <t>Transfer Admission</t>
        </is>
      </c>
      <c r="E604" t="inlineStr">
        <is>
          <t>Transfer Credit Policies</t>
        </is>
      </c>
      <c r="F604" t="inlineStr">
        <is>
          <t>Min Grade</t>
        </is>
      </c>
      <c r="G604" t="inlineStr">
        <is>
          <t>Undergraduates</t>
        </is>
      </c>
      <c r="H604" t="inlineStr">
        <is>
          <t>Transfer</t>
        </is>
      </c>
      <c r="I604" t="inlineStr">
        <is>
          <t>All</t>
        </is>
      </c>
      <c r="J604" t="inlineStr">
        <is>
          <t>All</t>
        </is>
      </c>
      <c r="K604" t="inlineStr">
        <is>
          <t>All</t>
        </is>
      </c>
      <c r="L604" t="inlineStr">
        <is>
          <t>Text</t>
        </is>
      </c>
    </row>
    <row r="605">
      <c r="A605" t="inlineStr">
        <is>
          <t>D1301</t>
        </is>
      </c>
      <c r="B605" t="inlineStr">
        <is>
          <t>Number</t>
        </is>
      </c>
      <c r="C605">
        <f>IFERROR(IF(VLOOKUP($A605,'CDS-D'!$A:$L,3,FALSE)="","",(VLOOKUP($A605,'CDS-D'!$A:$L,3,FALSE))),"")</f>
        <v/>
      </c>
      <c r="D605" t="inlineStr">
        <is>
          <t>Transfer Admission</t>
        </is>
      </c>
      <c r="E605" t="inlineStr">
        <is>
          <t>Transfer Credit Policies</t>
        </is>
      </c>
      <c r="F605" t="inlineStr">
        <is>
          <t>Max Credits from Two-Year</t>
        </is>
      </c>
      <c r="G605" t="inlineStr">
        <is>
          <t>Undergraduates</t>
        </is>
      </c>
      <c r="H605" t="inlineStr">
        <is>
          <t>Transfer</t>
        </is>
      </c>
      <c r="I605" t="inlineStr">
        <is>
          <t>All</t>
        </is>
      </c>
      <c r="J605" t="inlineStr">
        <is>
          <t>All</t>
        </is>
      </c>
      <c r="K605" t="inlineStr">
        <is>
          <t>All</t>
        </is>
      </c>
      <c r="L605" t="inlineStr">
        <is>
          <t>Number</t>
        </is>
      </c>
    </row>
    <row r="606">
      <c r="A606" t="inlineStr">
        <is>
          <t>D1302</t>
        </is>
      </c>
      <c r="B606" t="inlineStr">
        <is>
          <t>Unit Type</t>
        </is>
      </c>
      <c r="C606">
        <f>IFERROR(IF(VLOOKUP($A606,'CDS-D'!$A:$L,3,FALSE)="","",(VLOOKUP($A606,'CDS-D'!$A:$L,3,FALSE))),"")</f>
        <v/>
      </c>
      <c r="D606" t="inlineStr">
        <is>
          <t>Transfer Admission</t>
        </is>
      </c>
      <c r="E606" t="inlineStr">
        <is>
          <t>Transfer Credit Policies</t>
        </is>
      </c>
      <c r="F606" t="inlineStr">
        <is>
          <t>Max Credits from Two-Year</t>
        </is>
      </c>
      <c r="G606" t="inlineStr">
        <is>
          <t>Undergraduates</t>
        </is>
      </c>
      <c r="H606" t="inlineStr">
        <is>
          <t>Transfer</t>
        </is>
      </c>
      <c r="I606" t="inlineStr">
        <is>
          <t>All</t>
        </is>
      </c>
      <c r="J606" t="inlineStr">
        <is>
          <t>All</t>
        </is>
      </c>
      <c r="K606" t="inlineStr">
        <is>
          <t>All</t>
        </is>
      </c>
      <c r="L606" t="inlineStr">
        <is>
          <t>Unit Type</t>
        </is>
      </c>
    </row>
    <row r="607">
      <c r="A607" t="inlineStr">
        <is>
          <t>D1401</t>
        </is>
      </c>
      <c r="B607" t="inlineStr">
        <is>
          <t>Number</t>
        </is>
      </c>
      <c r="C607">
        <f>IFERROR(IF(VLOOKUP($A607,'CDS-D'!$A:$L,3,FALSE)="","",(VLOOKUP($A607,'CDS-D'!$A:$L,3,FALSE))),"")</f>
        <v/>
      </c>
      <c r="D607" t="inlineStr">
        <is>
          <t>Transfer Admission</t>
        </is>
      </c>
      <c r="E607" t="inlineStr">
        <is>
          <t>Transfer Credit Policies</t>
        </is>
      </c>
      <c r="F607" t="inlineStr">
        <is>
          <t>Max Credits from Four-Year</t>
        </is>
      </c>
      <c r="G607" t="inlineStr">
        <is>
          <t>Undergraduates</t>
        </is>
      </c>
      <c r="H607" t="inlineStr">
        <is>
          <t>Transfer</t>
        </is>
      </c>
      <c r="I607" t="inlineStr">
        <is>
          <t>All</t>
        </is>
      </c>
      <c r="J607" t="inlineStr">
        <is>
          <t>All</t>
        </is>
      </c>
      <c r="K607" t="inlineStr">
        <is>
          <t>All</t>
        </is>
      </c>
      <c r="L607" t="inlineStr">
        <is>
          <t>Number</t>
        </is>
      </c>
    </row>
    <row r="608">
      <c r="A608" t="inlineStr">
        <is>
          <t>D1402</t>
        </is>
      </c>
      <c r="B608" t="inlineStr">
        <is>
          <t>Unit Type</t>
        </is>
      </c>
      <c r="C608">
        <f>IFERROR(IF(VLOOKUP($A608,'CDS-D'!$A:$L,3,FALSE)="","",(VLOOKUP($A608,'CDS-D'!$A:$L,3,FALSE))),"")</f>
        <v/>
      </c>
      <c r="D608" t="inlineStr">
        <is>
          <t>Transfer Admission</t>
        </is>
      </c>
      <c r="E608" t="inlineStr">
        <is>
          <t>Transfer Credit Policies</t>
        </is>
      </c>
      <c r="F608" t="inlineStr">
        <is>
          <t>Max Credits from Four-Year</t>
        </is>
      </c>
      <c r="G608" t="inlineStr">
        <is>
          <t>Undergraduates</t>
        </is>
      </c>
      <c r="H608" t="inlineStr">
        <is>
          <t>Transfer</t>
        </is>
      </c>
      <c r="I608" t="inlineStr">
        <is>
          <t>All</t>
        </is>
      </c>
      <c r="J608" t="inlineStr">
        <is>
          <t>All</t>
        </is>
      </c>
      <c r="K608" t="inlineStr">
        <is>
          <t>All</t>
        </is>
      </c>
      <c r="L608" t="inlineStr">
        <is>
          <t>Unit Type</t>
        </is>
      </c>
    </row>
    <row r="609">
      <c r="A609" t="inlineStr">
        <is>
          <t>D1501</t>
        </is>
      </c>
      <c r="B609" t="inlineStr">
        <is>
          <t>Minimum number of credits that transfers must complete at your institution to earn an associate degree:</t>
        </is>
      </c>
      <c r="C609">
        <f>IFERROR(IF(VLOOKUP($A609,'CDS-D'!$A:$L,3,FALSE)="","",(VLOOKUP($A609,'CDS-D'!$A:$L,3,FALSE))),"")</f>
        <v/>
      </c>
      <c r="D609" t="inlineStr">
        <is>
          <t>Transfer Admission</t>
        </is>
      </c>
      <c r="E609" t="inlineStr">
        <is>
          <t>Transfer Credit Policies</t>
        </is>
      </c>
      <c r="F609" t="inlineStr">
        <is>
          <t>Min Credits</t>
        </is>
      </c>
      <c r="G609" t="inlineStr">
        <is>
          <t>Undergraduates</t>
        </is>
      </c>
      <c r="H609" t="inlineStr">
        <is>
          <t>Transfer</t>
        </is>
      </c>
      <c r="I609" t="inlineStr">
        <is>
          <t>All</t>
        </is>
      </c>
      <c r="J609" t="inlineStr">
        <is>
          <t>All</t>
        </is>
      </c>
      <c r="K609" t="inlineStr">
        <is>
          <t>All</t>
        </is>
      </c>
      <c r="L609" t="inlineStr">
        <is>
          <t>Number</t>
        </is>
      </c>
    </row>
    <row r="610">
      <c r="A610" t="inlineStr">
        <is>
          <t>D1601</t>
        </is>
      </c>
      <c r="B610" t="inlineStr">
        <is>
          <t>Minimum number of credits that transfers must complete at your institution to earn a bachelor’s degree:</t>
        </is>
      </c>
      <c r="C610">
        <f>IFERROR(IF(VLOOKUP($A610,'CDS-D'!$A:$L,3,FALSE)="","",(VLOOKUP($A610,'CDS-D'!$A:$L,3,FALSE))),"")</f>
        <v/>
      </c>
      <c r="D610" t="inlineStr">
        <is>
          <t>Transfer Admission</t>
        </is>
      </c>
      <c r="E610" t="inlineStr">
        <is>
          <t>Transfer Credit Policies</t>
        </is>
      </c>
      <c r="F610" t="inlineStr">
        <is>
          <t>Min Credits</t>
        </is>
      </c>
      <c r="G610" t="inlineStr">
        <is>
          <t>Undergraduates</t>
        </is>
      </c>
      <c r="H610" t="inlineStr">
        <is>
          <t>Transfer</t>
        </is>
      </c>
      <c r="I610" t="inlineStr">
        <is>
          <t>All</t>
        </is>
      </c>
      <c r="J610" t="inlineStr">
        <is>
          <t>All</t>
        </is>
      </c>
      <c r="K610" t="inlineStr">
        <is>
          <t>All</t>
        </is>
      </c>
      <c r="L610" t="inlineStr">
        <is>
          <t>Number</t>
        </is>
      </c>
    </row>
    <row r="611">
      <c r="A611" t="inlineStr">
        <is>
          <t>D1701</t>
        </is>
      </c>
      <c r="B611" t="inlineStr">
        <is>
          <t>Describe other transfer credit policies:</t>
        </is>
      </c>
      <c r="C611">
        <f>IFERROR(IF(VLOOKUP($A611,'CDS-D'!$A:$L,3,FALSE)="","",(VLOOKUP($A611,'CDS-D'!$A:$L,3,FALSE))),"")</f>
        <v/>
      </c>
      <c r="D611" t="inlineStr">
        <is>
          <t>Transfer Admission</t>
        </is>
      </c>
      <c r="E611" t="inlineStr">
        <is>
          <t>Transfer Credit Policies</t>
        </is>
      </c>
      <c r="F611" t="inlineStr">
        <is>
          <t>Other Credit</t>
        </is>
      </c>
      <c r="G611" t="inlineStr">
        <is>
          <t>Undergraduates</t>
        </is>
      </c>
      <c r="H611" t="inlineStr">
        <is>
          <t>Transfer</t>
        </is>
      </c>
      <c r="I611" t="inlineStr">
        <is>
          <t>All</t>
        </is>
      </c>
      <c r="J611" t="inlineStr">
        <is>
          <t>All</t>
        </is>
      </c>
      <c r="K611" t="inlineStr">
        <is>
          <t>All</t>
        </is>
      </c>
      <c r="L611" t="inlineStr">
        <is>
          <t>Text</t>
        </is>
      </c>
    </row>
    <row r="612">
      <c r="A612" t="inlineStr">
        <is>
          <t>D1801</t>
        </is>
      </c>
      <c r="B612" t="inlineStr">
        <is>
          <t>American Council on Education (ACE)</t>
        </is>
      </c>
      <c r="C612">
        <f>IFERROR(IF(VLOOKUP($A612,'CDS-D'!$A:$L,3,FALSE)="","",(VLOOKUP($A612,'CDS-D'!$A:$L,3,FALSE))),"")</f>
        <v/>
      </c>
      <c r="D612" t="inlineStr">
        <is>
          <t>Transfer Admission</t>
        </is>
      </c>
      <c r="E612" t="inlineStr">
        <is>
          <t>Transfer Credit Policies</t>
        </is>
      </c>
      <c r="F612" t="inlineStr">
        <is>
          <t>Military Service Credits</t>
        </is>
      </c>
      <c r="G612" t="inlineStr">
        <is>
          <t>Undergraduates</t>
        </is>
      </c>
      <c r="H612" t="inlineStr">
        <is>
          <t>Transfer</t>
        </is>
      </c>
      <c r="I612" t="inlineStr">
        <is>
          <t>All</t>
        </is>
      </c>
      <c r="J612" t="inlineStr">
        <is>
          <t>All</t>
        </is>
      </c>
      <c r="K612" t="inlineStr">
        <is>
          <t>All</t>
        </is>
      </c>
      <c r="L612" t="inlineStr">
        <is>
          <t>YN</t>
        </is>
      </c>
    </row>
    <row r="613">
      <c r="A613" t="inlineStr">
        <is>
          <t>D1802</t>
        </is>
      </c>
      <c r="B613" t="inlineStr">
        <is>
          <t>College Level Examination Program (CLEP)</t>
        </is>
      </c>
      <c r="C613">
        <f>IFERROR(IF(VLOOKUP($A613,'CDS-D'!$A:$L,3,FALSE)="","",(VLOOKUP($A613,'CDS-D'!$A:$L,3,FALSE))),"")</f>
        <v/>
      </c>
      <c r="D613" t="inlineStr">
        <is>
          <t>Transfer Admission</t>
        </is>
      </c>
      <c r="E613" t="inlineStr">
        <is>
          <t>Transfer Credit Policies</t>
        </is>
      </c>
      <c r="F613" t="inlineStr">
        <is>
          <t>Military Service Credits</t>
        </is>
      </c>
      <c r="G613" t="inlineStr">
        <is>
          <t>Undergraduates</t>
        </is>
      </c>
      <c r="H613" t="inlineStr">
        <is>
          <t>Transfer</t>
        </is>
      </c>
      <c r="I613" t="inlineStr">
        <is>
          <t>All</t>
        </is>
      </c>
      <c r="J613" t="inlineStr">
        <is>
          <t>All</t>
        </is>
      </c>
      <c r="K613" t="inlineStr">
        <is>
          <t>All</t>
        </is>
      </c>
      <c r="L613" t="inlineStr">
        <is>
          <t>YN</t>
        </is>
      </c>
    </row>
    <row r="614">
      <c r="A614" t="inlineStr">
        <is>
          <t>D1803</t>
        </is>
      </c>
      <c r="B614" t="inlineStr">
        <is>
          <t>DANTES Subject Standardized Tests (DSST)</t>
        </is>
      </c>
      <c r="C614">
        <f>IFERROR(IF(VLOOKUP($A614,'CDS-D'!$A:$L,3,FALSE)="","",(VLOOKUP($A614,'CDS-D'!$A:$L,3,FALSE))),"")</f>
        <v/>
      </c>
      <c r="D614" t="inlineStr">
        <is>
          <t>Transfer Admission</t>
        </is>
      </c>
      <c r="E614" t="inlineStr">
        <is>
          <t>Transfer Credit Policies</t>
        </is>
      </c>
      <c r="F614" t="inlineStr">
        <is>
          <t>Military Service Credits</t>
        </is>
      </c>
      <c r="G614" t="inlineStr">
        <is>
          <t>Undergraduates</t>
        </is>
      </c>
      <c r="H614" t="inlineStr">
        <is>
          <t>Transfer</t>
        </is>
      </c>
      <c r="I614" t="inlineStr">
        <is>
          <t>All</t>
        </is>
      </c>
      <c r="J614" t="inlineStr">
        <is>
          <t>All</t>
        </is>
      </c>
      <c r="K614" t="inlineStr">
        <is>
          <t>All</t>
        </is>
      </c>
      <c r="L614" t="inlineStr">
        <is>
          <t>YN</t>
        </is>
      </c>
    </row>
    <row r="615">
      <c r="A615" t="inlineStr">
        <is>
          <t>D1901</t>
        </is>
      </c>
      <c r="B615" t="inlineStr">
        <is>
          <t>Number</t>
        </is>
      </c>
      <c r="C615">
        <f>IFERROR(IF(VLOOKUP($A615,'CDS-D'!$A:$L,3,FALSE)="","",(VLOOKUP($A615,'CDS-D'!$A:$L,3,FALSE))),"")</f>
        <v/>
      </c>
      <c r="D615" t="inlineStr">
        <is>
          <t>Transfer Admission</t>
        </is>
      </c>
      <c r="E615" t="inlineStr">
        <is>
          <t>Transfer Credit Policies</t>
        </is>
      </c>
      <c r="F615" t="inlineStr">
        <is>
          <t>ACE Evaluated</t>
        </is>
      </c>
      <c r="G615" t="inlineStr">
        <is>
          <t>Undergraduates</t>
        </is>
      </c>
      <c r="H615" t="inlineStr">
        <is>
          <t>Transfer</t>
        </is>
      </c>
      <c r="I615" t="inlineStr">
        <is>
          <t>All</t>
        </is>
      </c>
      <c r="J615" t="inlineStr">
        <is>
          <t>All</t>
        </is>
      </c>
      <c r="K615" t="inlineStr">
        <is>
          <t>All</t>
        </is>
      </c>
      <c r="L615" t="inlineStr">
        <is>
          <t>Number</t>
        </is>
      </c>
    </row>
    <row r="616">
      <c r="A616" t="inlineStr">
        <is>
          <t>D1902</t>
        </is>
      </c>
      <c r="B616" t="inlineStr">
        <is>
          <t>Unit Type</t>
        </is>
      </c>
      <c r="C616">
        <f>IFERROR(IF(VLOOKUP($A616,'CDS-D'!$A:$L,3,FALSE)="","",(VLOOKUP($A616,'CDS-D'!$A:$L,3,FALSE))),"")</f>
        <v/>
      </c>
      <c r="D616" t="inlineStr">
        <is>
          <t>Transfer Admission</t>
        </is>
      </c>
      <c r="E616" t="inlineStr">
        <is>
          <t>Transfer Credit Policies</t>
        </is>
      </c>
      <c r="F616" t="inlineStr">
        <is>
          <t>ACE Evaluated</t>
        </is>
      </c>
      <c r="G616" t="inlineStr">
        <is>
          <t>Undergraduates</t>
        </is>
      </c>
      <c r="H616" t="inlineStr">
        <is>
          <t>Transfer</t>
        </is>
      </c>
      <c r="I616" t="inlineStr">
        <is>
          <t>All</t>
        </is>
      </c>
      <c r="J616" t="inlineStr">
        <is>
          <t>All</t>
        </is>
      </c>
      <c r="K616" t="inlineStr">
        <is>
          <t>All</t>
        </is>
      </c>
      <c r="L616" t="inlineStr">
        <is>
          <t>Unit Type</t>
        </is>
      </c>
    </row>
    <row r="617">
      <c r="A617" t="inlineStr">
        <is>
          <t>D2001</t>
        </is>
      </c>
      <c r="B617" t="inlineStr">
        <is>
          <t>Number</t>
        </is>
      </c>
      <c r="C617">
        <f>IFERROR(IF(VLOOKUP($A617,'CDS-D'!$A:$L,3,FALSE)="","",(VLOOKUP($A617,'CDS-D'!$A:$L,3,FALSE))),"")</f>
        <v/>
      </c>
      <c r="D617" t="inlineStr">
        <is>
          <t>Transfer Admission</t>
        </is>
      </c>
      <c r="E617" t="inlineStr">
        <is>
          <t>Transfer Credit Policies</t>
        </is>
      </c>
      <c r="F617" t="inlineStr">
        <is>
          <t>DoD Supported</t>
        </is>
      </c>
      <c r="G617" t="inlineStr">
        <is>
          <t>Undergraduates</t>
        </is>
      </c>
      <c r="H617" t="inlineStr">
        <is>
          <t>Transfer</t>
        </is>
      </c>
      <c r="I617" t="inlineStr">
        <is>
          <t>All</t>
        </is>
      </c>
      <c r="J617" t="inlineStr">
        <is>
          <t>All</t>
        </is>
      </c>
      <c r="K617" t="inlineStr">
        <is>
          <t>All</t>
        </is>
      </c>
      <c r="L617" t="inlineStr">
        <is>
          <t>Number</t>
        </is>
      </c>
    </row>
    <row r="618">
      <c r="A618" t="inlineStr">
        <is>
          <t>D2002</t>
        </is>
      </c>
      <c r="B618" t="inlineStr">
        <is>
          <t>Unit Type</t>
        </is>
      </c>
      <c r="C618">
        <f>IFERROR(IF(VLOOKUP($A618,'CDS-D'!$A:$L,3,FALSE)="","",(VLOOKUP($A618,'CDS-D'!$A:$L,3,FALSE))),"")</f>
        <v/>
      </c>
      <c r="D618" t="inlineStr">
        <is>
          <t>Transfer Admission</t>
        </is>
      </c>
      <c r="E618" t="inlineStr">
        <is>
          <t>Transfer Credit Policies</t>
        </is>
      </c>
      <c r="F618" t="inlineStr">
        <is>
          <t>DoD Supported</t>
        </is>
      </c>
      <c r="G618" t="inlineStr">
        <is>
          <t>Undergraduates</t>
        </is>
      </c>
      <c r="H618" t="inlineStr">
        <is>
          <t>Transfer</t>
        </is>
      </c>
      <c r="I618" t="inlineStr">
        <is>
          <t>All</t>
        </is>
      </c>
      <c r="J618" t="inlineStr">
        <is>
          <t>All</t>
        </is>
      </c>
      <c r="K618" t="inlineStr">
        <is>
          <t>All</t>
        </is>
      </c>
      <c r="L618" t="inlineStr">
        <is>
          <t>Unit Type</t>
        </is>
      </c>
    </row>
    <row r="619">
      <c r="A619" t="inlineStr">
        <is>
          <t>D2101</t>
        </is>
      </c>
      <c r="B619" t="inlineStr">
        <is>
          <t>Are the military/veteran credit transfer policies published on your website?</t>
        </is>
      </c>
      <c r="C619">
        <f>IFERROR(IF(VLOOKUP($A619,'CDS-D'!$A:$L,3,FALSE)="","",(VLOOKUP($A619,'CDS-D'!$A:$L,3,FALSE))),"")</f>
        <v/>
      </c>
      <c r="D619" t="inlineStr">
        <is>
          <t>Transfer Admission</t>
        </is>
      </c>
      <c r="E619" t="inlineStr">
        <is>
          <t>Transfer Credit Policies</t>
        </is>
      </c>
      <c r="F619" t="inlineStr">
        <is>
          <t>Military Service</t>
        </is>
      </c>
      <c r="G619" t="inlineStr">
        <is>
          <t>Undergraduates</t>
        </is>
      </c>
      <c r="H619" t="inlineStr">
        <is>
          <t>Transfer</t>
        </is>
      </c>
      <c r="I619" t="inlineStr">
        <is>
          <t>All</t>
        </is>
      </c>
      <c r="J619" t="inlineStr">
        <is>
          <t>All</t>
        </is>
      </c>
      <c r="K619" t="inlineStr">
        <is>
          <t>All</t>
        </is>
      </c>
      <c r="L619" t="inlineStr">
        <is>
          <t>YN</t>
        </is>
      </c>
    </row>
    <row r="620">
      <c r="A620" t="inlineStr">
        <is>
          <t>D2102</t>
        </is>
      </c>
      <c r="B620" t="inlineStr">
        <is>
          <t>If yes, please provide the URL where the policy can be located:</t>
        </is>
      </c>
      <c r="C620">
        <f>IFERROR(IF(VLOOKUP($A620,'CDS-D'!$A:$L,3,FALSE)="","",(VLOOKUP($A620,'CDS-D'!$A:$L,3,FALSE))),"")</f>
        <v/>
      </c>
      <c r="D620" t="inlineStr">
        <is>
          <t>Transfer Admission</t>
        </is>
      </c>
      <c r="E620" t="inlineStr">
        <is>
          <t>Transfer Credit Policies</t>
        </is>
      </c>
      <c r="F620" t="inlineStr">
        <is>
          <t>Military Service</t>
        </is>
      </c>
      <c r="G620" t="inlineStr">
        <is>
          <t>Undergraduates</t>
        </is>
      </c>
      <c r="H620" t="inlineStr">
        <is>
          <t>Transfer</t>
        </is>
      </c>
      <c r="I620" t="inlineStr">
        <is>
          <t>All</t>
        </is>
      </c>
      <c r="J620" t="inlineStr">
        <is>
          <t>All</t>
        </is>
      </c>
      <c r="K620" t="inlineStr">
        <is>
          <t>All</t>
        </is>
      </c>
      <c r="L620" t="inlineStr">
        <is>
          <t>URL</t>
        </is>
      </c>
    </row>
    <row r="621">
      <c r="A621" t="inlineStr">
        <is>
          <t>D2202</t>
        </is>
      </c>
      <c r="B621" t="inlineStr">
        <is>
          <t>Describe other military/veteran transfer credit policies unique to your institution:</t>
        </is>
      </c>
      <c r="C621">
        <f>IFERROR(IF(VLOOKUP($A621,'CDS-D'!$A:$L,3,FALSE)="","",(VLOOKUP($A621,'CDS-D'!$A:$L,3,FALSE))),"")</f>
        <v/>
      </c>
      <c r="D621" t="inlineStr">
        <is>
          <t>Transfer Admission</t>
        </is>
      </c>
      <c r="E621" t="inlineStr">
        <is>
          <t>Transfer Credit Policies</t>
        </is>
      </c>
      <c r="F621" t="inlineStr">
        <is>
          <t>Military Service</t>
        </is>
      </c>
      <c r="G621" t="inlineStr">
        <is>
          <t>Undergraduates</t>
        </is>
      </c>
      <c r="H621" t="inlineStr">
        <is>
          <t>Transfer</t>
        </is>
      </c>
      <c r="I621" t="inlineStr">
        <is>
          <t>All</t>
        </is>
      </c>
      <c r="J621" t="inlineStr">
        <is>
          <t>All</t>
        </is>
      </c>
      <c r="K621" t="inlineStr">
        <is>
          <t>All</t>
        </is>
      </c>
      <c r="L621" t="inlineStr">
        <is>
          <t>Text</t>
        </is>
      </c>
    </row>
    <row r="622">
      <c r="A622" t="inlineStr">
        <is>
          <t>E101</t>
        </is>
      </c>
      <c r="B622" t="inlineStr">
        <is>
          <t>Accelerated program</t>
        </is>
      </c>
      <c r="C622">
        <f>IFERROR(IF(VLOOKUP($A622,'CDS-E'!$A:$L,3,FALSE)="","",(VLOOKUP($A622,'CDS-E'!$A:$L,3,FALSE))),"")</f>
        <v/>
      </c>
      <c r="D622" t="inlineStr">
        <is>
          <t>Academic Offerings and Policies</t>
        </is>
      </c>
      <c r="E622" t="inlineStr">
        <is>
          <t>Special Study Options</t>
        </is>
      </c>
      <c r="F622" t="inlineStr">
        <is>
          <t>All</t>
        </is>
      </c>
      <c r="G622" t="inlineStr">
        <is>
          <t>All</t>
        </is>
      </c>
      <c r="H622" t="inlineStr">
        <is>
          <t>All</t>
        </is>
      </c>
      <c r="I622" t="inlineStr">
        <is>
          <t>All</t>
        </is>
      </c>
      <c r="J622" t="inlineStr">
        <is>
          <t>All</t>
        </is>
      </c>
      <c r="K622" t="inlineStr">
        <is>
          <t>All</t>
        </is>
      </c>
      <c r="L622" t="inlineStr">
        <is>
          <t>x</t>
        </is>
      </c>
    </row>
    <row r="623">
      <c r="A623" t="inlineStr">
        <is>
          <t>E102</t>
        </is>
      </c>
      <c r="B623" t="inlineStr">
        <is>
          <t>Comprehensive transition and postsecondary program for students with intellectual disabilities</t>
        </is>
      </c>
      <c r="C623">
        <f>IFERROR(IF(VLOOKUP($A623,'CDS-E'!$A:$L,3,FALSE)="","",(VLOOKUP($A623,'CDS-E'!$A:$L,3,FALSE))),"")</f>
        <v/>
      </c>
      <c r="D623" t="inlineStr">
        <is>
          <t>Academic Offerings and Policies</t>
        </is>
      </c>
      <c r="E623" t="inlineStr">
        <is>
          <t>Special Study Options</t>
        </is>
      </c>
      <c r="F623" t="inlineStr">
        <is>
          <t>All</t>
        </is>
      </c>
      <c r="G623" t="inlineStr">
        <is>
          <t>All</t>
        </is>
      </c>
      <c r="H623" t="inlineStr">
        <is>
          <t>All</t>
        </is>
      </c>
      <c r="I623" t="inlineStr">
        <is>
          <t>All</t>
        </is>
      </c>
      <c r="J623" t="inlineStr">
        <is>
          <t>All</t>
        </is>
      </c>
      <c r="K623" t="inlineStr">
        <is>
          <t>All</t>
        </is>
      </c>
      <c r="L623" t="inlineStr">
        <is>
          <t>x</t>
        </is>
      </c>
    </row>
    <row r="624">
      <c r="A624" t="inlineStr">
        <is>
          <t>E103</t>
        </is>
      </c>
      <c r="B624" t="inlineStr">
        <is>
          <t>Cross-registration</t>
        </is>
      </c>
      <c r="C624">
        <f>IFERROR(IF(VLOOKUP($A624,'CDS-E'!$A:$L,3,FALSE)="","",(VLOOKUP($A624,'CDS-E'!$A:$L,3,FALSE))),"")</f>
        <v/>
      </c>
      <c r="D624" t="inlineStr">
        <is>
          <t>Academic Offerings and Policies</t>
        </is>
      </c>
      <c r="E624" t="inlineStr">
        <is>
          <t>Special Study Options</t>
        </is>
      </c>
      <c r="F624" t="inlineStr">
        <is>
          <t>All</t>
        </is>
      </c>
      <c r="G624" t="inlineStr">
        <is>
          <t>All</t>
        </is>
      </c>
      <c r="H624" t="inlineStr">
        <is>
          <t>All</t>
        </is>
      </c>
      <c r="I624" t="inlineStr">
        <is>
          <t>All</t>
        </is>
      </c>
      <c r="J624" t="inlineStr">
        <is>
          <t>All</t>
        </is>
      </c>
      <c r="K624" t="inlineStr">
        <is>
          <t>All</t>
        </is>
      </c>
      <c r="L624" t="inlineStr">
        <is>
          <t>x</t>
        </is>
      </c>
    </row>
    <row r="625">
      <c r="A625" t="inlineStr">
        <is>
          <t>E104</t>
        </is>
      </c>
      <c r="B625" t="inlineStr">
        <is>
          <t>Distance learning</t>
        </is>
      </c>
      <c r="C625">
        <f>IFERROR(IF(VLOOKUP($A625,'CDS-E'!$A:$L,3,FALSE)="","",(VLOOKUP($A625,'CDS-E'!$A:$L,3,FALSE))),"")</f>
        <v/>
      </c>
      <c r="D625" t="inlineStr">
        <is>
          <t>Academic Offerings and Policies</t>
        </is>
      </c>
      <c r="E625" t="inlineStr">
        <is>
          <t>Special Study Options</t>
        </is>
      </c>
      <c r="F625" t="inlineStr">
        <is>
          <t>All</t>
        </is>
      </c>
      <c r="G625" t="inlineStr">
        <is>
          <t>All</t>
        </is>
      </c>
      <c r="H625" t="inlineStr">
        <is>
          <t>All</t>
        </is>
      </c>
      <c r="I625" t="inlineStr">
        <is>
          <t>All</t>
        </is>
      </c>
      <c r="J625" t="inlineStr">
        <is>
          <t>All</t>
        </is>
      </c>
      <c r="K625" t="inlineStr">
        <is>
          <t>All</t>
        </is>
      </c>
      <c r="L625" t="inlineStr">
        <is>
          <t>x</t>
        </is>
      </c>
    </row>
    <row r="626">
      <c r="A626" t="inlineStr">
        <is>
          <t>E105</t>
        </is>
      </c>
      <c r="B626" t="inlineStr">
        <is>
          <t>Double major</t>
        </is>
      </c>
      <c r="C626">
        <f>IFERROR(IF(VLOOKUP($A626,'CDS-E'!$A:$L,3,FALSE)="","",(VLOOKUP($A626,'CDS-E'!$A:$L,3,FALSE))),"")</f>
        <v/>
      </c>
      <c r="D626" t="inlineStr">
        <is>
          <t>Academic Offerings and Policies</t>
        </is>
      </c>
      <c r="E626" t="inlineStr">
        <is>
          <t>Special Study Options</t>
        </is>
      </c>
      <c r="F626" t="inlineStr">
        <is>
          <t>All</t>
        </is>
      </c>
      <c r="G626" t="inlineStr">
        <is>
          <t>All</t>
        </is>
      </c>
      <c r="H626" t="inlineStr">
        <is>
          <t>All</t>
        </is>
      </c>
      <c r="I626" t="inlineStr">
        <is>
          <t>All</t>
        </is>
      </c>
      <c r="J626" t="inlineStr">
        <is>
          <t>All</t>
        </is>
      </c>
      <c r="K626" t="inlineStr">
        <is>
          <t>All</t>
        </is>
      </c>
      <c r="L626" t="inlineStr">
        <is>
          <t>x</t>
        </is>
      </c>
    </row>
    <row r="627">
      <c r="A627" t="inlineStr">
        <is>
          <t>E106</t>
        </is>
      </c>
      <c r="B627" t="inlineStr">
        <is>
          <t>Dual enrollment</t>
        </is>
      </c>
      <c r="C627">
        <f>IFERROR(IF(VLOOKUP($A627,'CDS-E'!$A:$L,3,FALSE)="","",(VLOOKUP($A627,'CDS-E'!$A:$L,3,FALSE))),"")</f>
        <v/>
      </c>
      <c r="D627" t="inlineStr">
        <is>
          <t>Academic Offerings and Policies</t>
        </is>
      </c>
      <c r="E627" t="inlineStr">
        <is>
          <t>Special Study Options</t>
        </is>
      </c>
      <c r="F627" t="inlineStr">
        <is>
          <t>All</t>
        </is>
      </c>
      <c r="G627" t="inlineStr">
        <is>
          <t>All</t>
        </is>
      </c>
      <c r="H627" t="inlineStr">
        <is>
          <t>All</t>
        </is>
      </c>
      <c r="I627" t="inlineStr">
        <is>
          <t>All</t>
        </is>
      </c>
      <c r="J627" t="inlineStr">
        <is>
          <t>All</t>
        </is>
      </c>
      <c r="K627" t="inlineStr">
        <is>
          <t>All</t>
        </is>
      </c>
      <c r="L627" t="inlineStr">
        <is>
          <t>x</t>
        </is>
      </c>
    </row>
    <row r="628">
      <c r="A628" t="inlineStr">
        <is>
          <t>E107</t>
        </is>
      </c>
      <c r="B628" t="inlineStr">
        <is>
          <t>English as a Second Language (ESL)</t>
        </is>
      </c>
      <c r="C628">
        <f>IFERROR(IF(VLOOKUP($A628,'CDS-E'!$A:$L,3,FALSE)="","",(VLOOKUP($A628,'CDS-E'!$A:$L,3,FALSE))),"")</f>
        <v/>
      </c>
      <c r="D628" t="inlineStr">
        <is>
          <t>Academic Offerings and Policies</t>
        </is>
      </c>
      <c r="E628" t="inlineStr">
        <is>
          <t>Special Study Options</t>
        </is>
      </c>
      <c r="F628" t="inlineStr">
        <is>
          <t>All</t>
        </is>
      </c>
      <c r="G628" t="inlineStr">
        <is>
          <t>All</t>
        </is>
      </c>
      <c r="H628" t="inlineStr">
        <is>
          <t>All</t>
        </is>
      </c>
      <c r="I628" t="inlineStr">
        <is>
          <t>All</t>
        </is>
      </c>
      <c r="J628" t="inlineStr">
        <is>
          <t>All</t>
        </is>
      </c>
      <c r="K628" t="inlineStr">
        <is>
          <t>All</t>
        </is>
      </c>
      <c r="L628" t="inlineStr">
        <is>
          <t>x</t>
        </is>
      </c>
    </row>
    <row r="629">
      <c r="A629" t="inlineStr">
        <is>
          <t>E108</t>
        </is>
      </c>
      <c r="B629" t="inlineStr">
        <is>
          <t>Exchange student program (domestic)</t>
        </is>
      </c>
      <c r="C629">
        <f>IFERROR(IF(VLOOKUP($A629,'CDS-E'!$A:$L,3,FALSE)="","",(VLOOKUP($A629,'CDS-E'!$A:$L,3,FALSE))),"")</f>
        <v/>
      </c>
      <c r="D629" t="inlineStr">
        <is>
          <t>Academic Offerings and Policies</t>
        </is>
      </c>
      <c r="E629" t="inlineStr">
        <is>
          <t>Special Study Options</t>
        </is>
      </c>
      <c r="F629" t="inlineStr">
        <is>
          <t>All</t>
        </is>
      </c>
      <c r="G629" t="inlineStr">
        <is>
          <t>All</t>
        </is>
      </c>
      <c r="H629" t="inlineStr">
        <is>
          <t>All</t>
        </is>
      </c>
      <c r="I629" t="inlineStr">
        <is>
          <t>All</t>
        </is>
      </c>
      <c r="J629" t="inlineStr">
        <is>
          <t>All</t>
        </is>
      </c>
      <c r="K629" t="inlineStr">
        <is>
          <t>All</t>
        </is>
      </c>
      <c r="L629" t="inlineStr">
        <is>
          <t>x</t>
        </is>
      </c>
    </row>
    <row r="630">
      <c r="A630" t="inlineStr">
        <is>
          <t>E109</t>
        </is>
      </c>
      <c r="B630" t="inlineStr">
        <is>
          <t>External degree program</t>
        </is>
      </c>
      <c r="C630">
        <f>IFERROR(IF(VLOOKUP($A630,'CDS-E'!$A:$L,3,FALSE)="","",(VLOOKUP($A630,'CDS-E'!$A:$L,3,FALSE))),"")</f>
        <v/>
      </c>
      <c r="D630" t="inlineStr">
        <is>
          <t>Academic Offerings and Policies</t>
        </is>
      </c>
      <c r="E630" t="inlineStr">
        <is>
          <t>Special Study Options</t>
        </is>
      </c>
      <c r="F630" t="inlineStr">
        <is>
          <t>All</t>
        </is>
      </c>
      <c r="G630" t="inlineStr">
        <is>
          <t>All</t>
        </is>
      </c>
      <c r="H630" t="inlineStr">
        <is>
          <t>All</t>
        </is>
      </c>
      <c r="I630" t="inlineStr">
        <is>
          <t>All</t>
        </is>
      </c>
      <c r="J630" t="inlineStr">
        <is>
          <t>All</t>
        </is>
      </c>
      <c r="K630" t="inlineStr">
        <is>
          <t>All</t>
        </is>
      </c>
      <c r="L630" t="inlineStr">
        <is>
          <t>x</t>
        </is>
      </c>
    </row>
    <row r="631">
      <c r="A631" t="inlineStr">
        <is>
          <t>E110</t>
        </is>
      </c>
      <c r="B631" t="inlineStr">
        <is>
          <t>Honors Program</t>
        </is>
      </c>
      <c r="C631">
        <f>IFERROR(IF(VLOOKUP($A631,'CDS-E'!$A:$L,3,FALSE)="","",(VLOOKUP($A631,'CDS-E'!$A:$L,3,FALSE))),"")</f>
        <v/>
      </c>
      <c r="D631" t="inlineStr">
        <is>
          <t>Academic Offerings and Policies</t>
        </is>
      </c>
      <c r="E631" t="inlineStr">
        <is>
          <t>Special Study Options</t>
        </is>
      </c>
      <c r="F631" t="inlineStr">
        <is>
          <t>All</t>
        </is>
      </c>
      <c r="G631" t="inlineStr">
        <is>
          <t>All</t>
        </is>
      </c>
      <c r="H631" t="inlineStr">
        <is>
          <t>All</t>
        </is>
      </c>
      <c r="I631" t="inlineStr">
        <is>
          <t>All</t>
        </is>
      </c>
      <c r="J631" t="inlineStr">
        <is>
          <t>All</t>
        </is>
      </c>
      <c r="K631" t="inlineStr">
        <is>
          <t>All</t>
        </is>
      </c>
      <c r="L631" t="inlineStr">
        <is>
          <t>x</t>
        </is>
      </c>
    </row>
    <row r="632">
      <c r="A632" t="inlineStr">
        <is>
          <t>E111</t>
        </is>
      </c>
      <c r="B632" t="inlineStr">
        <is>
          <t>Independent study</t>
        </is>
      </c>
      <c r="C632">
        <f>IFERROR(IF(VLOOKUP($A632,'CDS-E'!$A:$L,3,FALSE)="","",(VLOOKUP($A632,'CDS-E'!$A:$L,3,FALSE))),"")</f>
        <v/>
      </c>
      <c r="D632" t="inlineStr">
        <is>
          <t>Academic Offerings and Policies</t>
        </is>
      </c>
      <c r="E632" t="inlineStr">
        <is>
          <t>Special Study Options</t>
        </is>
      </c>
      <c r="F632" t="inlineStr">
        <is>
          <t>All</t>
        </is>
      </c>
      <c r="G632" t="inlineStr">
        <is>
          <t>All</t>
        </is>
      </c>
      <c r="H632" t="inlineStr">
        <is>
          <t>All</t>
        </is>
      </c>
      <c r="I632" t="inlineStr">
        <is>
          <t>All</t>
        </is>
      </c>
      <c r="J632" t="inlineStr">
        <is>
          <t>All</t>
        </is>
      </c>
      <c r="K632" t="inlineStr">
        <is>
          <t>All</t>
        </is>
      </c>
      <c r="L632" t="inlineStr">
        <is>
          <t>x</t>
        </is>
      </c>
    </row>
    <row r="633">
      <c r="A633" t="inlineStr">
        <is>
          <t>E112</t>
        </is>
      </c>
      <c r="B633" t="inlineStr">
        <is>
          <t>Internships</t>
        </is>
      </c>
      <c r="C633">
        <f>IFERROR(IF(VLOOKUP($A633,'CDS-E'!$A:$L,3,FALSE)="","",(VLOOKUP($A633,'CDS-E'!$A:$L,3,FALSE))),"")</f>
        <v/>
      </c>
      <c r="D633" t="inlineStr">
        <is>
          <t>Academic Offerings and Policies</t>
        </is>
      </c>
      <c r="E633" t="inlineStr">
        <is>
          <t>Special Study Options</t>
        </is>
      </c>
      <c r="F633" t="inlineStr">
        <is>
          <t>All</t>
        </is>
      </c>
      <c r="G633" t="inlineStr">
        <is>
          <t>All</t>
        </is>
      </c>
      <c r="H633" t="inlineStr">
        <is>
          <t>All</t>
        </is>
      </c>
      <c r="I633" t="inlineStr">
        <is>
          <t>All</t>
        </is>
      </c>
      <c r="J633" t="inlineStr">
        <is>
          <t>All</t>
        </is>
      </c>
      <c r="K633" t="inlineStr">
        <is>
          <t>All</t>
        </is>
      </c>
      <c r="L633" t="inlineStr">
        <is>
          <t>x</t>
        </is>
      </c>
    </row>
    <row r="634">
      <c r="A634" t="inlineStr">
        <is>
          <t>E113</t>
        </is>
      </c>
      <c r="B634" t="inlineStr">
        <is>
          <t>Liberal arts/career combination</t>
        </is>
      </c>
      <c r="C634">
        <f>IFERROR(IF(VLOOKUP($A634,'CDS-E'!$A:$L,3,FALSE)="","",(VLOOKUP($A634,'CDS-E'!$A:$L,3,FALSE))),"")</f>
        <v/>
      </c>
      <c r="D634" t="inlineStr">
        <is>
          <t>Academic Offerings and Policies</t>
        </is>
      </c>
      <c r="E634" t="inlineStr">
        <is>
          <t>Special Study Options</t>
        </is>
      </c>
      <c r="F634" t="inlineStr">
        <is>
          <t>All</t>
        </is>
      </c>
      <c r="G634" t="inlineStr">
        <is>
          <t>All</t>
        </is>
      </c>
      <c r="H634" t="inlineStr">
        <is>
          <t>All</t>
        </is>
      </c>
      <c r="I634" t="inlineStr">
        <is>
          <t>All</t>
        </is>
      </c>
      <c r="J634" t="inlineStr">
        <is>
          <t>All</t>
        </is>
      </c>
      <c r="K634" t="inlineStr">
        <is>
          <t>All</t>
        </is>
      </c>
      <c r="L634" t="inlineStr">
        <is>
          <t>x</t>
        </is>
      </c>
    </row>
    <row r="635">
      <c r="A635" t="inlineStr">
        <is>
          <t>E114</t>
        </is>
      </c>
      <c r="B635" t="inlineStr">
        <is>
          <t>Student-designed major</t>
        </is>
      </c>
      <c r="C635">
        <f>IFERROR(IF(VLOOKUP($A635,'CDS-E'!$A:$L,3,FALSE)="","",(VLOOKUP($A635,'CDS-E'!$A:$L,3,FALSE))),"")</f>
        <v/>
      </c>
      <c r="D635" t="inlineStr">
        <is>
          <t>Academic Offerings and Policies</t>
        </is>
      </c>
      <c r="E635" t="inlineStr">
        <is>
          <t>Special Study Options</t>
        </is>
      </c>
      <c r="F635" t="inlineStr">
        <is>
          <t>All</t>
        </is>
      </c>
      <c r="G635" t="inlineStr">
        <is>
          <t>All</t>
        </is>
      </c>
      <c r="H635" t="inlineStr">
        <is>
          <t>All</t>
        </is>
      </c>
      <c r="I635" t="inlineStr">
        <is>
          <t>All</t>
        </is>
      </c>
      <c r="J635" t="inlineStr">
        <is>
          <t>All</t>
        </is>
      </c>
      <c r="K635" t="inlineStr">
        <is>
          <t>All</t>
        </is>
      </c>
      <c r="L635" t="inlineStr">
        <is>
          <t>x</t>
        </is>
      </c>
    </row>
    <row r="636">
      <c r="A636" t="inlineStr">
        <is>
          <t>E115</t>
        </is>
      </c>
      <c r="B636" t="inlineStr">
        <is>
          <t>Study abroad</t>
        </is>
      </c>
      <c r="C636">
        <f>IFERROR(IF(VLOOKUP($A636,'CDS-E'!$A:$L,3,FALSE)="","",(VLOOKUP($A636,'CDS-E'!$A:$L,3,FALSE))),"")</f>
        <v/>
      </c>
      <c r="D636" t="inlineStr">
        <is>
          <t>Academic Offerings and Policies</t>
        </is>
      </c>
      <c r="E636" t="inlineStr">
        <is>
          <t>Special Study Options</t>
        </is>
      </c>
      <c r="F636" t="inlineStr">
        <is>
          <t>All</t>
        </is>
      </c>
      <c r="G636" t="inlineStr">
        <is>
          <t>All</t>
        </is>
      </c>
      <c r="H636" t="inlineStr">
        <is>
          <t>All</t>
        </is>
      </c>
      <c r="I636" t="inlineStr">
        <is>
          <t>All</t>
        </is>
      </c>
      <c r="J636" t="inlineStr">
        <is>
          <t>All</t>
        </is>
      </c>
      <c r="K636" t="inlineStr">
        <is>
          <t>All</t>
        </is>
      </c>
      <c r="L636" t="inlineStr">
        <is>
          <t>x</t>
        </is>
      </c>
    </row>
    <row r="637">
      <c r="A637" t="inlineStr">
        <is>
          <t>E116</t>
        </is>
      </c>
      <c r="B637" t="inlineStr">
        <is>
          <t>Teacher certification program</t>
        </is>
      </c>
      <c r="C637">
        <f>IFERROR(IF(VLOOKUP($A637,'CDS-E'!$A:$L,3,FALSE)="","",(VLOOKUP($A637,'CDS-E'!$A:$L,3,FALSE))),"")</f>
        <v/>
      </c>
      <c r="D637" t="inlineStr">
        <is>
          <t>Academic Offerings and Policies</t>
        </is>
      </c>
      <c r="E637" t="inlineStr">
        <is>
          <t>Special Study Options</t>
        </is>
      </c>
      <c r="F637" t="inlineStr">
        <is>
          <t>All</t>
        </is>
      </c>
      <c r="G637" t="inlineStr">
        <is>
          <t>All</t>
        </is>
      </c>
      <c r="H637" t="inlineStr">
        <is>
          <t>All</t>
        </is>
      </c>
      <c r="I637" t="inlineStr">
        <is>
          <t>All</t>
        </is>
      </c>
      <c r="J637" t="inlineStr">
        <is>
          <t>All</t>
        </is>
      </c>
      <c r="K637" t="inlineStr">
        <is>
          <t>All</t>
        </is>
      </c>
      <c r="L637" t="inlineStr">
        <is>
          <t>x</t>
        </is>
      </c>
    </row>
    <row r="638">
      <c r="A638" t="inlineStr">
        <is>
          <t>E117</t>
        </is>
      </c>
      <c r="B638" t="inlineStr">
        <is>
          <t>Undergraduate Research</t>
        </is>
      </c>
      <c r="C638">
        <f>IFERROR(IF(VLOOKUP($A638,'CDS-E'!$A:$L,3,FALSE)="","",(VLOOKUP($A638,'CDS-E'!$A:$L,3,FALSE))),"")</f>
        <v/>
      </c>
      <c r="D638" t="inlineStr">
        <is>
          <t>Academic Offerings and Policies</t>
        </is>
      </c>
      <c r="E638" t="inlineStr">
        <is>
          <t>Special Study Options</t>
        </is>
      </c>
      <c r="F638" t="inlineStr">
        <is>
          <t>All</t>
        </is>
      </c>
      <c r="G638" t="inlineStr">
        <is>
          <t>All</t>
        </is>
      </c>
      <c r="H638" t="inlineStr">
        <is>
          <t>All</t>
        </is>
      </c>
      <c r="I638" t="inlineStr">
        <is>
          <t>All</t>
        </is>
      </c>
      <c r="J638" t="inlineStr">
        <is>
          <t>All</t>
        </is>
      </c>
      <c r="K638" t="inlineStr">
        <is>
          <t>All</t>
        </is>
      </c>
      <c r="L638" t="inlineStr">
        <is>
          <t>x</t>
        </is>
      </c>
    </row>
    <row r="639">
      <c r="A639" t="inlineStr">
        <is>
          <t>E118</t>
        </is>
      </c>
      <c r="B639" t="inlineStr">
        <is>
          <t>Weekend college</t>
        </is>
      </c>
      <c r="C639">
        <f>IFERROR(IF(VLOOKUP($A639,'CDS-E'!$A:$L,3,FALSE)="","",(VLOOKUP($A639,'CDS-E'!$A:$L,3,FALSE))),"")</f>
        <v/>
      </c>
      <c r="D639" t="inlineStr">
        <is>
          <t>Academic Offerings and Policies</t>
        </is>
      </c>
      <c r="E639" t="inlineStr">
        <is>
          <t>Special Study Options</t>
        </is>
      </c>
      <c r="F639" t="inlineStr">
        <is>
          <t>All</t>
        </is>
      </c>
      <c r="G639" t="inlineStr">
        <is>
          <t>All</t>
        </is>
      </c>
      <c r="H639" t="inlineStr">
        <is>
          <t>All</t>
        </is>
      </c>
      <c r="I639" t="inlineStr">
        <is>
          <t>All</t>
        </is>
      </c>
      <c r="J639" t="inlineStr">
        <is>
          <t>All</t>
        </is>
      </c>
      <c r="K639" t="inlineStr">
        <is>
          <t>All</t>
        </is>
      </c>
      <c r="L639" t="inlineStr">
        <is>
          <t>x</t>
        </is>
      </c>
    </row>
    <row r="640">
      <c r="A640" t="inlineStr">
        <is>
          <t>E119</t>
        </is>
      </c>
      <c r="B640" t="inlineStr">
        <is>
          <t>Other (specify):</t>
        </is>
      </c>
      <c r="C640">
        <f>IFERROR(IF(VLOOKUP($A640,'CDS-E'!$A:$L,3,FALSE)="","",(VLOOKUP($A640,'CDS-E'!$A:$L,3,FALSE))),"")</f>
        <v/>
      </c>
      <c r="D640" t="inlineStr">
        <is>
          <t>Academic Offerings and Policies</t>
        </is>
      </c>
      <c r="E640" t="inlineStr">
        <is>
          <t>Special Study Options</t>
        </is>
      </c>
      <c r="F640" t="inlineStr">
        <is>
          <t>All</t>
        </is>
      </c>
      <c r="G640" t="inlineStr">
        <is>
          <t>All</t>
        </is>
      </c>
      <c r="H640" t="inlineStr">
        <is>
          <t>All</t>
        </is>
      </c>
      <c r="I640" t="inlineStr">
        <is>
          <t>All</t>
        </is>
      </c>
      <c r="J640" t="inlineStr">
        <is>
          <t>All</t>
        </is>
      </c>
      <c r="K640" t="inlineStr">
        <is>
          <t>All</t>
        </is>
      </c>
      <c r="L640" t="inlineStr">
        <is>
          <t>Text</t>
        </is>
      </c>
    </row>
    <row r="641">
      <c r="A641" t="inlineStr">
        <is>
          <t>E301</t>
        </is>
      </c>
      <c r="B641" t="inlineStr">
        <is>
          <t>Arts/fine arts</t>
        </is>
      </c>
      <c r="C641">
        <f>IFERROR(IF(VLOOKUP($A641,'CDS-E'!$A:$L,3,FALSE)="","",(VLOOKUP($A641,'CDS-E'!$A:$L,3,FALSE))),"")</f>
        <v/>
      </c>
      <c r="D641" t="inlineStr">
        <is>
          <t>Academic Offerings and Policies</t>
        </is>
      </c>
      <c r="E641" t="inlineStr">
        <is>
          <t>Required Course Work</t>
        </is>
      </c>
      <c r="F641" t="inlineStr">
        <is>
          <t>All</t>
        </is>
      </c>
      <c r="G641" t="inlineStr">
        <is>
          <t>All</t>
        </is>
      </c>
      <c r="H641" t="inlineStr">
        <is>
          <t>All</t>
        </is>
      </c>
      <c r="I641" t="inlineStr">
        <is>
          <t>All</t>
        </is>
      </c>
      <c r="J641" t="inlineStr">
        <is>
          <t>All</t>
        </is>
      </c>
      <c r="K641" t="inlineStr">
        <is>
          <t>All</t>
        </is>
      </c>
      <c r="L641" t="inlineStr">
        <is>
          <t>x</t>
        </is>
      </c>
    </row>
    <row r="642">
      <c r="A642" t="inlineStr">
        <is>
          <t>E302</t>
        </is>
      </c>
      <c r="B642" t="inlineStr">
        <is>
          <t>Computer literacy</t>
        </is>
      </c>
      <c r="C642">
        <f>IFERROR(IF(VLOOKUP($A642,'CDS-E'!$A:$L,3,FALSE)="","",(VLOOKUP($A642,'CDS-E'!$A:$L,3,FALSE))),"")</f>
        <v/>
      </c>
      <c r="D642" t="inlineStr">
        <is>
          <t>Academic Offerings and Policies</t>
        </is>
      </c>
      <c r="E642" t="inlineStr">
        <is>
          <t>Required Course Work</t>
        </is>
      </c>
      <c r="F642" t="inlineStr">
        <is>
          <t>All</t>
        </is>
      </c>
      <c r="G642" t="inlineStr">
        <is>
          <t>All</t>
        </is>
      </c>
      <c r="H642" t="inlineStr">
        <is>
          <t>All</t>
        </is>
      </c>
      <c r="I642" t="inlineStr">
        <is>
          <t>All</t>
        </is>
      </c>
      <c r="J642" t="inlineStr">
        <is>
          <t>All</t>
        </is>
      </c>
      <c r="K642" t="inlineStr">
        <is>
          <t>All</t>
        </is>
      </c>
      <c r="L642" t="inlineStr">
        <is>
          <t>x</t>
        </is>
      </c>
    </row>
    <row r="643">
      <c r="A643" t="inlineStr">
        <is>
          <t>E303</t>
        </is>
      </c>
      <c r="B643" t="inlineStr">
        <is>
          <t>English (including composition)</t>
        </is>
      </c>
      <c r="C643">
        <f>IFERROR(IF(VLOOKUP($A643,'CDS-E'!$A:$L,3,FALSE)="","",(VLOOKUP($A643,'CDS-E'!$A:$L,3,FALSE))),"")</f>
        <v/>
      </c>
      <c r="D643" t="inlineStr">
        <is>
          <t>Academic Offerings and Policies</t>
        </is>
      </c>
      <c r="E643" t="inlineStr">
        <is>
          <t>Required Course Work</t>
        </is>
      </c>
      <c r="F643" t="inlineStr">
        <is>
          <t>All</t>
        </is>
      </c>
      <c r="G643" t="inlineStr">
        <is>
          <t>All</t>
        </is>
      </c>
      <c r="H643" t="inlineStr">
        <is>
          <t>All</t>
        </is>
      </c>
      <c r="I643" t="inlineStr">
        <is>
          <t>All</t>
        </is>
      </c>
      <c r="J643" t="inlineStr">
        <is>
          <t>All</t>
        </is>
      </c>
      <c r="K643" t="inlineStr">
        <is>
          <t>All</t>
        </is>
      </c>
      <c r="L643" t="inlineStr">
        <is>
          <t>x</t>
        </is>
      </c>
    </row>
    <row r="644">
      <c r="A644" t="inlineStr">
        <is>
          <t>E304</t>
        </is>
      </c>
      <c r="B644" t="inlineStr">
        <is>
          <t>Foreign languages</t>
        </is>
      </c>
      <c r="C644">
        <f>IFERROR(IF(VLOOKUP($A644,'CDS-E'!$A:$L,3,FALSE)="","",(VLOOKUP($A644,'CDS-E'!$A:$L,3,FALSE))),"")</f>
        <v/>
      </c>
      <c r="D644" t="inlineStr">
        <is>
          <t>Academic Offerings and Policies</t>
        </is>
      </c>
      <c r="E644" t="inlineStr">
        <is>
          <t>Required Course Work</t>
        </is>
      </c>
      <c r="F644" t="inlineStr">
        <is>
          <t>All</t>
        </is>
      </c>
      <c r="G644" t="inlineStr">
        <is>
          <t>All</t>
        </is>
      </c>
      <c r="H644" t="inlineStr">
        <is>
          <t>All</t>
        </is>
      </c>
      <c r="I644" t="inlineStr">
        <is>
          <t>All</t>
        </is>
      </c>
      <c r="J644" t="inlineStr">
        <is>
          <t>All</t>
        </is>
      </c>
      <c r="K644" t="inlineStr">
        <is>
          <t>All</t>
        </is>
      </c>
      <c r="L644" t="inlineStr">
        <is>
          <t>x</t>
        </is>
      </c>
    </row>
    <row r="645">
      <c r="A645" t="inlineStr">
        <is>
          <t>E305</t>
        </is>
      </c>
      <c r="B645" t="inlineStr">
        <is>
          <t>History</t>
        </is>
      </c>
      <c r="C645">
        <f>IFERROR(IF(VLOOKUP($A645,'CDS-E'!$A:$L,3,FALSE)="","",(VLOOKUP($A645,'CDS-E'!$A:$L,3,FALSE))),"")</f>
        <v/>
      </c>
      <c r="D645" t="inlineStr">
        <is>
          <t>Academic Offerings and Policies</t>
        </is>
      </c>
      <c r="E645" t="inlineStr">
        <is>
          <t>Required Course Work</t>
        </is>
      </c>
      <c r="F645" t="inlineStr">
        <is>
          <t>All</t>
        </is>
      </c>
      <c r="G645" t="inlineStr">
        <is>
          <t>All</t>
        </is>
      </c>
      <c r="H645" t="inlineStr">
        <is>
          <t>All</t>
        </is>
      </c>
      <c r="I645" t="inlineStr">
        <is>
          <t>All</t>
        </is>
      </c>
      <c r="J645" t="inlineStr">
        <is>
          <t>All</t>
        </is>
      </c>
      <c r="K645" t="inlineStr">
        <is>
          <t>All</t>
        </is>
      </c>
      <c r="L645" t="inlineStr">
        <is>
          <t>x</t>
        </is>
      </c>
    </row>
    <row r="646">
      <c r="A646" t="inlineStr">
        <is>
          <t>E306</t>
        </is>
      </c>
      <c r="B646" t="inlineStr">
        <is>
          <t>Physical Education</t>
        </is>
      </c>
      <c r="C646">
        <f>IFERROR(IF(VLOOKUP($A646,'CDS-E'!$A:$L,3,FALSE)="","",(VLOOKUP($A646,'CDS-E'!$A:$L,3,FALSE))),"")</f>
        <v/>
      </c>
      <c r="D646" t="inlineStr">
        <is>
          <t>Academic Offerings and Policies</t>
        </is>
      </c>
      <c r="E646" t="inlineStr">
        <is>
          <t>Required Course Work</t>
        </is>
      </c>
      <c r="F646" t="inlineStr">
        <is>
          <t>All</t>
        </is>
      </c>
      <c r="G646" t="inlineStr">
        <is>
          <t>All</t>
        </is>
      </c>
      <c r="H646" t="inlineStr">
        <is>
          <t>All</t>
        </is>
      </c>
      <c r="I646" t="inlineStr">
        <is>
          <t>All</t>
        </is>
      </c>
      <c r="J646" t="inlineStr">
        <is>
          <t>All</t>
        </is>
      </c>
      <c r="K646" t="inlineStr">
        <is>
          <t>All</t>
        </is>
      </c>
      <c r="L646" t="inlineStr">
        <is>
          <t>x</t>
        </is>
      </c>
    </row>
    <row r="647">
      <c r="A647" t="inlineStr">
        <is>
          <t>E307</t>
        </is>
      </c>
      <c r="B647" t="inlineStr">
        <is>
          <t>Humanities</t>
        </is>
      </c>
      <c r="C647">
        <f>IFERROR(IF(VLOOKUP($A647,'CDS-E'!$A:$L,3,FALSE)="","",(VLOOKUP($A647,'CDS-E'!$A:$L,3,FALSE))),"")</f>
        <v/>
      </c>
      <c r="D647" t="inlineStr">
        <is>
          <t>Academic Offerings and Policies</t>
        </is>
      </c>
      <c r="E647" t="inlineStr">
        <is>
          <t>Required Course Work</t>
        </is>
      </c>
      <c r="F647" t="inlineStr">
        <is>
          <t>All</t>
        </is>
      </c>
      <c r="G647" t="inlineStr">
        <is>
          <t>All</t>
        </is>
      </c>
      <c r="H647" t="inlineStr">
        <is>
          <t>All</t>
        </is>
      </c>
      <c r="I647" t="inlineStr">
        <is>
          <t>All</t>
        </is>
      </c>
      <c r="J647" t="inlineStr">
        <is>
          <t>All</t>
        </is>
      </c>
      <c r="K647" t="inlineStr">
        <is>
          <t>All</t>
        </is>
      </c>
      <c r="L647" t="inlineStr">
        <is>
          <t>x</t>
        </is>
      </c>
    </row>
    <row r="648">
      <c r="A648" t="inlineStr">
        <is>
          <t>E308</t>
        </is>
      </c>
      <c r="B648" t="inlineStr">
        <is>
          <t>Intensive writing</t>
        </is>
      </c>
      <c r="C648">
        <f>IFERROR(IF(VLOOKUP($A648,'CDS-E'!$A:$L,3,FALSE)="","",(VLOOKUP($A648,'CDS-E'!$A:$L,3,FALSE))),"")</f>
        <v/>
      </c>
      <c r="D648" t="inlineStr">
        <is>
          <t>Academic Offerings and Policies</t>
        </is>
      </c>
      <c r="E648" t="inlineStr">
        <is>
          <t>Required Course Work</t>
        </is>
      </c>
      <c r="F648" t="inlineStr">
        <is>
          <t>All</t>
        </is>
      </c>
      <c r="G648" t="inlineStr">
        <is>
          <t>All</t>
        </is>
      </c>
      <c r="H648" t="inlineStr">
        <is>
          <t>All</t>
        </is>
      </c>
      <c r="I648" t="inlineStr">
        <is>
          <t>All</t>
        </is>
      </c>
      <c r="J648" t="inlineStr">
        <is>
          <t>All</t>
        </is>
      </c>
      <c r="K648" t="inlineStr">
        <is>
          <t>All</t>
        </is>
      </c>
      <c r="L648" t="inlineStr">
        <is>
          <t>x</t>
        </is>
      </c>
    </row>
    <row r="649">
      <c r="A649" t="inlineStr">
        <is>
          <t>E309</t>
        </is>
      </c>
      <c r="B649" t="inlineStr">
        <is>
          <t>Mathematics</t>
        </is>
      </c>
      <c r="C649">
        <f>IFERROR(IF(VLOOKUP($A649,'CDS-E'!$A:$L,3,FALSE)="","",(VLOOKUP($A649,'CDS-E'!$A:$L,3,FALSE))),"")</f>
        <v/>
      </c>
      <c r="D649" t="inlineStr">
        <is>
          <t>Academic Offerings and Policies</t>
        </is>
      </c>
      <c r="E649" t="inlineStr">
        <is>
          <t>Required Course Work</t>
        </is>
      </c>
      <c r="F649" t="inlineStr">
        <is>
          <t>All</t>
        </is>
      </c>
      <c r="G649" t="inlineStr">
        <is>
          <t>All</t>
        </is>
      </c>
      <c r="H649" t="inlineStr">
        <is>
          <t>All</t>
        </is>
      </c>
      <c r="I649" t="inlineStr">
        <is>
          <t>All</t>
        </is>
      </c>
      <c r="J649" t="inlineStr">
        <is>
          <t>All</t>
        </is>
      </c>
      <c r="K649" t="inlineStr">
        <is>
          <t>All</t>
        </is>
      </c>
      <c r="L649" t="inlineStr">
        <is>
          <t>x</t>
        </is>
      </c>
    </row>
    <row r="650">
      <c r="A650" t="inlineStr">
        <is>
          <t>E310</t>
        </is>
      </c>
      <c r="B650" t="inlineStr">
        <is>
          <t>Philosophy</t>
        </is>
      </c>
      <c r="C650">
        <f>IFERROR(IF(VLOOKUP($A650,'CDS-E'!$A:$L,3,FALSE)="","",(VLOOKUP($A650,'CDS-E'!$A:$L,3,FALSE))),"")</f>
        <v/>
      </c>
      <c r="D650" t="inlineStr">
        <is>
          <t>Academic Offerings and Policies</t>
        </is>
      </c>
      <c r="E650" t="inlineStr">
        <is>
          <t>Required Course Work</t>
        </is>
      </c>
      <c r="F650" t="inlineStr">
        <is>
          <t>All</t>
        </is>
      </c>
      <c r="G650" t="inlineStr">
        <is>
          <t>All</t>
        </is>
      </c>
      <c r="H650" t="inlineStr">
        <is>
          <t>All</t>
        </is>
      </c>
      <c r="I650" t="inlineStr">
        <is>
          <t>All</t>
        </is>
      </c>
      <c r="J650" t="inlineStr">
        <is>
          <t>All</t>
        </is>
      </c>
      <c r="K650" t="inlineStr">
        <is>
          <t>All</t>
        </is>
      </c>
      <c r="L650" t="inlineStr">
        <is>
          <t>x</t>
        </is>
      </c>
    </row>
    <row r="651">
      <c r="A651" t="inlineStr">
        <is>
          <t>E311</t>
        </is>
      </c>
      <c r="B651" t="inlineStr">
        <is>
          <t>Sciences (biological or physical)</t>
        </is>
      </c>
      <c r="C651">
        <f>IFERROR(IF(VLOOKUP($A651,'CDS-E'!$A:$L,3,FALSE)="","",(VLOOKUP($A651,'CDS-E'!$A:$L,3,FALSE))),"")</f>
        <v/>
      </c>
      <c r="D651" t="inlineStr">
        <is>
          <t>Academic Offerings and Policies</t>
        </is>
      </c>
      <c r="E651" t="inlineStr">
        <is>
          <t>Required Course Work</t>
        </is>
      </c>
      <c r="F651" t="inlineStr">
        <is>
          <t>All</t>
        </is>
      </c>
      <c r="G651" t="inlineStr">
        <is>
          <t>All</t>
        </is>
      </c>
      <c r="H651" t="inlineStr">
        <is>
          <t>All</t>
        </is>
      </c>
      <c r="I651" t="inlineStr">
        <is>
          <t>All</t>
        </is>
      </c>
      <c r="J651" t="inlineStr">
        <is>
          <t>All</t>
        </is>
      </c>
      <c r="K651" t="inlineStr">
        <is>
          <t>All</t>
        </is>
      </c>
      <c r="L651" t="inlineStr">
        <is>
          <t>x</t>
        </is>
      </c>
    </row>
    <row r="652">
      <c r="A652" t="inlineStr">
        <is>
          <t>E312</t>
        </is>
      </c>
      <c r="B652" t="inlineStr">
        <is>
          <t>Social science</t>
        </is>
      </c>
      <c r="C652">
        <f>IFERROR(IF(VLOOKUP($A652,'CDS-E'!$A:$L,3,FALSE)="","",(VLOOKUP($A652,'CDS-E'!$A:$L,3,FALSE))),"")</f>
        <v/>
      </c>
      <c r="D652" t="inlineStr">
        <is>
          <t>Academic Offerings and Policies</t>
        </is>
      </c>
      <c r="E652" t="inlineStr">
        <is>
          <t>Required Course Work</t>
        </is>
      </c>
      <c r="F652" t="inlineStr">
        <is>
          <t>All</t>
        </is>
      </c>
      <c r="G652" t="inlineStr">
        <is>
          <t>All</t>
        </is>
      </c>
      <c r="H652" t="inlineStr">
        <is>
          <t>All</t>
        </is>
      </c>
      <c r="I652" t="inlineStr">
        <is>
          <t>All</t>
        </is>
      </c>
      <c r="J652" t="inlineStr">
        <is>
          <t>All</t>
        </is>
      </c>
      <c r="K652" t="inlineStr">
        <is>
          <t>All</t>
        </is>
      </c>
      <c r="L652" t="inlineStr">
        <is>
          <t>x</t>
        </is>
      </c>
    </row>
    <row r="653">
      <c r="A653" t="inlineStr">
        <is>
          <t>E313</t>
        </is>
      </c>
      <c r="B653" t="inlineStr">
        <is>
          <t>Other (describe):</t>
        </is>
      </c>
      <c r="C653">
        <f>IFERROR(IF(VLOOKUP($A653,'CDS-E'!$A:$L,3,FALSE)="","",(VLOOKUP($A653,'CDS-E'!$A:$L,3,FALSE))),"")</f>
        <v/>
      </c>
      <c r="D653" t="inlineStr">
        <is>
          <t>Academic Offerings and Policies</t>
        </is>
      </c>
      <c r="E653" t="inlineStr">
        <is>
          <t>Required Course Work</t>
        </is>
      </c>
      <c r="F653" t="inlineStr">
        <is>
          <t>All</t>
        </is>
      </c>
      <c r="G653" t="inlineStr">
        <is>
          <t>All</t>
        </is>
      </c>
      <c r="H653" t="inlineStr">
        <is>
          <t>All</t>
        </is>
      </c>
      <c r="I653" t="inlineStr">
        <is>
          <t>All</t>
        </is>
      </c>
      <c r="J653" t="inlineStr">
        <is>
          <t>All</t>
        </is>
      </c>
      <c r="K653" t="inlineStr">
        <is>
          <t>All</t>
        </is>
      </c>
      <c r="L653" t="inlineStr">
        <is>
          <t>Text</t>
        </is>
      </c>
    </row>
    <row r="654">
      <c r="A654" t="inlineStr">
        <is>
          <t>F101</t>
        </is>
      </c>
      <c r="B654" t="inlineStr">
        <is>
          <t>Percent who are from out of state (exclude international/nonresidents from the numerator and denominator)</t>
        </is>
      </c>
      <c r="C654">
        <f>IFERROR(IF(VLOOKUP($A654,'CDS-F'!$A:$L,3,FALSE)="","",(VLOOKUP($A654,'CDS-F'!$A:$L,3,FALSE))),"")</f>
        <v/>
      </c>
      <c r="D654" t="inlineStr">
        <is>
          <t>Student Life</t>
        </is>
      </c>
      <c r="E654" t="inlineStr">
        <is>
          <t>Percent Participating</t>
        </is>
      </c>
      <c r="F654" t="inlineStr">
        <is>
          <t>Degree-Seeking</t>
        </is>
      </c>
      <c r="G654" t="inlineStr">
        <is>
          <t>Undergraduates</t>
        </is>
      </c>
      <c r="H654" t="inlineStr">
        <is>
          <t>First-time, first-year</t>
        </is>
      </c>
      <c r="I654" t="inlineStr">
        <is>
          <t>All</t>
        </is>
      </c>
      <c r="J654" t="inlineStr">
        <is>
          <t>All</t>
        </is>
      </c>
      <c r="K654" t="inlineStr">
        <is>
          <t>All</t>
        </is>
      </c>
      <c r="L654" t="inlineStr">
        <is>
          <t>Nearest 1%</t>
        </is>
      </c>
    </row>
    <row r="655">
      <c r="A655" t="inlineStr">
        <is>
          <t>F102</t>
        </is>
      </c>
      <c r="B655" t="inlineStr">
        <is>
          <t>Percent of men who join fraternities</t>
        </is>
      </c>
      <c r="C655">
        <f>IFERROR(IF(VLOOKUP($A655,'CDS-F'!$A:$L,3,FALSE)="","",(VLOOKUP($A655,'CDS-F'!$A:$L,3,FALSE))),"")</f>
        <v/>
      </c>
      <c r="D655" t="inlineStr">
        <is>
          <t>Student Life</t>
        </is>
      </c>
      <c r="E655" t="inlineStr">
        <is>
          <t>Percent Participating</t>
        </is>
      </c>
      <c r="F655" t="inlineStr">
        <is>
          <t>Degree-Seeking</t>
        </is>
      </c>
      <c r="G655" t="inlineStr">
        <is>
          <t>Undergraduates</t>
        </is>
      </c>
      <c r="H655" t="inlineStr">
        <is>
          <t>First-time, first-year</t>
        </is>
      </c>
      <c r="I655" t="inlineStr">
        <is>
          <t>All</t>
        </is>
      </c>
      <c r="J655" t="inlineStr">
        <is>
          <t>All</t>
        </is>
      </c>
      <c r="K655" t="inlineStr">
        <is>
          <t>All</t>
        </is>
      </c>
      <c r="L655" t="inlineStr">
        <is>
          <t>Nearest 1%</t>
        </is>
      </c>
    </row>
    <row r="656">
      <c r="A656" t="inlineStr">
        <is>
          <t>F103</t>
        </is>
      </c>
      <c r="B656" t="inlineStr">
        <is>
          <t>Percent of women who join sororities</t>
        </is>
      </c>
      <c r="C656">
        <f>IFERROR(IF(VLOOKUP($A656,'CDS-F'!$A:$L,3,FALSE)="","",(VLOOKUP($A656,'CDS-F'!$A:$L,3,FALSE))),"")</f>
        <v/>
      </c>
      <c r="D656" t="inlineStr">
        <is>
          <t>Student Life</t>
        </is>
      </c>
      <c r="E656" t="inlineStr">
        <is>
          <t>Percent Participating</t>
        </is>
      </c>
      <c r="F656" t="inlineStr">
        <is>
          <t>Degree-Seeking</t>
        </is>
      </c>
      <c r="G656" t="inlineStr">
        <is>
          <t>Undergraduates</t>
        </is>
      </c>
      <c r="H656" t="inlineStr">
        <is>
          <t>First-time, first-year</t>
        </is>
      </c>
      <c r="I656" t="inlineStr">
        <is>
          <t>All</t>
        </is>
      </c>
      <c r="J656" t="inlineStr">
        <is>
          <t>All</t>
        </is>
      </c>
      <c r="K656" t="inlineStr">
        <is>
          <t>All</t>
        </is>
      </c>
      <c r="L656" t="inlineStr">
        <is>
          <t>Nearest 1%</t>
        </is>
      </c>
    </row>
    <row r="657">
      <c r="A657" t="inlineStr">
        <is>
          <t>F104</t>
        </is>
      </c>
      <c r="B657" t="inlineStr">
        <is>
          <t>Percent who live in college-owned, -operated, or -affiliated housing</t>
        </is>
      </c>
      <c r="C657">
        <f>IFERROR(IF(VLOOKUP($A657,'CDS-F'!$A:$L,3,FALSE)="","",(VLOOKUP($A657,'CDS-F'!$A:$L,3,FALSE))),"")</f>
        <v/>
      </c>
      <c r="D657" t="inlineStr">
        <is>
          <t>Student Life</t>
        </is>
      </c>
      <c r="E657" t="inlineStr">
        <is>
          <t>Percent Participating</t>
        </is>
      </c>
      <c r="F657" t="inlineStr">
        <is>
          <t>Degree-Seeking</t>
        </is>
      </c>
      <c r="G657" t="inlineStr">
        <is>
          <t>Undergraduates</t>
        </is>
      </c>
      <c r="H657" t="inlineStr">
        <is>
          <t>First-time, first-year</t>
        </is>
      </c>
      <c r="I657" t="inlineStr">
        <is>
          <t>All</t>
        </is>
      </c>
      <c r="J657" t="inlineStr">
        <is>
          <t>All</t>
        </is>
      </c>
      <c r="K657" t="inlineStr">
        <is>
          <t>All</t>
        </is>
      </c>
      <c r="L657" t="inlineStr">
        <is>
          <t>Nearest 1%</t>
        </is>
      </c>
    </row>
    <row r="658">
      <c r="A658" t="inlineStr">
        <is>
          <t>F105</t>
        </is>
      </c>
      <c r="B658" t="inlineStr">
        <is>
          <t>Percent who live off campus or commute</t>
        </is>
      </c>
      <c r="C658">
        <f>IFERROR(IF(VLOOKUP($A658,'CDS-F'!$A:$L,3,FALSE)="","",(VLOOKUP($A658,'CDS-F'!$A:$L,3,FALSE))),"")</f>
        <v/>
      </c>
      <c r="D658" t="inlineStr">
        <is>
          <t>Student Life</t>
        </is>
      </c>
      <c r="E658" t="inlineStr">
        <is>
          <t>Percent Participating</t>
        </is>
      </c>
      <c r="F658" t="inlineStr">
        <is>
          <t>Degree-Seeking</t>
        </is>
      </c>
      <c r="G658" t="inlineStr">
        <is>
          <t>Undergraduates</t>
        </is>
      </c>
      <c r="H658" t="inlineStr">
        <is>
          <t>First-time, first-year</t>
        </is>
      </c>
      <c r="I658" t="inlineStr">
        <is>
          <t>All</t>
        </is>
      </c>
      <c r="J658" t="inlineStr">
        <is>
          <t>All</t>
        </is>
      </c>
      <c r="K658" t="inlineStr">
        <is>
          <t>All</t>
        </is>
      </c>
      <c r="L658" t="inlineStr">
        <is>
          <t>Nearest 1%</t>
        </is>
      </c>
    </row>
    <row r="659">
      <c r="A659" t="inlineStr">
        <is>
          <t>F106</t>
        </is>
      </c>
      <c r="B659" t="inlineStr">
        <is>
          <t>Percent of students age 25 and older</t>
        </is>
      </c>
      <c r="C659">
        <f>IFERROR(IF(VLOOKUP($A659,'CDS-F'!$A:$L,3,FALSE)="","",(VLOOKUP($A659,'CDS-F'!$A:$L,3,FALSE))),"")</f>
        <v/>
      </c>
      <c r="D659" t="inlineStr">
        <is>
          <t>Student Life</t>
        </is>
      </c>
      <c r="E659" t="inlineStr">
        <is>
          <t>Percent Participating</t>
        </is>
      </c>
      <c r="F659" t="inlineStr">
        <is>
          <t>Degree-Seeking</t>
        </is>
      </c>
      <c r="G659" t="inlineStr">
        <is>
          <t>Undergraduates</t>
        </is>
      </c>
      <c r="H659" t="inlineStr">
        <is>
          <t>First-time, first-year</t>
        </is>
      </c>
      <c r="I659" t="inlineStr">
        <is>
          <t>All</t>
        </is>
      </c>
      <c r="J659" t="inlineStr">
        <is>
          <t>All</t>
        </is>
      </c>
      <c r="K659" t="inlineStr">
        <is>
          <t>All</t>
        </is>
      </c>
      <c r="L659" t="inlineStr">
        <is>
          <t>Nearest 1%</t>
        </is>
      </c>
    </row>
    <row r="660">
      <c r="A660" t="inlineStr">
        <is>
          <t>F107</t>
        </is>
      </c>
      <c r="B660" t="inlineStr">
        <is>
          <t>Average age of full-time students</t>
        </is>
      </c>
      <c r="C660">
        <f>IFERROR(IF(VLOOKUP($A660,'CDS-F'!$A:$L,3,FALSE)="","",(VLOOKUP($A660,'CDS-F'!$A:$L,3,FALSE))),"")</f>
        <v/>
      </c>
      <c r="D660" t="inlineStr">
        <is>
          <t>Student Life</t>
        </is>
      </c>
      <c r="E660" t="inlineStr">
        <is>
          <t>Average Age</t>
        </is>
      </c>
      <c r="F660" t="inlineStr">
        <is>
          <t>Degree-Seeking</t>
        </is>
      </c>
      <c r="G660" t="inlineStr">
        <is>
          <t>Undergraduates</t>
        </is>
      </c>
      <c r="H660" t="inlineStr">
        <is>
          <t>First-time, first-year</t>
        </is>
      </c>
      <c r="I660" t="inlineStr">
        <is>
          <t>All</t>
        </is>
      </c>
      <c r="J660" t="inlineStr">
        <is>
          <t>All</t>
        </is>
      </c>
      <c r="K660" t="inlineStr">
        <is>
          <t>All</t>
        </is>
      </c>
      <c r="L660" t="inlineStr">
        <is>
          <t>Whole Number or Round to Nearest Tenths</t>
        </is>
      </c>
    </row>
    <row r="661">
      <c r="A661" t="inlineStr">
        <is>
          <t>F108</t>
        </is>
      </c>
      <c r="B661" t="inlineStr">
        <is>
          <t>Average age of all students (full- and part-time)</t>
        </is>
      </c>
      <c r="C661">
        <f>IFERROR(IF(VLOOKUP($A661,'CDS-F'!$A:$L,3,FALSE)="","",(VLOOKUP($A661,'CDS-F'!$A:$L,3,FALSE))),"")</f>
        <v/>
      </c>
      <c r="D661" t="inlineStr">
        <is>
          <t>Student Life</t>
        </is>
      </c>
      <c r="E661" t="inlineStr">
        <is>
          <t>Average Age</t>
        </is>
      </c>
      <c r="F661" t="inlineStr">
        <is>
          <t>Degree-Seeking</t>
        </is>
      </c>
      <c r="G661" t="inlineStr">
        <is>
          <t>Undergraduates</t>
        </is>
      </c>
      <c r="H661" t="inlineStr">
        <is>
          <t>First-time, first-year</t>
        </is>
      </c>
      <c r="I661" t="inlineStr">
        <is>
          <t>All</t>
        </is>
      </c>
      <c r="J661" t="inlineStr">
        <is>
          <t>All</t>
        </is>
      </c>
      <c r="K661" t="inlineStr">
        <is>
          <t>All</t>
        </is>
      </c>
      <c r="L661" t="inlineStr">
        <is>
          <t>Whole Number or Round to Nearest Tenths</t>
        </is>
      </c>
    </row>
    <row r="662">
      <c r="A662" t="inlineStr">
        <is>
          <t>F109</t>
        </is>
      </c>
      <c r="B662" t="inlineStr">
        <is>
          <t>Percent who are from out of state (exclude international/nonresidents from the numerator and denominator)</t>
        </is>
      </c>
      <c r="C662">
        <f>IFERROR(IF(VLOOKUP($A662,'CDS-F'!$A:$L,3,FALSE)="","",(VLOOKUP($A662,'CDS-F'!$A:$L,3,FALSE))),"")</f>
        <v/>
      </c>
      <c r="D662" t="inlineStr">
        <is>
          <t>Student Life</t>
        </is>
      </c>
      <c r="E662" t="inlineStr">
        <is>
          <t>Percent Participating</t>
        </is>
      </c>
      <c r="F662" t="inlineStr">
        <is>
          <t>Degree-Seeking</t>
        </is>
      </c>
      <c r="G662" t="inlineStr">
        <is>
          <t>Undergraduates</t>
        </is>
      </c>
      <c r="H662" t="inlineStr">
        <is>
          <t>Undergraduates</t>
        </is>
      </c>
      <c r="I662" t="inlineStr">
        <is>
          <t>All</t>
        </is>
      </c>
      <c r="J662" t="inlineStr">
        <is>
          <t>All</t>
        </is>
      </c>
      <c r="K662" t="inlineStr">
        <is>
          <t>All</t>
        </is>
      </c>
      <c r="L662" t="inlineStr">
        <is>
          <t>Nearest 1%</t>
        </is>
      </c>
    </row>
    <row r="663">
      <c r="A663" t="inlineStr">
        <is>
          <t>F110</t>
        </is>
      </c>
      <c r="B663" t="inlineStr">
        <is>
          <t>Percent of men who join fraternities</t>
        </is>
      </c>
      <c r="C663">
        <f>IFERROR(IF(VLOOKUP($A663,'CDS-F'!$A:$L,3,FALSE)="","",(VLOOKUP($A663,'CDS-F'!$A:$L,3,FALSE))),"")</f>
        <v/>
      </c>
      <c r="D663" t="inlineStr">
        <is>
          <t>Student Life</t>
        </is>
      </c>
      <c r="E663" t="inlineStr">
        <is>
          <t>Percent Participating</t>
        </is>
      </c>
      <c r="F663" t="inlineStr">
        <is>
          <t>Degree-Seeking</t>
        </is>
      </c>
      <c r="G663" t="inlineStr">
        <is>
          <t>Undergraduates</t>
        </is>
      </c>
      <c r="H663" t="inlineStr">
        <is>
          <t>Undergraduates</t>
        </is>
      </c>
      <c r="I663" t="inlineStr">
        <is>
          <t>All</t>
        </is>
      </c>
      <c r="J663" t="inlineStr">
        <is>
          <t>All</t>
        </is>
      </c>
      <c r="K663" t="inlineStr">
        <is>
          <t>All</t>
        </is>
      </c>
      <c r="L663" t="inlineStr">
        <is>
          <t>Nearest 1%</t>
        </is>
      </c>
    </row>
    <row r="664">
      <c r="A664" t="inlineStr">
        <is>
          <t>F111</t>
        </is>
      </c>
      <c r="B664" t="inlineStr">
        <is>
          <t>Percent of women who join sororities</t>
        </is>
      </c>
      <c r="C664">
        <f>IFERROR(IF(VLOOKUP($A664,'CDS-F'!$A:$L,3,FALSE)="","",(VLOOKUP($A664,'CDS-F'!$A:$L,3,FALSE))),"")</f>
        <v/>
      </c>
      <c r="D664" t="inlineStr">
        <is>
          <t>Student Life</t>
        </is>
      </c>
      <c r="E664" t="inlineStr">
        <is>
          <t>Percent Participating</t>
        </is>
      </c>
      <c r="F664" t="inlineStr">
        <is>
          <t>Degree-Seeking</t>
        </is>
      </c>
      <c r="G664" t="inlineStr">
        <is>
          <t>Undergraduates</t>
        </is>
      </c>
      <c r="H664" t="inlineStr">
        <is>
          <t>Undergraduates</t>
        </is>
      </c>
      <c r="I664" t="inlineStr">
        <is>
          <t>All</t>
        </is>
      </c>
      <c r="J664" t="inlineStr">
        <is>
          <t>All</t>
        </is>
      </c>
      <c r="K664" t="inlineStr">
        <is>
          <t>All</t>
        </is>
      </c>
      <c r="L664" t="inlineStr">
        <is>
          <t>Nearest 1%</t>
        </is>
      </c>
    </row>
    <row r="665">
      <c r="A665" t="inlineStr">
        <is>
          <t>F112</t>
        </is>
      </c>
      <c r="B665" t="inlineStr">
        <is>
          <t>Percent who live in college-owned, -operated, or -affiliated housing</t>
        </is>
      </c>
      <c r="C665">
        <f>IFERROR(IF(VLOOKUP($A665,'CDS-F'!$A:$L,3,FALSE)="","",(VLOOKUP($A665,'CDS-F'!$A:$L,3,FALSE))),"")</f>
        <v/>
      </c>
      <c r="D665" t="inlineStr">
        <is>
          <t>Student Life</t>
        </is>
      </c>
      <c r="E665" t="inlineStr">
        <is>
          <t>Percent Participating</t>
        </is>
      </c>
      <c r="F665" t="inlineStr">
        <is>
          <t>Degree-Seeking</t>
        </is>
      </c>
      <c r="G665" t="inlineStr">
        <is>
          <t>Undergraduates</t>
        </is>
      </c>
      <c r="H665" t="inlineStr">
        <is>
          <t>Undergraduates</t>
        </is>
      </c>
      <c r="I665" t="inlineStr">
        <is>
          <t>All</t>
        </is>
      </c>
      <c r="J665" t="inlineStr">
        <is>
          <t>All</t>
        </is>
      </c>
      <c r="K665" t="inlineStr">
        <is>
          <t>All</t>
        </is>
      </c>
      <c r="L665" t="inlineStr">
        <is>
          <t>Nearest 1%</t>
        </is>
      </c>
    </row>
    <row r="666">
      <c r="A666" t="inlineStr">
        <is>
          <t>F113</t>
        </is>
      </c>
      <c r="B666" t="inlineStr">
        <is>
          <t>Percent who live off campus or commute</t>
        </is>
      </c>
      <c r="C666">
        <f>IFERROR(IF(VLOOKUP($A666,'CDS-F'!$A:$L,3,FALSE)="","",(VLOOKUP($A666,'CDS-F'!$A:$L,3,FALSE))),"")</f>
        <v/>
      </c>
      <c r="D666" t="inlineStr">
        <is>
          <t>Student Life</t>
        </is>
      </c>
      <c r="E666" t="inlineStr">
        <is>
          <t>Percent Participating</t>
        </is>
      </c>
      <c r="F666" t="inlineStr">
        <is>
          <t>Degree-Seeking</t>
        </is>
      </c>
      <c r="G666" t="inlineStr">
        <is>
          <t>Undergraduates</t>
        </is>
      </c>
      <c r="H666" t="inlineStr">
        <is>
          <t>Undergraduates</t>
        </is>
      </c>
      <c r="I666" t="inlineStr">
        <is>
          <t>All</t>
        </is>
      </c>
      <c r="J666" t="inlineStr">
        <is>
          <t>All</t>
        </is>
      </c>
      <c r="K666" t="inlineStr">
        <is>
          <t>All</t>
        </is>
      </c>
      <c r="L666" t="inlineStr">
        <is>
          <t>Nearest 1%</t>
        </is>
      </c>
    </row>
    <row r="667">
      <c r="A667" t="inlineStr">
        <is>
          <t>F114</t>
        </is>
      </c>
      <c r="B667" t="inlineStr">
        <is>
          <t>Percent of students age 25 and older</t>
        </is>
      </c>
      <c r="C667">
        <f>IFERROR(IF(VLOOKUP($A667,'CDS-F'!$A:$L,3,FALSE)="","",(VLOOKUP($A667,'CDS-F'!$A:$L,3,FALSE))),"")</f>
        <v/>
      </c>
      <c r="D667" t="inlineStr">
        <is>
          <t>Student Life</t>
        </is>
      </c>
      <c r="E667" t="inlineStr">
        <is>
          <t>Percent Participating</t>
        </is>
      </c>
      <c r="F667" t="inlineStr">
        <is>
          <t>Degree-Seeking</t>
        </is>
      </c>
      <c r="G667" t="inlineStr">
        <is>
          <t>Undergraduates</t>
        </is>
      </c>
      <c r="H667" t="inlineStr">
        <is>
          <t>Undergraduates</t>
        </is>
      </c>
      <c r="I667" t="inlineStr">
        <is>
          <t>All</t>
        </is>
      </c>
      <c r="J667" t="inlineStr">
        <is>
          <t>All</t>
        </is>
      </c>
      <c r="K667" t="inlineStr">
        <is>
          <t>All</t>
        </is>
      </c>
      <c r="L667" t="inlineStr">
        <is>
          <t>Nearest 1%</t>
        </is>
      </c>
    </row>
    <row r="668">
      <c r="A668" t="inlineStr">
        <is>
          <t>F115</t>
        </is>
      </c>
      <c r="B668" t="inlineStr">
        <is>
          <t>Average age of full-time students</t>
        </is>
      </c>
      <c r="C668">
        <f>IFERROR(IF(VLOOKUP($A668,'CDS-F'!$A:$L,3,FALSE)="","",(VLOOKUP($A668,'CDS-F'!$A:$L,3,FALSE))),"")</f>
        <v/>
      </c>
      <c r="D668" t="inlineStr">
        <is>
          <t>Student Life</t>
        </is>
      </c>
      <c r="E668" t="inlineStr">
        <is>
          <t>Average Age</t>
        </is>
      </c>
      <c r="F668" t="inlineStr">
        <is>
          <t>Degree-Seeking</t>
        </is>
      </c>
      <c r="G668" t="inlineStr">
        <is>
          <t>Undergraduates</t>
        </is>
      </c>
      <c r="H668" t="inlineStr">
        <is>
          <t>Undergraduates</t>
        </is>
      </c>
      <c r="I668" t="inlineStr">
        <is>
          <t>All</t>
        </is>
      </c>
      <c r="J668" t="inlineStr">
        <is>
          <t>All</t>
        </is>
      </c>
      <c r="K668" t="inlineStr">
        <is>
          <t>All</t>
        </is>
      </c>
      <c r="L668" t="inlineStr">
        <is>
          <t>Whole Number or Round to Nearest Tenths</t>
        </is>
      </c>
    </row>
    <row r="669">
      <c r="A669" t="inlineStr">
        <is>
          <t>F116</t>
        </is>
      </c>
      <c r="B669" t="inlineStr">
        <is>
          <t>Average age of all students (full- and part-time)</t>
        </is>
      </c>
      <c r="C669">
        <f>IFERROR(IF(VLOOKUP($A669,'CDS-F'!$A:$L,3,FALSE)="","",(VLOOKUP($A669,'CDS-F'!$A:$L,3,FALSE))),"")</f>
        <v/>
      </c>
      <c r="D669" t="inlineStr">
        <is>
          <t>Student Life</t>
        </is>
      </c>
      <c r="E669" t="inlineStr">
        <is>
          <t>Average Age</t>
        </is>
      </c>
      <c r="F669" t="inlineStr">
        <is>
          <t>Degree-Seeking</t>
        </is>
      </c>
      <c r="G669" t="inlineStr">
        <is>
          <t>Undergraduates</t>
        </is>
      </c>
      <c r="H669" t="inlineStr">
        <is>
          <t>Undergraduates</t>
        </is>
      </c>
      <c r="I669" t="inlineStr">
        <is>
          <t>All</t>
        </is>
      </c>
      <c r="J669" t="inlineStr">
        <is>
          <t>All</t>
        </is>
      </c>
      <c r="K669" t="inlineStr">
        <is>
          <t>All</t>
        </is>
      </c>
      <c r="L669" t="inlineStr">
        <is>
          <t>Whole Number or Round to Nearest Tenths</t>
        </is>
      </c>
    </row>
    <row r="670">
      <c r="A670" t="inlineStr">
        <is>
          <t>F201</t>
        </is>
      </c>
      <c r="B670" t="inlineStr">
        <is>
          <t>Campus Ministries</t>
        </is>
      </c>
      <c r="C670">
        <f>IFERROR(IF(VLOOKUP($A670,'CDS-F'!$A:$L,3,FALSE)="","",(VLOOKUP($A670,'CDS-F'!$A:$L,3,FALSE))),"")</f>
        <v/>
      </c>
      <c r="D670" t="inlineStr">
        <is>
          <t>Student Life</t>
        </is>
      </c>
      <c r="E670" t="inlineStr">
        <is>
          <t>Activities Offered</t>
        </is>
      </c>
      <c r="F670" t="inlineStr">
        <is>
          <t>All</t>
        </is>
      </c>
      <c r="G670" t="inlineStr">
        <is>
          <t>All</t>
        </is>
      </c>
      <c r="H670" t="inlineStr">
        <is>
          <t>All</t>
        </is>
      </c>
      <c r="I670" t="inlineStr">
        <is>
          <t>All</t>
        </is>
      </c>
      <c r="J670" t="inlineStr">
        <is>
          <t>All</t>
        </is>
      </c>
      <c r="K670" t="inlineStr">
        <is>
          <t>All</t>
        </is>
      </c>
      <c r="L670" t="inlineStr">
        <is>
          <t>x</t>
        </is>
      </c>
    </row>
    <row r="671">
      <c r="A671" t="inlineStr">
        <is>
          <t>F202</t>
        </is>
      </c>
      <c r="B671" t="inlineStr">
        <is>
          <t>Choral groups</t>
        </is>
      </c>
      <c r="C671">
        <f>IFERROR(IF(VLOOKUP($A671,'CDS-F'!$A:$L,3,FALSE)="","",(VLOOKUP($A671,'CDS-F'!$A:$L,3,FALSE))),"")</f>
        <v/>
      </c>
      <c r="D671" t="inlineStr">
        <is>
          <t>Student Life</t>
        </is>
      </c>
      <c r="E671" t="inlineStr">
        <is>
          <t>Activities Offered</t>
        </is>
      </c>
      <c r="F671" t="inlineStr">
        <is>
          <t>All</t>
        </is>
      </c>
      <c r="G671" t="inlineStr">
        <is>
          <t>All</t>
        </is>
      </c>
      <c r="H671" t="inlineStr">
        <is>
          <t>All</t>
        </is>
      </c>
      <c r="I671" t="inlineStr">
        <is>
          <t>All</t>
        </is>
      </c>
      <c r="J671" t="inlineStr">
        <is>
          <t>All</t>
        </is>
      </c>
      <c r="K671" t="inlineStr">
        <is>
          <t>All</t>
        </is>
      </c>
      <c r="L671" t="inlineStr">
        <is>
          <t>x</t>
        </is>
      </c>
    </row>
    <row r="672">
      <c r="A672" t="inlineStr">
        <is>
          <t>F203</t>
        </is>
      </c>
      <c r="B672" t="inlineStr">
        <is>
          <t>Concert band</t>
        </is>
      </c>
      <c r="C672">
        <f>IFERROR(IF(VLOOKUP($A672,'CDS-F'!$A:$L,3,FALSE)="","",(VLOOKUP($A672,'CDS-F'!$A:$L,3,FALSE))),"")</f>
        <v/>
      </c>
      <c r="D672" t="inlineStr">
        <is>
          <t>Student Life</t>
        </is>
      </c>
      <c r="E672" t="inlineStr">
        <is>
          <t>Activities Offered</t>
        </is>
      </c>
      <c r="F672" t="inlineStr">
        <is>
          <t>All</t>
        </is>
      </c>
      <c r="G672" t="inlineStr">
        <is>
          <t>All</t>
        </is>
      </c>
      <c r="H672" t="inlineStr">
        <is>
          <t>All</t>
        </is>
      </c>
      <c r="I672" t="inlineStr">
        <is>
          <t>All</t>
        </is>
      </c>
      <c r="J672" t="inlineStr">
        <is>
          <t>All</t>
        </is>
      </c>
      <c r="K672" t="inlineStr">
        <is>
          <t>All</t>
        </is>
      </c>
      <c r="L672" t="inlineStr">
        <is>
          <t>x</t>
        </is>
      </c>
    </row>
    <row r="673">
      <c r="A673" t="inlineStr">
        <is>
          <t>F204</t>
        </is>
      </c>
      <c r="B673" t="inlineStr">
        <is>
          <t>Dance</t>
        </is>
      </c>
      <c r="C673">
        <f>IFERROR(IF(VLOOKUP($A673,'CDS-F'!$A:$L,3,FALSE)="","",(VLOOKUP($A673,'CDS-F'!$A:$L,3,FALSE))),"")</f>
        <v/>
      </c>
      <c r="D673" t="inlineStr">
        <is>
          <t>Student Life</t>
        </is>
      </c>
      <c r="E673" t="inlineStr">
        <is>
          <t>Activities Offered</t>
        </is>
      </c>
      <c r="F673" t="inlineStr">
        <is>
          <t>All</t>
        </is>
      </c>
      <c r="G673" t="inlineStr">
        <is>
          <t>All</t>
        </is>
      </c>
      <c r="H673" t="inlineStr">
        <is>
          <t>All</t>
        </is>
      </c>
      <c r="I673" t="inlineStr">
        <is>
          <t>All</t>
        </is>
      </c>
      <c r="J673" t="inlineStr">
        <is>
          <t>All</t>
        </is>
      </c>
      <c r="K673" t="inlineStr">
        <is>
          <t>All</t>
        </is>
      </c>
      <c r="L673" t="inlineStr">
        <is>
          <t>x</t>
        </is>
      </c>
    </row>
    <row r="674">
      <c r="A674" t="inlineStr">
        <is>
          <t>F205</t>
        </is>
      </c>
      <c r="B674" t="inlineStr">
        <is>
          <t>Drama/theater</t>
        </is>
      </c>
      <c r="C674">
        <f>IFERROR(IF(VLOOKUP($A674,'CDS-F'!$A:$L,3,FALSE)="","",(VLOOKUP($A674,'CDS-F'!$A:$L,3,FALSE))),"")</f>
        <v/>
      </c>
      <c r="D674" t="inlineStr">
        <is>
          <t>Student Life</t>
        </is>
      </c>
      <c r="E674" t="inlineStr">
        <is>
          <t>Activities Offered</t>
        </is>
      </c>
      <c r="F674" t="inlineStr">
        <is>
          <t>All</t>
        </is>
      </c>
      <c r="G674" t="inlineStr">
        <is>
          <t>All</t>
        </is>
      </c>
      <c r="H674" t="inlineStr">
        <is>
          <t>All</t>
        </is>
      </c>
      <c r="I674" t="inlineStr">
        <is>
          <t>All</t>
        </is>
      </c>
      <c r="J674" t="inlineStr">
        <is>
          <t>All</t>
        </is>
      </c>
      <c r="K674" t="inlineStr">
        <is>
          <t>All</t>
        </is>
      </c>
      <c r="L674" t="inlineStr">
        <is>
          <t>x</t>
        </is>
      </c>
    </row>
    <row r="675">
      <c r="A675" t="inlineStr">
        <is>
          <t>F206</t>
        </is>
      </c>
      <c r="B675" t="inlineStr">
        <is>
          <t>International Student Organization</t>
        </is>
      </c>
      <c r="C675">
        <f>IFERROR(IF(VLOOKUP($A675,'CDS-F'!$A:$L,3,FALSE)="","",(VLOOKUP($A675,'CDS-F'!$A:$L,3,FALSE))),"")</f>
        <v/>
      </c>
      <c r="D675" t="inlineStr">
        <is>
          <t>Student Life</t>
        </is>
      </c>
      <c r="E675" t="inlineStr">
        <is>
          <t>Activities Offered</t>
        </is>
      </c>
      <c r="F675" t="inlineStr">
        <is>
          <t>All</t>
        </is>
      </c>
      <c r="G675" t="inlineStr">
        <is>
          <t>All</t>
        </is>
      </c>
      <c r="H675" t="inlineStr">
        <is>
          <t>All</t>
        </is>
      </c>
      <c r="I675" t="inlineStr">
        <is>
          <t>All</t>
        </is>
      </c>
      <c r="J675" t="inlineStr">
        <is>
          <t>All</t>
        </is>
      </c>
      <c r="K675" t="inlineStr">
        <is>
          <t>All</t>
        </is>
      </c>
      <c r="L675" t="inlineStr">
        <is>
          <t>x</t>
        </is>
      </c>
    </row>
    <row r="676">
      <c r="A676" t="inlineStr">
        <is>
          <t>F207</t>
        </is>
      </c>
      <c r="B676" t="inlineStr">
        <is>
          <t>Jazz band</t>
        </is>
      </c>
      <c r="C676">
        <f>IFERROR(IF(VLOOKUP($A676,'CDS-F'!$A:$L,3,FALSE)="","",(VLOOKUP($A676,'CDS-F'!$A:$L,3,FALSE))),"")</f>
        <v/>
      </c>
      <c r="D676" t="inlineStr">
        <is>
          <t>Student Life</t>
        </is>
      </c>
      <c r="E676" t="inlineStr">
        <is>
          <t>Activities Offered</t>
        </is>
      </c>
      <c r="F676" t="inlineStr">
        <is>
          <t>All</t>
        </is>
      </c>
      <c r="G676" t="inlineStr">
        <is>
          <t>All</t>
        </is>
      </c>
      <c r="H676" t="inlineStr">
        <is>
          <t>All</t>
        </is>
      </c>
      <c r="I676" t="inlineStr">
        <is>
          <t>All</t>
        </is>
      </c>
      <c r="J676" t="inlineStr">
        <is>
          <t>All</t>
        </is>
      </c>
      <c r="K676" t="inlineStr">
        <is>
          <t>All</t>
        </is>
      </c>
      <c r="L676" t="inlineStr">
        <is>
          <t>x</t>
        </is>
      </c>
    </row>
    <row r="677">
      <c r="A677" t="inlineStr">
        <is>
          <t>F208</t>
        </is>
      </c>
      <c r="B677" t="inlineStr">
        <is>
          <t>Literary magazine</t>
        </is>
      </c>
      <c r="C677">
        <f>IFERROR(IF(VLOOKUP($A677,'CDS-F'!$A:$L,3,FALSE)="","",(VLOOKUP($A677,'CDS-F'!$A:$L,3,FALSE))),"")</f>
        <v/>
      </c>
      <c r="D677" t="inlineStr">
        <is>
          <t>Student Life</t>
        </is>
      </c>
      <c r="E677" t="inlineStr">
        <is>
          <t>Activities Offered</t>
        </is>
      </c>
      <c r="F677" t="inlineStr">
        <is>
          <t>All</t>
        </is>
      </c>
      <c r="G677" t="inlineStr">
        <is>
          <t>All</t>
        </is>
      </c>
      <c r="H677" t="inlineStr">
        <is>
          <t>All</t>
        </is>
      </c>
      <c r="I677" t="inlineStr">
        <is>
          <t>All</t>
        </is>
      </c>
      <c r="J677" t="inlineStr">
        <is>
          <t>All</t>
        </is>
      </c>
      <c r="K677" t="inlineStr">
        <is>
          <t>All</t>
        </is>
      </c>
      <c r="L677" t="inlineStr">
        <is>
          <t>x</t>
        </is>
      </c>
    </row>
    <row r="678">
      <c r="A678" t="inlineStr">
        <is>
          <t>F209</t>
        </is>
      </c>
      <c r="B678" t="inlineStr">
        <is>
          <t>Marching band</t>
        </is>
      </c>
      <c r="C678">
        <f>IFERROR(IF(VLOOKUP($A678,'CDS-F'!$A:$L,3,FALSE)="","",(VLOOKUP($A678,'CDS-F'!$A:$L,3,FALSE))),"")</f>
        <v/>
      </c>
      <c r="D678" t="inlineStr">
        <is>
          <t>Student Life</t>
        </is>
      </c>
      <c r="E678" t="inlineStr">
        <is>
          <t>Activities Offered</t>
        </is>
      </c>
      <c r="F678" t="inlineStr">
        <is>
          <t>All</t>
        </is>
      </c>
      <c r="G678" t="inlineStr">
        <is>
          <t>All</t>
        </is>
      </c>
      <c r="H678" t="inlineStr">
        <is>
          <t>All</t>
        </is>
      </c>
      <c r="I678" t="inlineStr">
        <is>
          <t>All</t>
        </is>
      </c>
      <c r="J678" t="inlineStr">
        <is>
          <t>All</t>
        </is>
      </c>
      <c r="K678" t="inlineStr">
        <is>
          <t>All</t>
        </is>
      </c>
      <c r="L678" t="inlineStr">
        <is>
          <t>x</t>
        </is>
      </c>
    </row>
    <row r="679">
      <c r="A679" t="inlineStr">
        <is>
          <t>F210</t>
        </is>
      </c>
      <c r="B679" t="inlineStr">
        <is>
          <t>Model UN</t>
        </is>
      </c>
      <c r="C679">
        <f>IFERROR(IF(VLOOKUP($A679,'CDS-F'!$A:$L,3,FALSE)="","",(VLOOKUP($A679,'CDS-F'!$A:$L,3,FALSE))),"")</f>
        <v/>
      </c>
      <c r="D679" t="inlineStr">
        <is>
          <t>Student Life</t>
        </is>
      </c>
      <c r="E679" t="inlineStr">
        <is>
          <t>Activities Offered</t>
        </is>
      </c>
      <c r="F679" t="inlineStr">
        <is>
          <t>All</t>
        </is>
      </c>
      <c r="G679" t="inlineStr">
        <is>
          <t>All</t>
        </is>
      </c>
      <c r="H679" t="inlineStr">
        <is>
          <t>All</t>
        </is>
      </c>
      <c r="I679" t="inlineStr">
        <is>
          <t>All</t>
        </is>
      </c>
      <c r="J679" t="inlineStr">
        <is>
          <t>All</t>
        </is>
      </c>
      <c r="K679" t="inlineStr">
        <is>
          <t>All</t>
        </is>
      </c>
      <c r="L679" t="inlineStr">
        <is>
          <t>x</t>
        </is>
      </c>
    </row>
    <row r="680">
      <c r="A680" t="inlineStr">
        <is>
          <t>F211</t>
        </is>
      </c>
      <c r="B680" t="inlineStr">
        <is>
          <t>Music ensembles</t>
        </is>
      </c>
      <c r="C680">
        <f>IFERROR(IF(VLOOKUP($A680,'CDS-F'!$A:$L,3,FALSE)="","",(VLOOKUP($A680,'CDS-F'!$A:$L,3,FALSE))),"")</f>
        <v/>
      </c>
      <c r="D680" t="inlineStr">
        <is>
          <t>Student Life</t>
        </is>
      </c>
      <c r="E680" t="inlineStr">
        <is>
          <t>Activities Offered</t>
        </is>
      </c>
      <c r="F680" t="inlineStr">
        <is>
          <t>All</t>
        </is>
      </c>
      <c r="G680" t="inlineStr">
        <is>
          <t>All</t>
        </is>
      </c>
      <c r="H680" t="inlineStr">
        <is>
          <t>All</t>
        </is>
      </c>
      <c r="I680" t="inlineStr">
        <is>
          <t>All</t>
        </is>
      </c>
      <c r="J680" t="inlineStr">
        <is>
          <t>All</t>
        </is>
      </c>
      <c r="K680" t="inlineStr">
        <is>
          <t>All</t>
        </is>
      </c>
      <c r="L680" t="inlineStr">
        <is>
          <t>x</t>
        </is>
      </c>
    </row>
    <row r="681">
      <c r="A681" t="inlineStr">
        <is>
          <t>F212</t>
        </is>
      </c>
      <c r="B681" t="inlineStr">
        <is>
          <t>Musical theater</t>
        </is>
      </c>
      <c r="C681">
        <f>IFERROR(IF(VLOOKUP($A681,'CDS-F'!$A:$L,3,FALSE)="","",(VLOOKUP($A681,'CDS-F'!$A:$L,3,FALSE))),"")</f>
        <v/>
      </c>
      <c r="D681" t="inlineStr">
        <is>
          <t>Student Life</t>
        </is>
      </c>
      <c r="E681" t="inlineStr">
        <is>
          <t>Activities Offered</t>
        </is>
      </c>
      <c r="F681" t="inlineStr">
        <is>
          <t>All</t>
        </is>
      </c>
      <c r="G681" t="inlineStr">
        <is>
          <t>All</t>
        </is>
      </c>
      <c r="H681" t="inlineStr">
        <is>
          <t>All</t>
        </is>
      </c>
      <c r="I681" t="inlineStr">
        <is>
          <t>All</t>
        </is>
      </c>
      <c r="J681" t="inlineStr">
        <is>
          <t>All</t>
        </is>
      </c>
      <c r="K681" t="inlineStr">
        <is>
          <t>All</t>
        </is>
      </c>
      <c r="L681" t="inlineStr">
        <is>
          <t>x</t>
        </is>
      </c>
    </row>
    <row r="682">
      <c r="A682" t="inlineStr">
        <is>
          <t>F213</t>
        </is>
      </c>
      <c r="B682" t="inlineStr">
        <is>
          <t>Opera</t>
        </is>
      </c>
      <c r="C682">
        <f>IFERROR(IF(VLOOKUP($A682,'CDS-F'!$A:$L,3,FALSE)="","",(VLOOKUP($A682,'CDS-F'!$A:$L,3,FALSE))),"")</f>
        <v/>
      </c>
      <c r="D682" t="inlineStr">
        <is>
          <t>Student Life</t>
        </is>
      </c>
      <c r="E682" t="inlineStr">
        <is>
          <t>Activities Offered</t>
        </is>
      </c>
      <c r="F682" t="inlineStr">
        <is>
          <t>All</t>
        </is>
      </c>
      <c r="G682" t="inlineStr">
        <is>
          <t>All</t>
        </is>
      </c>
      <c r="H682" t="inlineStr">
        <is>
          <t>All</t>
        </is>
      </c>
      <c r="I682" t="inlineStr">
        <is>
          <t>All</t>
        </is>
      </c>
      <c r="J682" t="inlineStr">
        <is>
          <t>All</t>
        </is>
      </c>
      <c r="K682" t="inlineStr">
        <is>
          <t>All</t>
        </is>
      </c>
      <c r="L682" t="inlineStr">
        <is>
          <t>x</t>
        </is>
      </c>
    </row>
    <row r="683">
      <c r="A683" t="inlineStr">
        <is>
          <t>F214</t>
        </is>
      </c>
      <c r="B683" t="inlineStr">
        <is>
          <t>Pep band</t>
        </is>
      </c>
      <c r="C683">
        <f>IFERROR(IF(VLOOKUP($A683,'CDS-F'!$A:$L,3,FALSE)="","",(VLOOKUP($A683,'CDS-F'!$A:$L,3,FALSE))),"")</f>
        <v/>
      </c>
      <c r="D683" t="inlineStr">
        <is>
          <t>Student Life</t>
        </is>
      </c>
      <c r="E683" t="inlineStr">
        <is>
          <t>Activities Offered</t>
        </is>
      </c>
      <c r="F683" t="inlineStr">
        <is>
          <t>All</t>
        </is>
      </c>
      <c r="G683" t="inlineStr">
        <is>
          <t>All</t>
        </is>
      </c>
      <c r="H683" t="inlineStr">
        <is>
          <t>All</t>
        </is>
      </c>
      <c r="I683" t="inlineStr">
        <is>
          <t>All</t>
        </is>
      </c>
      <c r="J683" t="inlineStr">
        <is>
          <t>All</t>
        </is>
      </c>
      <c r="K683" t="inlineStr">
        <is>
          <t>All</t>
        </is>
      </c>
      <c r="L683" t="inlineStr">
        <is>
          <t>x</t>
        </is>
      </c>
    </row>
    <row r="684">
      <c r="A684" t="inlineStr">
        <is>
          <t>F215</t>
        </is>
      </c>
      <c r="B684" t="inlineStr">
        <is>
          <t>Radio station</t>
        </is>
      </c>
      <c r="C684">
        <f>IFERROR(IF(VLOOKUP($A684,'CDS-F'!$A:$L,3,FALSE)="","",(VLOOKUP($A684,'CDS-F'!$A:$L,3,FALSE))),"")</f>
        <v/>
      </c>
      <c r="D684" t="inlineStr">
        <is>
          <t>Student Life</t>
        </is>
      </c>
      <c r="E684" t="inlineStr">
        <is>
          <t>Activities Offered</t>
        </is>
      </c>
      <c r="F684" t="inlineStr">
        <is>
          <t>All</t>
        </is>
      </c>
      <c r="G684" t="inlineStr">
        <is>
          <t>All</t>
        </is>
      </c>
      <c r="H684" t="inlineStr">
        <is>
          <t>All</t>
        </is>
      </c>
      <c r="I684" t="inlineStr">
        <is>
          <t>All</t>
        </is>
      </c>
      <c r="J684" t="inlineStr">
        <is>
          <t>All</t>
        </is>
      </c>
      <c r="K684" t="inlineStr">
        <is>
          <t>All</t>
        </is>
      </c>
      <c r="L684" t="inlineStr">
        <is>
          <t>x</t>
        </is>
      </c>
    </row>
    <row r="685">
      <c r="A685" t="inlineStr">
        <is>
          <t>F216</t>
        </is>
      </c>
      <c r="B685" t="inlineStr">
        <is>
          <t>Student government</t>
        </is>
      </c>
      <c r="C685">
        <f>IFERROR(IF(VLOOKUP($A685,'CDS-F'!$A:$L,3,FALSE)="","",(VLOOKUP($A685,'CDS-F'!$A:$L,3,FALSE))),"")</f>
        <v/>
      </c>
      <c r="D685" t="inlineStr">
        <is>
          <t>Student Life</t>
        </is>
      </c>
      <c r="E685" t="inlineStr">
        <is>
          <t>Activities Offered</t>
        </is>
      </c>
      <c r="F685" t="inlineStr">
        <is>
          <t>All</t>
        </is>
      </c>
      <c r="G685" t="inlineStr">
        <is>
          <t>All</t>
        </is>
      </c>
      <c r="H685" t="inlineStr">
        <is>
          <t>All</t>
        </is>
      </c>
      <c r="I685" t="inlineStr">
        <is>
          <t>All</t>
        </is>
      </c>
      <c r="J685" t="inlineStr">
        <is>
          <t>All</t>
        </is>
      </c>
      <c r="K685" t="inlineStr">
        <is>
          <t>All</t>
        </is>
      </c>
      <c r="L685" t="inlineStr">
        <is>
          <t>x</t>
        </is>
      </c>
    </row>
    <row r="686">
      <c r="A686" t="inlineStr">
        <is>
          <t>F217</t>
        </is>
      </c>
      <c r="B686" t="inlineStr">
        <is>
          <t>Student newspaper</t>
        </is>
      </c>
      <c r="C686">
        <f>IFERROR(IF(VLOOKUP($A686,'CDS-F'!$A:$L,3,FALSE)="","",(VLOOKUP($A686,'CDS-F'!$A:$L,3,FALSE))),"")</f>
        <v/>
      </c>
      <c r="D686" t="inlineStr">
        <is>
          <t>Student Life</t>
        </is>
      </c>
      <c r="E686" t="inlineStr">
        <is>
          <t>Activities Offered</t>
        </is>
      </c>
      <c r="F686" t="inlineStr">
        <is>
          <t>All</t>
        </is>
      </c>
      <c r="G686" t="inlineStr">
        <is>
          <t>All</t>
        </is>
      </c>
      <c r="H686" t="inlineStr">
        <is>
          <t>All</t>
        </is>
      </c>
      <c r="I686" t="inlineStr">
        <is>
          <t>All</t>
        </is>
      </c>
      <c r="J686" t="inlineStr">
        <is>
          <t>All</t>
        </is>
      </c>
      <c r="K686" t="inlineStr">
        <is>
          <t>All</t>
        </is>
      </c>
      <c r="L686" t="inlineStr">
        <is>
          <t>x</t>
        </is>
      </c>
    </row>
    <row r="687">
      <c r="A687" t="inlineStr">
        <is>
          <t>F218</t>
        </is>
      </c>
      <c r="B687" t="inlineStr">
        <is>
          <t>Student-run film society</t>
        </is>
      </c>
      <c r="C687">
        <f>IFERROR(IF(VLOOKUP($A687,'CDS-F'!$A:$L,3,FALSE)="","",(VLOOKUP($A687,'CDS-F'!$A:$L,3,FALSE))),"")</f>
        <v/>
      </c>
      <c r="D687" t="inlineStr">
        <is>
          <t>Student Life</t>
        </is>
      </c>
      <c r="E687" t="inlineStr">
        <is>
          <t>Activities Offered</t>
        </is>
      </c>
      <c r="F687" t="inlineStr">
        <is>
          <t>All</t>
        </is>
      </c>
      <c r="G687" t="inlineStr">
        <is>
          <t>All</t>
        </is>
      </c>
      <c r="H687" t="inlineStr">
        <is>
          <t>All</t>
        </is>
      </c>
      <c r="I687" t="inlineStr">
        <is>
          <t>All</t>
        </is>
      </c>
      <c r="J687" t="inlineStr">
        <is>
          <t>All</t>
        </is>
      </c>
      <c r="K687" t="inlineStr">
        <is>
          <t>All</t>
        </is>
      </c>
      <c r="L687" t="inlineStr">
        <is>
          <t>x</t>
        </is>
      </c>
    </row>
    <row r="688">
      <c r="A688" t="inlineStr">
        <is>
          <t>F219</t>
        </is>
      </c>
      <c r="B688" t="inlineStr">
        <is>
          <t>Symphony orchestra</t>
        </is>
      </c>
      <c r="C688">
        <f>IFERROR(IF(VLOOKUP($A688,'CDS-F'!$A:$L,3,FALSE)="","",(VLOOKUP($A688,'CDS-F'!$A:$L,3,FALSE))),"")</f>
        <v/>
      </c>
      <c r="D688" t="inlineStr">
        <is>
          <t>Student Life</t>
        </is>
      </c>
      <c r="E688" t="inlineStr">
        <is>
          <t>Activities Offered</t>
        </is>
      </c>
      <c r="F688" t="inlineStr">
        <is>
          <t>All</t>
        </is>
      </c>
      <c r="G688" t="inlineStr">
        <is>
          <t>All</t>
        </is>
      </c>
      <c r="H688" t="inlineStr">
        <is>
          <t>All</t>
        </is>
      </c>
      <c r="I688" t="inlineStr">
        <is>
          <t>All</t>
        </is>
      </c>
      <c r="J688" t="inlineStr">
        <is>
          <t>All</t>
        </is>
      </c>
      <c r="K688" t="inlineStr">
        <is>
          <t>All</t>
        </is>
      </c>
      <c r="L688" t="inlineStr">
        <is>
          <t>x</t>
        </is>
      </c>
    </row>
    <row r="689">
      <c r="A689" t="inlineStr">
        <is>
          <t>F220</t>
        </is>
      </c>
      <c r="B689" t="inlineStr">
        <is>
          <t>Television station</t>
        </is>
      </c>
      <c r="C689">
        <f>IFERROR(IF(VLOOKUP($A689,'CDS-F'!$A:$L,3,FALSE)="","",(VLOOKUP($A689,'CDS-F'!$A:$L,3,FALSE))),"")</f>
        <v/>
      </c>
      <c r="D689" t="inlineStr">
        <is>
          <t>Student Life</t>
        </is>
      </c>
      <c r="E689" t="inlineStr">
        <is>
          <t>Activities Offered</t>
        </is>
      </c>
      <c r="F689" t="inlineStr">
        <is>
          <t>All</t>
        </is>
      </c>
      <c r="G689" t="inlineStr">
        <is>
          <t>All</t>
        </is>
      </c>
      <c r="H689" t="inlineStr">
        <is>
          <t>All</t>
        </is>
      </c>
      <c r="I689" t="inlineStr">
        <is>
          <t>All</t>
        </is>
      </c>
      <c r="J689" t="inlineStr">
        <is>
          <t>All</t>
        </is>
      </c>
      <c r="K689" t="inlineStr">
        <is>
          <t>All</t>
        </is>
      </c>
      <c r="L689" t="inlineStr">
        <is>
          <t>x</t>
        </is>
      </c>
    </row>
    <row r="690">
      <c r="A690" t="inlineStr">
        <is>
          <t>F221</t>
        </is>
      </c>
      <c r="B690" t="inlineStr">
        <is>
          <t>Yearbook</t>
        </is>
      </c>
      <c r="C690">
        <f>IFERROR(IF(VLOOKUP($A690,'CDS-F'!$A:$L,3,FALSE)="","",(VLOOKUP($A690,'CDS-F'!$A:$L,3,FALSE))),"")</f>
        <v/>
      </c>
      <c r="D690" t="inlineStr">
        <is>
          <t>Student Life</t>
        </is>
      </c>
      <c r="E690" t="inlineStr">
        <is>
          <t>Activities Offered</t>
        </is>
      </c>
      <c r="F690" t="inlineStr">
        <is>
          <t>All</t>
        </is>
      </c>
      <c r="G690" t="inlineStr">
        <is>
          <t>All</t>
        </is>
      </c>
      <c r="H690" t="inlineStr">
        <is>
          <t>All</t>
        </is>
      </c>
      <c r="I690" t="inlineStr">
        <is>
          <t>All</t>
        </is>
      </c>
      <c r="J690" t="inlineStr">
        <is>
          <t>All</t>
        </is>
      </c>
      <c r="K690" t="inlineStr">
        <is>
          <t>All</t>
        </is>
      </c>
      <c r="L690" t="inlineStr">
        <is>
          <t>x</t>
        </is>
      </c>
    </row>
    <row r="691">
      <c r="A691" t="inlineStr">
        <is>
          <t>F301</t>
        </is>
      </c>
      <c r="B691" t="inlineStr">
        <is>
          <t>On Campus</t>
        </is>
      </c>
      <c r="C691">
        <f>IFERROR(IF(VLOOKUP($A691,'CDS-F'!$A:$L,3,FALSE)="","",(VLOOKUP($A691,'CDS-F'!$A:$L,3,FALSE))),"")</f>
        <v/>
      </c>
      <c r="D691" t="inlineStr">
        <is>
          <t>Student Life</t>
        </is>
      </c>
      <c r="E691" t="inlineStr">
        <is>
          <t>ROTC</t>
        </is>
      </c>
      <c r="F691" t="inlineStr">
        <is>
          <t>Army</t>
        </is>
      </c>
      <c r="G691" t="inlineStr">
        <is>
          <t>All</t>
        </is>
      </c>
      <c r="H691" t="inlineStr">
        <is>
          <t>All</t>
        </is>
      </c>
      <c r="I691" t="inlineStr">
        <is>
          <t>All</t>
        </is>
      </c>
      <c r="J691" t="inlineStr">
        <is>
          <t>All</t>
        </is>
      </c>
      <c r="K691" t="inlineStr">
        <is>
          <t>All</t>
        </is>
      </c>
      <c r="L691" t="inlineStr">
        <is>
          <t>x</t>
        </is>
      </c>
    </row>
    <row r="692">
      <c r="A692" t="inlineStr">
        <is>
          <t>F302</t>
        </is>
      </c>
      <c r="B692" t="inlineStr">
        <is>
          <t>At Cooperating Institution</t>
        </is>
      </c>
      <c r="C692">
        <f>IFERROR(IF(VLOOKUP($A692,'CDS-F'!$A:$L,3,FALSE)="","",(VLOOKUP($A692,'CDS-F'!$A:$L,3,FALSE))),"")</f>
        <v/>
      </c>
      <c r="D692" t="inlineStr">
        <is>
          <t>Student Life</t>
        </is>
      </c>
      <c r="E692" t="inlineStr">
        <is>
          <t>ROTC</t>
        </is>
      </c>
      <c r="F692" t="inlineStr">
        <is>
          <t>Army</t>
        </is>
      </c>
      <c r="G692" t="inlineStr">
        <is>
          <t>All</t>
        </is>
      </c>
      <c r="H692" t="inlineStr">
        <is>
          <t>All</t>
        </is>
      </c>
      <c r="I692" t="inlineStr">
        <is>
          <t>All</t>
        </is>
      </c>
      <c r="J692" t="inlineStr">
        <is>
          <t>All</t>
        </is>
      </c>
      <c r="K692" t="inlineStr">
        <is>
          <t>All</t>
        </is>
      </c>
      <c r="L692" t="inlineStr">
        <is>
          <t>x</t>
        </is>
      </c>
    </row>
    <row r="693">
      <c r="A693" t="inlineStr">
        <is>
          <t>F303</t>
        </is>
      </c>
      <c r="B693" t="inlineStr">
        <is>
          <t>Name of Cooperating Institution</t>
        </is>
      </c>
      <c r="C693">
        <f>IFERROR(IF(VLOOKUP($A693,'CDS-F'!$A:$L,3,FALSE)="","",(VLOOKUP($A693,'CDS-F'!$A:$L,3,FALSE))),"")</f>
        <v/>
      </c>
      <c r="D693" t="inlineStr">
        <is>
          <t>Student Life</t>
        </is>
      </c>
      <c r="E693" t="inlineStr">
        <is>
          <t>ROTC</t>
        </is>
      </c>
      <c r="F693" t="inlineStr">
        <is>
          <t>Army</t>
        </is>
      </c>
      <c r="G693" t="inlineStr">
        <is>
          <t>All</t>
        </is>
      </c>
      <c r="H693" t="inlineStr">
        <is>
          <t>All</t>
        </is>
      </c>
      <c r="I693" t="inlineStr">
        <is>
          <t>All</t>
        </is>
      </c>
      <c r="J693" t="inlineStr">
        <is>
          <t>All</t>
        </is>
      </c>
      <c r="K693" t="inlineStr">
        <is>
          <t>All</t>
        </is>
      </c>
      <c r="L693" t="inlineStr">
        <is>
          <t>Text</t>
        </is>
      </c>
    </row>
    <row r="694">
      <c r="A694" t="inlineStr">
        <is>
          <t>F304</t>
        </is>
      </c>
      <c r="B694" t="inlineStr">
        <is>
          <t>Marine Option 
(for Naval ROTC)</t>
        </is>
      </c>
      <c r="C694">
        <f>IFERROR(IF(VLOOKUP($A694,'CDS-F'!$A:$L,3,FALSE)="","",(VLOOKUP($A694,'CDS-F'!$A:$L,3,FALSE))),"")</f>
        <v/>
      </c>
      <c r="D694" t="inlineStr">
        <is>
          <t>Student Life</t>
        </is>
      </c>
      <c r="E694" t="inlineStr">
        <is>
          <t>ROTC</t>
        </is>
      </c>
      <c r="F694" t="inlineStr">
        <is>
          <t>Army</t>
        </is>
      </c>
      <c r="G694" t="inlineStr">
        <is>
          <t>All</t>
        </is>
      </c>
      <c r="H694" t="inlineStr">
        <is>
          <t>All</t>
        </is>
      </c>
      <c r="I694" t="inlineStr">
        <is>
          <t>All</t>
        </is>
      </c>
      <c r="J694" t="inlineStr">
        <is>
          <t>All</t>
        </is>
      </c>
      <c r="K694" t="inlineStr">
        <is>
          <t>All</t>
        </is>
      </c>
      <c r="L694" t="inlineStr">
        <is>
          <t>x</t>
        </is>
      </c>
    </row>
    <row r="695">
      <c r="A695" t="inlineStr">
        <is>
          <t>F305</t>
        </is>
      </c>
      <c r="B695" t="inlineStr">
        <is>
          <t>On Campus</t>
        </is>
      </c>
      <c r="C695">
        <f>IFERROR(IF(VLOOKUP($A695,'CDS-F'!$A:$L,3,FALSE)="","",(VLOOKUP($A695,'CDS-F'!$A:$L,3,FALSE))),"")</f>
        <v/>
      </c>
      <c r="D695" t="inlineStr">
        <is>
          <t>Student Life</t>
        </is>
      </c>
      <c r="E695" t="inlineStr">
        <is>
          <t>ROTC</t>
        </is>
      </c>
      <c r="F695" t="inlineStr">
        <is>
          <t>Army</t>
        </is>
      </c>
      <c r="G695" t="inlineStr">
        <is>
          <t>All</t>
        </is>
      </c>
      <c r="H695" t="inlineStr">
        <is>
          <t>All</t>
        </is>
      </c>
      <c r="I695" t="inlineStr">
        <is>
          <t>All</t>
        </is>
      </c>
      <c r="J695" t="inlineStr">
        <is>
          <t>All</t>
        </is>
      </c>
      <c r="K695" t="inlineStr">
        <is>
          <t>All</t>
        </is>
      </c>
      <c r="L695" t="inlineStr">
        <is>
          <t>x</t>
        </is>
      </c>
    </row>
    <row r="696">
      <c r="A696" t="inlineStr">
        <is>
          <t>F306</t>
        </is>
      </c>
      <c r="B696" t="inlineStr">
        <is>
          <t>At Cooperating Institution</t>
        </is>
      </c>
      <c r="C696">
        <f>IFERROR(IF(VLOOKUP($A696,'CDS-F'!$A:$L,3,FALSE)="","",(VLOOKUP($A696,'CDS-F'!$A:$L,3,FALSE))),"")</f>
        <v/>
      </c>
      <c r="D696" t="inlineStr">
        <is>
          <t>Student Life</t>
        </is>
      </c>
      <c r="E696" t="inlineStr">
        <is>
          <t>ROTC</t>
        </is>
      </c>
      <c r="F696" t="inlineStr">
        <is>
          <t>Army</t>
        </is>
      </c>
      <c r="G696" t="inlineStr">
        <is>
          <t>All</t>
        </is>
      </c>
      <c r="H696" t="inlineStr">
        <is>
          <t>All</t>
        </is>
      </c>
      <c r="I696" t="inlineStr">
        <is>
          <t>All</t>
        </is>
      </c>
      <c r="J696" t="inlineStr">
        <is>
          <t>All</t>
        </is>
      </c>
      <c r="K696" t="inlineStr">
        <is>
          <t>All</t>
        </is>
      </c>
      <c r="L696" t="inlineStr">
        <is>
          <t>x</t>
        </is>
      </c>
    </row>
    <row r="697">
      <c r="A697" t="inlineStr">
        <is>
          <t>F307</t>
        </is>
      </c>
      <c r="B697" t="inlineStr">
        <is>
          <t>Name of Cooperating Institution</t>
        </is>
      </c>
      <c r="C697">
        <f>IFERROR(IF(VLOOKUP($A697,'CDS-F'!$A:$L,3,FALSE)="","",(VLOOKUP($A697,'CDS-F'!$A:$L,3,FALSE))),"")</f>
        <v/>
      </c>
      <c r="D697" t="inlineStr">
        <is>
          <t>Student Life</t>
        </is>
      </c>
      <c r="E697" t="inlineStr">
        <is>
          <t>ROTC</t>
        </is>
      </c>
      <c r="F697" t="inlineStr">
        <is>
          <t>Army</t>
        </is>
      </c>
      <c r="G697" t="inlineStr">
        <is>
          <t>All</t>
        </is>
      </c>
      <c r="H697" t="inlineStr">
        <is>
          <t>All</t>
        </is>
      </c>
      <c r="I697" t="inlineStr">
        <is>
          <t>All</t>
        </is>
      </c>
      <c r="J697" t="inlineStr">
        <is>
          <t>All</t>
        </is>
      </c>
      <c r="K697" t="inlineStr">
        <is>
          <t>All</t>
        </is>
      </c>
      <c r="L697" t="inlineStr">
        <is>
          <t>Text</t>
        </is>
      </c>
    </row>
    <row r="698">
      <c r="A698" t="inlineStr">
        <is>
          <t>F308</t>
        </is>
      </c>
      <c r="B698" t="inlineStr">
        <is>
          <t>On Campus</t>
        </is>
      </c>
      <c r="C698">
        <f>IFERROR(IF(VLOOKUP($A698,'CDS-F'!$A:$L,3,FALSE)="","",(VLOOKUP($A698,'CDS-F'!$A:$L,3,FALSE))),"")</f>
        <v/>
      </c>
      <c r="D698" t="inlineStr">
        <is>
          <t>Student Life</t>
        </is>
      </c>
      <c r="E698" t="inlineStr">
        <is>
          <t>ROTC</t>
        </is>
      </c>
      <c r="F698" t="inlineStr">
        <is>
          <t>Army</t>
        </is>
      </c>
      <c r="G698" t="inlineStr">
        <is>
          <t>All</t>
        </is>
      </c>
      <c r="H698" t="inlineStr">
        <is>
          <t>All</t>
        </is>
      </c>
      <c r="I698" t="inlineStr">
        <is>
          <t>All</t>
        </is>
      </c>
      <c r="J698" t="inlineStr">
        <is>
          <t>All</t>
        </is>
      </c>
      <c r="K698" t="inlineStr">
        <is>
          <t>All</t>
        </is>
      </c>
      <c r="L698" t="inlineStr">
        <is>
          <t>x</t>
        </is>
      </c>
    </row>
    <row r="699">
      <c r="A699" t="inlineStr">
        <is>
          <t>F309</t>
        </is>
      </c>
      <c r="B699" t="inlineStr">
        <is>
          <t>At Cooperating Institution</t>
        </is>
      </c>
      <c r="C699">
        <f>IFERROR(IF(VLOOKUP($A699,'CDS-F'!$A:$L,3,FALSE)="","",(VLOOKUP($A699,'CDS-F'!$A:$L,3,FALSE))),"")</f>
        <v/>
      </c>
      <c r="D699" t="inlineStr">
        <is>
          <t>Student Life</t>
        </is>
      </c>
      <c r="E699" t="inlineStr">
        <is>
          <t>ROTC</t>
        </is>
      </c>
      <c r="F699" t="inlineStr">
        <is>
          <t>Army</t>
        </is>
      </c>
      <c r="G699" t="inlineStr">
        <is>
          <t>All</t>
        </is>
      </c>
      <c r="H699" t="inlineStr">
        <is>
          <t>All</t>
        </is>
      </c>
      <c r="I699" t="inlineStr">
        <is>
          <t>All</t>
        </is>
      </c>
      <c r="J699" t="inlineStr">
        <is>
          <t>All</t>
        </is>
      </c>
      <c r="K699" t="inlineStr">
        <is>
          <t>All</t>
        </is>
      </c>
      <c r="L699" t="inlineStr">
        <is>
          <t>x</t>
        </is>
      </c>
    </row>
    <row r="700">
      <c r="A700" t="inlineStr">
        <is>
          <t>F310</t>
        </is>
      </c>
      <c r="B700" t="inlineStr">
        <is>
          <t>Name of Cooperating Institution</t>
        </is>
      </c>
      <c r="C700">
        <f>IFERROR(IF(VLOOKUP($A700,'CDS-F'!$A:$L,3,FALSE)="","",(VLOOKUP($A700,'CDS-F'!$A:$L,3,FALSE))),"")</f>
        <v/>
      </c>
      <c r="D700" t="inlineStr">
        <is>
          <t>Student Life</t>
        </is>
      </c>
      <c r="E700" t="inlineStr">
        <is>
          <t>ROTC</t>
        </is>
      </c>
      <c r="F700" t="inlineStr">
        <is>
          <t>Army</t>
        </is>
      </c>
      <c r="G700" t="inlineStr">
        <is>
          <t>All</t>
        </is>
      </c>
      <c r="H700" t="inlineStr">
        <is>
          <t>All</t>
        </is>
      </c>
      <c r="I700" t="inlineStr">
        <is>
          <t>All</t>
        </is>
      </c>
      <c r="J700" t="inlineStr">
        <is>
          <t>All</t>
        </is>
      </c>
      <c r="K700" t="inlineStr">
        <is>
          <t>All</t>
        </is>
      </c>
      <c r="L700" t="inlineStr">
        <is>
          <t>Text</t>
        </is>
      </c>
    </row>
    <row r="701">
      <c r="A701" t="inlineStr">
        <is>
          <t>F401</t>
        </is>
      </c>
      <c r="B701" t="inlineStr">
        <is>
          <t>Coed dorms</t>
        </is>
      </c>
      <c r="C701">
        <f>IFERROR(IF(VLOOKUP($A701,'CDS-F'!$A:$L,3,FALSE)="","",(VLOOKUP($A701,'CDS-F'!$A:$L,3,FALSE))),"")</f>
        <v/>
      </c>
      <c r="D701" t="inlineStr">
        <is>
          <t>Student Life</t>
        </is>
      </c>
      <c r="E701" t="inlineStr">
        <is>
          <t>Housing</t>
        </is>
      </c>
      <c r="F701" t="inlineStr">
        <is>
          <t>All</t>
        </is>
      </c>
      <c r="G701" t="inlineStr">
        <is>
          <t>All</t>
        </is>
      </c>
      <c r="H701" t="inlineStr">
        <is>
          <t>All</t>
        </is>
      </c>
      <c r="I701" t="inlineStr">
        <is>
          <t>All</t>
        </is>
      </c>
      <c r="J701" t="inlineStr">
        <is>
          <t>All</t>
        </is>
      </c>
      <c r="K701" t="inlineStr">
        <is>
          <t>All</t>
        </is>
      </c>
      <c r="L701" t="inlineStr">
        <is>
          <t>x</t>
        </is>
      </c>
    </row>
    <row r="702">
      <c r="A702" t="inlineStr">
        <is>
          <t>F402</t>
        </is>
      </c>
      <c r="B702" t="inlineStr">
        <is>
          <t>Men's dorms</t>
        </is>
      </c>
      <c r="C702">
        <f>IFERROR(IF(VLOOKUP($A702,'CDS-F'!$A:$L,3,FALSE)="","",(VLOOKUP($A702,'CDS-F'!$A:$L,3,FALSE))),"")</f>
        <v/>
      </c>
      <c r="D702" t="inlineStr">
        <is>
          <t>Student Life</t>
        </is>
      </c>
      <c r="E702" t="inlineStr">
        <is>
          <t>Housing</t>
        </is>
      </c>
      <c r="F702" t="inlineStr">
        <is>
          <t>All</t>
        </is>
      </c>
      <c r="G702" t="inlineStr">
        <is>
          <t>All</t>
        </is>
      </c>
      <c r="H702" t="inlineStr">
        <is>
          <t>All</t>
        </is>
      </c>
      <c r="I702" t="inlineStr">
        <is>
          <t>All</t>
        </is>
      </c>
      <c r="J702" t="inlineStr">
        <is>
          <t>All</t>
        </is>
      </c>
      <c r="K702" t="inlineStr">
        <is>
          <t>Men</t>
        </is>
      </c>
      <c r="L702" t="inlineStr">
        <is>
          <t>x</t>
        </is>
      </c>
    </row>
    <row r="703">
      <c r="A703" t="inlineStr">
        <is>
          <t>F403</t>
        </is>
      </c>
      <c r="B703" t="inlineStr">
        <is>
          <t>Women's dorms</t>
        </is>
      </c>
      <c r="C703">
        <f>IFERROR(IF(VLOOKUP($A703,'CDS-F'!$A:$L,3,FALSE)="","",(VLOOKUP($A703,'CDS-F'!$A:$L,3,FALSE))),"")</f>
        <v/>
      </c>
      <c r="D703" t="inlineStr">
        <is>
          <t>Student Life</t>
        </is>
      </c>
      <c r="E703" t="inlineStr">
        <is>
          <t>Housing</t>
        </is>
      </c>
      <c r="F703" t="inlineStr">
        <is>
          <t>All</t>
        </is>
      </c>
      <c r="G703" t="inlineStr">
        <is>
          <t>All</t>
        </is>
      </c>
      <c r="H703" t="inlineStr">
        <is>
          <t>All</t>
        </is>
      </c>
      <c r="I703" t="inlineStr">
        <is>
          <t>All</t>
        </is>
      </c>
      <c r="J703" t="inlineStr">
        <is>
          <t>All</t>
        </is>
      </c>
      <c r="K703" t="inlineStr">
        <is>
          <t>Women</t>
        </is>
      </c>
      <c r="L703" t="inlineStr">
        <is>
          <t>x</t>
        </is>
      </c>
    </row>
    <row r="704">
      <c r="A704" t="inlineStr">
        <is>
          <t>F404</t>
        </is>
      </c>
      <c r="B704" t="inlineStr">
        <is>
          <t>Apartments for married students</t>
        </is>
      </c>
      <c r="C704">
        <f>IFERROR(IF(VLOOKUP($A704,'CDS-F'!$A:$L,3,FALSE)="","",(VLOOKUP($A704,'CDS-F'!$A:$L,3,FALSE))),"")</f>
        <v/>
      </c>
      <c r="D704" t="inlineStr">
        <is>
          <t>Student Life</t>
        </is>
      </c>
      <c r="E704" t="inlineStr">
        <is>
          <t>Housing</t>
        </is>
      </c>
      <c r="F704" t="inlineStr">
        <is>
          <t>All</t>
        </is>
      </c>
      <c r="G704" t="inlineStr">
        <is>
          <t>All</t>
        </is>
      </c>
      <c r="H704" t="inlineStr">
        <is>
          <t>All</t>
        </is>
      </c>
      <c r="I704" t="inlineStr">
        <is>
          <t>All</t>
        </is>
      </c>
      <c r="J704" t="inlineStr">
        <is>
          <t>All</t>
        </is>
      </c>
      <c r="K704" t="inlineStr">
        <is>
          <t>All</t>
        </is>
      </c>
      <c r="L704" t="inlineStr">
        <is>
          <t>x</t>
        </is>
      </c>
    </row>
    <row r="705">
      <c r="A705" t="inlineStr">
        <is>
          <t>F405</t>
        </is>
      </c>
      <c r="B705" t="inlineStr">
        <is>
          <t>Apartments for single students</t>
        </is>
      </c>
      <c r="C705">
        <f>IFERROR(IF(VLOOKUP($A705,'CDS-F'!$A:$L,3,FALSE)="","",(VLOOKUP($A705,'CDS-F'!$A:$L,3,FALSE))),"")</f>
        <v/>
      </c>
      <c r="D705" t="inlineStr">
        <is>
          <t>Student Life</t>
        </is>
      </c>
      <c r="E705" t="inlineStr">
        <is>
          <t>Housing</t>
        </is>
      </c>
      <c r="F705" t="inlineStr">
        <is>
          <t>All</t>
        </is>
      </c>
      <c r="G705" t="inlineStr">
        <is>
          <t>All</t>
        </is>
      </c>
      <c r="H705" t="inlineStr">
        <is>
          <t>All</t>
        </is>
      </c>
      <c r="I705" t="inlineStr">
        <is>
          <t>All</t>
        </is>
      </c>
      <c r="J705" t="inlineStr">
        <is>
          <t>All</t>
        </is>
      </c>
      <c r="K705" t="inlineStr">
        <is>
          <t>All</t>
        </is>
      </c>
      <c r="L705" t="inlineStr">
        <is>
          <t>x</t>
        </is>
      </c>
    </row>
    <row r="706">
      <c r="A706" t="inlineStr">
        <is>
          <t>F406</t>
        </is>
      </c>
      <c r="B706" t="inlineStr">
        <is>
          <t>Special housing for disabled students</t>
        </is>
      </c>
      <c r="C706">
        <f>IFERROR(IF(VLOOKUP($A706,'CDS-F'!$A:$L,3,FALSE)="","",(VLOOKUP($A706,'CDS-F'!$A:$L,3,FALSE))),"")</f>
        <v/>
      </c>
      <c r="D706" t="inlineStr">
        <is>
          <t>Student Life</t>
        </is>
      </c>
      <c r="E706" t="inlineStr">
        <is>
          <t>Housing</t>
        </is>
      </c>
      <c r="F706" t="inlineStr">
        <is>
          <t>All</t>
        </is>
      </c>
      <c r="G706" t="inlineStr">
        <is>
          <t>All</t>
        </is>
      </c>
      <c r="H706" t="inlineStr">
        <is>
          <t>All</t>
        </is>
      </c>
      <c r="I706" t="inlineStr">
        <is>
          <t>All</t>
        </is>
      </c>
      <c r="J706" t="inlineStr">
        <is>
          <t>All</t>
        </is>
      </c>
      <c r="K706" t="inlineStr">
        <is>
          <t>All</t>
        </is>
      </c>
      <c r="L706" t="inlineStr">
        <is>
          <t>x</t>
        </is>
      </c>
    </row>
    <row r="707">
      <c r="A707" t="inlineStr">
        <is>
          <t>F407</t>
        </is>
      </c>
      <c r="B707" t="inlineStr">
        <is>
          <t>Special housing for international students</t>
        </is>
      </c>
      <c r="C707">
        <f>IFERROR(IF(VLOOKUP($A707,'CDS-F'!$A:$L,3,FALSE)="","",(VLOOKUP($A707,'CDS-F'!$A:$L,3,FALSE))),"")</f>
        <v/>
      </c>
      <c r="D707" t="inlineStr">
        <is>
          <t>Student Life</t>
        </is>
      </c>
      <c r="E707" t="inlineStr">
        <is>
          <t>Housing</t>
        </is>
      </c>
      <c r="F707" t="inlineStr">
        <is>
          <t>All</t>
        </is>
      </c>
      <c r="G707" t="inlineStr">
        <is>
          <t>All</t>
        </is>
      </c>
      <c r="H707" t="inlineStr">
        <is>
          <t>All</t>
        </is>
      </c>
      <c r="I707" t="inlineStr">
        <is>
          <t>All</t>
        </is>
      </c>
      <c r="J707" t="inlineStr">
        <is>
          <t>All</t>
        </is>
      </c>
      <c r="K707" t="inlineStr">
        <is>
          <t>All</t>
        </is>
      </c>
      <c r="L707" t="inlineStr">
        <is>
          <t>x</t>
        </is>
      </c>
    </row>
    <row r="708">
      <c r="A708" t="inlineStr">
        <is>
          <t>F408</t>
        </is>
      </c>
      <c r="B708" t="inlineStr">
        <is>
          <t>Fraternity/sorority housing</t>
        </is>
      </c>
      <c r="C708">
        <f>IFERROR(IF(VLOOKUP($A708,'CDS-F'!$A:$L,3,FALSE)="","",(VLOOKUP($A708,'CDS-F'!$A:$L,3,FALSE))),"")</f>
        <v/>
      </c>
      <c r="D708" t="inlineStr">
        <is>
          <t>Student Life</t>
        </is>
      </c>
      <c r="E708" t="inlineStr">
        <is>
          <t>Housing</t>
        </is>
      </c>
      <c r="F708" t="inlineStr">
        <is>
          <t>All</t>
        </is>
      </c>
      <c r="G708" t="inlineStr">
        <is>
          <t>All</t>
        </is>
      </c>
      <c r="H708" t="inlineStr">
        <is>
          <t>All</t>
        </is>
      </c>
      <c r="I708" t="inlineStr">
        <is>
          <t>All</t>
        </is>
      </c>
      <c r="J708" t="inlineStr">
        <is>
          <t>All</t>
        </is>
      </c>
      <c r="K708" t="inlineStr">
        <is>
          <t>All</t>
        </is>
      </c>
      <c r="L708" t="inlineStr">
        <is>
          <t>x</t>
        </is>
      </c>
    </row>
    <row r="709">
      <c r="A709" t="inlineStr">
        <is>
          <t>F409</t>
        </is>
      </c>
      <c r="B709" t="inlineStr">
        <is>
          <t>Cooperative housing</t>
        </is>
      </c>
      <c r="C709">
        <f>IFERROR(IF(VLOOKUP($A709,'CDS-F'!$A:$L,3,FALSE)="","",(VLOOKUP($A709,'CDS-F'!$A:$L,3,FALSE))),"")</f>
        <v/>
      </c>
      <c r="D709" t="inlineStr">
        <is>
          <t>Student Life</t>
        </is>
      </c>
      <c r="E709" t="inlineStr">
        <is>
          <t>Housing</t>
        </is>
      </c>
      <c r="F709" t="inlineStr">
        <is>
          <t>All</t>
        </is>
      </c>
      <c r="G709" t="inlineStr">
        <is>
          <t>All</t>
        </is>
      </c>
      <c r="H709" t="inlineStr">
        <is>
          <t>All</t>
        </is>
      </c>
      <c r="I709" t="inlineStr">
        <is>
          <t>All</t>
        </is>
      </c>
      <c r="J709" t="inlineStr">
        <is>
          <t>All</t>
        </is>
      </c>
      <c r="K709" t="inlineStr">
        <is>
          <t>All</t>
        </is>
      </c>
      <c r="L709" t="inlineStr">
        <is>
          <t>x</t>
        </is>
      </c>
    </row>
    <row r="710">
      <c r="A710" t="inlineStr">
        <is>
          <t>F410</t>
        </is>
      </c>
      <c r="B710" t="inlineStr">
        <is>
          <t>Theme housing</t>
        </is>
      </c>
      <c r="C710">
        <f>IFERROR(IF(VLOOKUP($A710,'CDS-F'!$A:$L,3,FALSE)="","",(VLOOKUP($A710,'CDS-F'!$A:$L,3,FALSE))),"")</f>
        <v/>
      </c>
      <c r="D710" t="inlineStr">
        <is>
          <t>Student Life</t>
        </is>
      </c>
      <c r="E710" t="inlineStr">
        <is>
          <t>Housing</t>
        </is>
      </c>
      <c r="F710" t="inlineStr">
        <is>
          <t>All</t>
        </is>
      </c>
      <c r="G710" t="inlineStr">
        <is>
          <t>All</t>
        </is>
      </c>
      <c r="H710" t="inlineStr">
        <is>
          <t>All</t>
        </is>
      </c>
      <c r="I710" t="inlineStr">
        <is>
          <t>All</t>
        </is>
      </c>
      <c r="J710" t="inlineStr">
        <is>
          <t>All</t>
        </is>
      </c>
      <c r="K710" t="inlineStr">
        <is>
          <t>All</t>
        </is>
      </c>
      <c r="L710" t="inlineStr">
        <is>
          <t>x</t>
        </is>
      </c>
    </row>
    <row r="711">
      <c r="A711" t="inlineStr">
        <is>
          <t>F411</t>
        </is>
      </c>
      <c r="B711" t="inlineStr">
        <is>
          <t>Wellness housing</t>
        </is>
      </c>
      <c r="C711">
        <f>IFERROR(IF(VLOOKUP($A711,'CDS-F'!$A:$L,3,FALSE)="","",(VLOOKUP($A711,'CDS-F'!$A:$L,3,FALSE))),"")</f>
        <v/>
      </c>
      <c r="D711" t="inlineStr">
        <is>
          <t>Student Life</t>
        </is>
      </c>
      <c r="E711" t="inlineStr">
        <is>
          <t>Housing</t>
        </is>
      </c>
      <c r="F711" t="inlineStr">
        <is>
          <t>All</t>
        </is>
      </c>
      <c r="G711" t="inlineStr">
        <is>
          <t>All</t>
        </is>
      </c>
      <c r="H711" t="inlineStr">
        <is>
          <t>All</t>
        </is>
      </c>
      <c r="I711" t="inlineStr">
        <is>
          <t>All</t>
        </is>
      </c>
      <c r="J711" t="inlineStr">
        <is>
          <t>All</t>
        </is>
      </c>
      <c r="K711" t="inlineStr">
        <is>
          <t>All</t>
        </is>
      </c>
      <c r="L711" t="inlineStr">
        <is>
          <t>x</t>
        </is>
      </c>
    </row>
    <row r="712">
      <c r="A712" t="inlineStr">
        <is>
          <t>F412</t>
        </is>
      </c>
      <c r="B712" t="inlineStr">
        <is>
          <t>Living Learning Communities</t>
        </is>
      </c>
      <c r="C712">
        <f>IFERROR(IF(VLOOKUP($A712,'CDS-F'!$A:$L,3,FALSE)="","",(VLOOKUP($A712,'CDS-F'!$A:$L,3,FALSE))),"")</f>
        <v/>
      </c>
      <c r="D712" t="inlineStr">
        <is>
          <t>Student Life</t>
        </is>
      </c>
      <c r="E712" t="inlineStr">
        <is>
          <t>Housing</t>
        </is>
      </c>
      <c r="F712" t="inlineStr">
        <is>
          <t>All</t>
        </is>
      </c>
      <c r="G712" t="inlineStr">
        <is>
          <t>All</t>
        </is>
      </c>
      <c r="H712" t="inlineStr">
        <is>
          <t>All</t>
        </is>
      </c>
      <c r="I712" t="inlineStr">
        <is>
          <t>All</t>
        </is>
      </c>
      <c r="J712" t="inlineStr">
        <is>
          <t>All</t>
        </is>
      </c>
      <c r="K712" t="inlineStr">
        <is>
          <t>All</t>
        </is>
      </c>
      <c r="L712" t="inlineStr">
        <is>
          <t>x</t>
        </is>
      </c>
    </row>
    <row r="713">
      <c r="A713" t="inlineStr">
        <is>
          <t>F413</t>
        </is>
      </c>
      <c r="B713" t="inlineStr">
        <is>
          <t>Other housing options (specify):</t>
        </is>
      </c>
      <c r="C713">
        <f>IFERROR(IF(VLOOKUP($A713,'CDS-F'!$A:$L,3,FALSE)="","",(VLOOKUP($A713,'CDS-F'!$A:$L,3,FALSE))),"")</f>
        <v/>
      </c>
      <c r="D713" t="inlineStr">
        <is>
          <t>Student Life</t>
        </is>
      </c>
      <c r="E713" t="inlineStr">
        <is>
          <t>Housing</t>
        </is>
      </c>
      <c r="F713" t="inlineStr">
        <is>
          <t>All</t>
        </is>
      </c>
      <c r="G713" t="inlineStr">
        <is>
          <t>All</t>
        </is>
      </c>
      <c r="H713" t="inlineStr">
        <is>
          <t>All</t>
        </is>
      </c>
      <c r="I713" t="inlineStr">
        <is>
          <t>All</t>
        </is>
      </c>
      <c r="J713" t="inlineStr">
        <is>
          <t>All</t>
        </is>
      </c>
      <c r="K713" t="inlineStr">
        <is>
          <t>All</t>
        </is>
      </c>
      <c r="L713" t="inlineStr">
        <is>
          <t>Text</t>
        </is>
      </c>
    </row>
    <row r="714">
      <c r="A714" t="inlineStr">
        <is>
          <t>G001</t>
        </is>
      </c>
      <c r="B714" t="inlineStr">
        <is>
          <t>Please provide the URL of your institution’s net price calculator:</t>
        </is>
      </c>
      <c r="C714">
        <f>IFERROR(IF(VLOOKUP($A714,'CDS-G'!$A:$L,3,FALSE)="","",(VLOOKUP($A714,'CDS-G'!$A:$L,3,FALSE))),"")</f>
        <v/>
      </c>
      <c r="D714" t="inlineStr">
        <is>
          <t>Annual Expenses</t>
        </is>
      </c>
      <c r="E714" t="inlineStr">
        <is>
          <t>Information</t>
        </is>
      </c>
      <c r="F714" t="inlineStr">
        <is>
          <t>All</t>
        </is>
      </c>
      <c r="G714" t="inlineStr">
        <is>
          <t>All</t>
        </is>
      </c>
      <c r="H714" t="inlineStr">
        <is>
          <t>All</t>
        </is>
      </c>
      <c r="I714" t="inlineStr">
        <is>
          <t>All</t>
        </is>
      </c>
      <c r="J714" t="inlineStr">
        <is>
          <t>All</t>
        </is>
      </c>
      <c r="K714" t="inlineStr">
        <is>
          <t>All</t>
        </is>
      </c>
      <c r="L714" t="inlineStr">
        <is>
          <t>URL</t>
        </is>
      </c>
    </row>
    <row r="715">
      <c r="A715" t="inlineStr">
        <is>
          <t>G002</t>
        </is>
      </c>
      <c r="B715" t="inlineStr">
        <is>
          <t>If your institution's 2025-2026 academic year costs of attendance are not available at this time please respond.</t>
        </is>
      </c>
      <c r="C715">
        <f>IFERROR(IF(VLOOKUP($A715,'CDS-G'!$A:$L,3,FALSE)="","",(VLOOKUP($A715,'CDS-G'!$A:$L,3,FALSE))),"")</f>
        <v/>
      </c>
      <c r="D715" t="inlineStr">
        <is>
          <t>Annual Expenses</t>
        </is>
      </c>
      <c r="E715" t="inlineStr">
        <is>
          <t>Information</t>
        </is>
      </c>
      <c r="F715" t="inlineStr">
        <is>
          <t>All</t>
        </is>
      </c>
      <c r="G715" t="inlineStr">
        <is>
          <t>All</t>
        </is>
      </c>
      <c r="H715" t="inlineStr">
        <is>
          <t>All</t>
        </is>
      </c>
      <c r="I715" t="inlineStr">
        <is>
          <t>All</t>
        </is>
      </c>
      <c r="J715" t="inlineStr">
        <is>
          <t>All</t>
        </is>
      </c>
      <c r="K715" t="inlineStr">
        <is>
          <t>All</t>
        </is>
      </c>
      <c r="L715" t="inlineStr">
        <is>
          <t>x</t>
        </is>
      </c>
    </row>
    <row r="716">
      <c r="A716" t="inlineStr">
        <is>
          <t>G003</t>
        </is>
      </c>
      <c r="B716" t="inlineStr">
        <is>
          <t>Please provide an approximate date (i.e., month/day) when your institution's final 2025-2026 academic year costs of attendance will be available:</t>
        </is>
      </c>
      <c r="C716">
        <f>IFERROR(IF(VLOOKUP($A716,'CDS-G'!$A:$L,3,FALSE)="","",(VLOOKUP($A716,'CDS-G'!$A:$L,3,FALSE))),"")</f>
        <v/>
      </c>
      <c r="D716" t="inlineStr">
        <is>
          <t>Annual Expenses</t>
        </is>
      </c>
      <c r="E716" t="inlineStr">
        <is>
          <t>Information</t>
        </is>
      </c>
      <c r="F716" t="inlineStr">
        <is>
          <t>All</t>
        </is>
      </c>
      <c r="G716" t="inlineStr">
        <is>
          <t>All</t>
        </is>
      </c>
      <c r="H716" t="inlineStr">
        <is>
          <t>All</t>
        </is>
      </c>
      <c r="I716" t="inlineStr">
        <is>
          <t>All</t>
        </is>
      </c>
      <c r="J716" t="inlineStr">
        <is>
          <t>All</t>
        </is>
      </c>
      <c r="K716" t="inlineStr">
        <is>
          <t>All</t>
        </is>
      </c>
      <c r="L716" t="inlineStr">
        <is>
          <t>MM-DD</t>
        </is>
      </c>
    </row>
    <row r="717">
      <c r="A717" t="inlineStr">
        <is>
          <t>G101</t>
        </is>
      </c>
      <c r="B717" t="inlineStr">
        <is>
          <t>Tuition</t>
        </is>
      </c>
      <c r="C717">
        <f>IFERROR(IF(VLOOKUP($A717,'CDS-G'!$A:$L,3,FALSE)="","",(VLOOKUP($A717,'CDS-G'!$A:$L,3,FALSE))),"")</f>
        <v/>
      </c>
      <c r="D717" t="inlineStr">
        <is>
          <t>Annual Expenses</t>
        </is>
      </c>
      <c r="E717" t="inlineStr">
        <is>
          <t>Private Tuition</t>
        </is>
      </c>
      <c r="F717" t="inlineStr">
        <is>
          <t>Full-Time</t>
        </is>
      </c>
      <c r="G717" t="inlineStr">
        <is>
          <t>Undergraduate</t>
        </is>
      </c>
      <c r="H717" t="inlineStr">
        <is>
          <t>First-year</t>
        </is>
      </c>
      <c r="I717" t="inlineStr">
        <is>
          <t>All</t>
        </is>
      </c>
      <c r="J717" t="inlineStr">
        <is>
          <t>All</t>
        </is>
      </c>
      <c r="K717" t="inlineStr">
        <is>
          <t>All</t>
        </is>
      </c>
      <c r="L717" t="inlineStr">
        <is>
          <t>Nearest $1</t>
        </is>
      </c>
    </row>
    <row r="718">
      <c r="A718" t="inlineStr">
        <is>
          <t>G102</t>
        </is>
      </c>
      <c r="B718" t="inlineStr">
        <is>
          <t>Tuition</t>
        </is>
      </c>
      <c r="C718">
        <f>IFERROR(IF(VLOOKUP($A718,'CDS-G'!$A:$L,3,FALSE)="","",(VLOOKUP($A718,'CDS-G'!$A:$L,3,FALSE))),"")</f>
        <v/>
      </c>
      <c r="D718" t="inlineStr">
        <is>
          <t>Annual Expenses</t>
        </is>
      </c>
      <c r="E718" t="inlineStr">
        <is>
          <t>Private Tuition</t>
        </is>
      </c>
      <c r="F718" t="inlineStr">
        <is>
          <t>Full-Time</t>
        </is>
      </c>
      <c r="G718" t="inlineStr">
        <is>
          <t>Undergraduate</t>
        </is>
      </c>
      <c r="H718" t="inlineStr">
        <is>
          <t>Undergraduates</t>
        </is>
      </c>
      <c r="I718" t="inlineStr">
        <is>
          <t>All</t>
        </is>
      </c>
      <c r="J718" t="inlineStr">
        <is>
          <t>All</t>
        </is>
      </c>
      <c r="K718" t="inlineStr">
        <is>
          <t>All</t>
        </is>
      </c>
      <c r="L718" t="inlineStr">
        <is>
          <t>Nearest $1</t>
        </is>
      </c>
    </row>
    <row r="719">
      <c r="A719" t="inlineStr">
        <is>
          <t>G103</t>
        </is>
      </c>
      <c r="B719" t="inlineStr">
        <is>
          <t>Tuition: In-district</t>
        </is>
      </c>
      <c r="C719">
        <f>IFERROR(IF(VLOOKUP($A719,'CDS-G'!$A:$L,3,FALSE)="","",(VLOOKUP($A719,'CDS-G'!$A:$L,3,FALSE))),"")</f>
        <v/>
      </c>
      <c r="D719" t="inlineStr">
        <is>
          <t>Annual Expenses</t>
        </is>
      </c>
      <c r="E719" t="inlineStr">
        <is>
          <t>Public Tuition</t>
        </is>
      </c>
      <c r="F719" t="inlineStr">
        <is>
          <t>Full-Time</t>
        </is>
      </c>
      <c r="G719" t="inlineStr">
        <is>
          <t>Undergraduate</t>
        </is>
      </c>
      <c r="H719" t="inlineStr">
        <is>
          <t>First-year</t>
        </is>
      </c>
      <c r="I719" t="inlineStr">
        <is>
          <t>All</t>
        </is>
      </c>
      <c r="J719" t="inlineStr">
        <is>
          <t>All</t>
        </is>
      </c>
      <c r="K719" t="inlineStr">
        <is>
          <t>All</t>
        </is>
      </c>
      <c r="L719" t="inlineStr">
        <is>
          <t>Nearest $1</t>
        </is>
      </c>
    </row>
    <row r="720">
      <c r="A720" t="inlineStr">
        <is>
          <t>G104</t>
        </is>
      </c>
      <c r="B720" t="inlineStr">
        <is>
          <t>Tuition: In-state (out-of-district):</t>
        </is>
      </c>
      <c r="C720">
        <f>IFERROR(IF(VLOOKUP($A720,'CDS-G'!$A:$L,3,FALSE)="","",(VLOOKUP($A720,'CDS-G'!$A:$L,3,FALSE))),"")</f>
        <v/>
      </c>
      <c r="D720" t="inlineStr">
        <is>
          <t>Annual Expenses</t>
        </is>
      </c>
      <c r="E720" t="inlineStr">
        <is>
          <t>Public Tuition</t>
        </is>
      </c>
      <c r="F720" t="inlineStr">
        <is>
          <t>Full-Time</t>
        </is>
      </c>
      <c r="G720" t="inlineStr">
        <is>
          <t>Undergraduate</t>
        </is>
      </c>
      <c r="H720" t="inlineStr">
        <is>
          <t>First-year</t>
        </is>
      </c>
      <c r="I720" t="inlineStr">
        <is>
          <t>All</t>
        </is>
      </c>
      <c r="J720" t="inlineStr">
        <is>
          <t>All</t>
        </is>
      </c>
      <c r="K720" t="inlineStr">
        <is>
          <t>All</t>
        </is>
      </c>
      <c r="L720" t="inlineStr">
        <is>
          <t>Nearest $1</t>
        </is>
      </c>
    </row>
    <row r="721">
      <c r="A721" t="inlineStr">
        <is>
          <t>G105</t>
        </is>
      </c>
      <c r="B721" t="inlineStr">
        <is>
          <t>Tuition: Out-of-state:</t>
        </is>
      </c>
      <c r="C721">
        <f>IFERROR(IF(VLOOKUP($A721,'CDS-G'!$A:$L,3,FALSE)="","",(VLOOKUP($A721,'CDS-G'!$A:$L,3,FALSE))),"")</f>
        <v/>
      </c>
      <c r="D721" t="inlineStr">
        <is>
          <t>Annual Expenses</t>
        </is>
      </c>
      <c r="E721" t="inlineStr">
        <is>
          <t>Public Tuition</t>
        </is>
      </c>
      <c r="F721" t="inlineStr">
        <is>
          <t>Full-Time</t>
        </is>
      </c>
      <c r="G721" t="inlineStr">
        <is>
          <t>Undergraduate</t>
        </is>
      </c>
      <c r="H721" t="inlineStr">
        <is>
          <t>First-year</t>
        </is>
      </c>
      <c r="I721" t="inlineStr">
        <is>
          <t>All</t>
        </is>
      </c>
      <c r="J721" t="inlineStr">
        <is>
          <t>All</t>
        </is>
      </c>
      <c r="K721" t="inlineStr">
        <is>
          <t>All</t>
        </is>
      </c>
      <c r="L721" t="inlineStr">
        <is>
          <t>Nearest $1</t>
        </is>
      </c>
    </row>
    <row r="722">
      <c r="A722" t="inlineStr">
        <is>
          <t>G106</t>
        </is>
      </c>
      <c r="B722" t="inlineStr">
        <is>
          <t>Tuition: Non-resident</t>
        </is>
      </c>
      <c r="C722">
        <f>IFERROR(IF(VLOOKUP($A722,'CDS-G'!$A:$L,3,FALSE)="","",(VLOOKUP($A722,'CDS-G'!$A:$L,3,FALSE))),"")</f>
        <v/>
      </c>
      <c r="D722" t="inlineStr">
        <is>
          <t>Annual Expenses</t>
        </is>
      </c>
      <c r="E722" t="inlineStr">
        <is>
          <t>Public Tuition</t>
        </is>
      </c>
      <c r="F722" t="inlineStr">
        <is>
          <t>Full-Time</t>
        </is>
      </c>
      <c r="G722" t="inlineStr">
        <is>
          <t>Undergraduate</t>
        </is>
      </c>
      <c r="H722" t="inlineStr">
        <is>
          <t>First-year</t>
        </is>
      </c>
      <c r="I722" t="inlineStr">
        <is>
          <t>All</t>
        </is>
      </c>
      <c r="J722" t="inlineStr">
        <is>
          <t>All</t>
        </is>
      </c>
      <c r="K722" t="inlineStr">
        <is>
          <t>All</t>
        </is>
      </c>
      <c r="L722" t="inlineStr">
        <is>
          <t>Nearest $1</t>
        </is>
      </c>
    </row>
    <row r="723">
      <c r="A723" t="inlineStr">
        <is>
          <t>G107</t>
        </is>
      </c>
      <c r="B723" t="inlineStr">
        <is>
          <t>Tuition: In-district</t>
        </is>
      </c>
      <c r="C723">
        <f>IFERROR(IF(VLOOKUP($A723,'CDS-G'!$A:$L,3,FALSE)="","",(VLOOKUP($A723,'CDS-G'!$A:$L,3,FALSE))),"")</f>
        <v/>
      </c>
      <c r="D723" t="inlineStr">
        <is>
          <t>Annual Expenses</t>
        </is>
      </c>
      <c r="E723" t="inlineStr">
        <is>
          <t>Public Tuition</t>
        </is>
      </c>
      <c r="F723" t="inlineStr">
        <is>
          <t>Full-Time</t>
        </is>
      </c>
      <c r="G723" t="inlineStr">
        <is>
          <t>Undergraduate</t>
        </is>
      </c>
      <c r="H723" t="inlineStr">
        <is>
          <t>Undergraduates</t>
        </is>
      </c>
      <c r="I723" t="inlineStr">
        <is>
          <t>All</t>
        </is>
      </c>
      <c r="J723" t="inlineStr">
        <is>
          <t>All</t>
        </is>
      </c>
      <c r="K723" t="inlineStr">
        <is>
          <t>All</t>
        </is>
      </c>
      <c r="L723" t="inlineStr">
        <is>
          <t>Nearest $1</t>
        </is>
      </c>
    </row>
    <row r="724">
      <c r="A724" t="inlineStr">
        <is>
          <t>G108</t>
        </is>
      </c>
      <c r="B724" t="inlineStr">
        <is>
          <t>Tuition: In-state (out-of-district):</t>
        </is>
      </c>
      <c r="C724">
        <f>IFERROR(IF(VLOOKUP($A724,'CDS-G'!$A:$L,3,FALSE)="","",(VLOOKUP($A724,'CDS-G'!$A:$L,3,FALSE))),"")</f>
        <v/>
      </c>
      <c r="D724" t="inlineStr">
        <is>
          <t>Annual Expenses</t>
        </is>
      </c>
      <c r="E724" t="inlineStr">
        <is>
          <t>Public Tuition</t>
        </is>
      </c>
      <c r="F724" t="inlineStr">
        <is>
          <t>Full-Time</t>
        </is>
      </c>
      <c r="G724" t="inlineStr">
        <is>
          <t>Undergraduate</t>
        </is>
      </c>
      <c r="H724" t="inlineStr">
        <is>
          <t>Undergraduates</t>
        </is>
      </c>
      <c r="I724" t="inlineStr">
        <is>
          <t>All</t>
        </is>
      </c>
      <c r="J724" t="inlineStr">
        <is>
          <t>All</t>
        </is>
      </c>
      <c r="K724" t="inlineStr">
        <is>
          <t>All</t>
        </is>
      </c>
      <c r="L724" t="inlineStr">
        <is>
          <t>Nearest $1</t>
        </is>
      </c>
    </row>
    <row r="725">
      <c r="A725" t="inlineStr">
        <is>
          <t>G109</t>
        </is>
      </c>
      <c r="B725" t="inlineStr">
        <is>
          <t>Tuition: Out-of-state:</t>
        </is>
      </c>
      <c r="C725">
        <f>IFERROR(IF(VLOOKUP($A725,'CDS-G'!$A:$L,3,FALSE)="","",(VLOOKUP($A725,'CDS-G'!$A:$L,3,FALSE))),"")</f>
        <v/>
      </c>
      <c r="D725" t="inlineStr">
        <is>
          <t>Annual Expenses</t>
        </is>
      </c>
      <c r="E725" t="inlineStr">
        <is>
          <t>Public Tuition</t>
        </is>
      </c>
      <c r="F725" t="inlineStr">
        <is>
          <t>Full-Time</t>
        </is>
      </c>
      <c r="G725" t="inlineStr">
        <is>
          <t>Undergraduate</t>
        </is>
      </c>
      <c r="H725" t="inlineStr">
        <is>
          <t>Undergraduates</t>
        </is>
      </c>
      <c r="I725" t="inlineStr">
        <is>
          <t>All</t>
        </is>
      </c>
      <c r="J725" t="inlineStr">
        <is>
          <t>All</t>
        </is>
      </c>
      <c r="K725" t="inlineStr">
        <is>
          <t>All</t>
        </is>
      </c>
      <c r="L725" t="inlineStr">
        <is>
          <t>Nearest $1</t>
        </is>
      </c>
    </row>
    <row r="726">
      <c r="A726" t="inlineStr">
        <is>
          <t>G110</t>
        </is>
      </c>
      <c r="B726" t="inlineStr">
        <is>
          <t>Tuition: Non-resident</t>
        </is>
      </c>
      <c r="C726">
        <f>IFERROR(IF(VLOOKUP($A726,'CDS-G'!$A:$L,3,FALSE)="","",(VLOOKUP($A726,'CDS-G'!$A:$L,3,FALSE))),"")</f>
        <v/>
      </c>
      <c r="D726" t="inlineStr">
        <is>
          <t>Annual Expenses</t>
        </is>
      </c>
      <c r="E726" t="inlineStr">
        <is>
          <t>Public Tuition</t>
        </is>
      </c>
      <c r="F726" t="inlineStr">
        <is>
          <t>Full-Time</t>
        </is>
      </c>
      <c r="G726" t="inlineStr">
        <is>
          <t>Undergraduate</t>
        </is>
      </c>
      <c r="H726" t="inlineStr">
        <is>
          <t>Undergraduates</t>
        </is>
      </c>
      <c r="I726" t="inlineStr">
        <is>
          <t>All</t>
        </is>
      </c>
      <c r="J726" t="inlineStr">
        <is>
          <t>All</t>
        </is>
      </c>
      <c r="K726" t="inlineStr">
        <is>
          <t>All</t>
        </is>
      </c>
      <c r="L726" t="inlineStr">
        <is>
          <t>Nearest $1</t>
        </is>
      </c>
    </row>
    <row r="727">
      <c r="A727" t="inlineStr">
        <is>
          <t>G111</t>
        </is>
      </c>
      <c r="B727" t="inlineStr">
        <is>
          <t>Required Fees:</t>
        </is>
      </c>
      <c r="C727">
        <f>IFERROR(IF(VLOOKUP($A727,'CDS-G'!$A:$L,3,FALSE)="","",(VLOOKUP($A727,'CDS-G'!$A:$L,3,FALSE))),"")</f>
        <v/>
      </c>
      <c r="D727" t="inlineStr">
        <is>
          <t>Annual Expenses</t>
        </is>
      </c>
      <c r="E727" t="inlineStr">
        <is>
          <t>All Institutions Expenses</t>
        </is>
      </c>
      <c r="F727" t="inlineStr">
        <is>
          <t>Full-Time</t>
        </is>
      </c>
      <c r="G727" t="inlineStr">
        <is>
          <t>Undergraduate</t>
        </is>
      </c>
      <c r="H727" t="inlineStr">
        <is>
          <t>First-year</t>
        </is>
      </c>
      <c r="I727" t="inlineStr">
        <is>
          <t>All</t>
        </is>
      </c>
      <c r="J727" t="inlineStr">
        <is>
          <t>All</t>
        </is>
      </c>
      <c r="K727" t="inlineStr">
        <is>
          <t>All</t>
        </is>
      </c>
      <c r="L727" t="inlineStr">
        <is>
          <t>Nearest $1</t>
        </is>
      </c>
    </row>
    <row r="728">
      <c r="A728" t="inlineStr">
        <is>
          <t>G112</t>
        </is>
      </c>
      <c r="B728" t="inlineStr">
        <is>
          <t>Food and housing (on-campus):</t>
        </is>
      </c>
      <c r="C728">
        <f>IFERROR(IF(VLOOKUP($A728,'CDS-G'!$A:$L,3,FALSE)="","",(VLOOKUP($A728,'CDS-G'!$A:$L,3,FALSE))),"")</f>
        <v/>
      </c>
      <c r="D728" t="inlineStr">
        <is>
          <t>Annual Expenses</t>
        </is>
      </c>
      <c r="E728" t="inlineStr">
        <is>
          <t>All Institutions Expenses</t>
        </is>
      </c>
      <c r="F728" t="inlineStr">
        <is>
          <t>Full-Time</t>
        </is>
      </c>
      <c r="G728" t="inlineStr">
        <is>
          <t>Undergraduate</t>
        </is>
      </c>
      <c r="H728" t="inlineStr">
        <is>
          <t>First-year</t>
        </is>
      </c>
      <c r="I728" t="inlineStr">
        <is>
          <t>All</t>
        </is>
      </c>
      <c r="J728" t="inlineStr">
        <is>
          <t>All</t>
        </is>
      </c>
      <c r="K728" t="inlineStr">
        <is>
          <t>All</t>
        </is>
      </c>
      <c r="L728" t="inlineStr">
        <is>
          <t>Nearest $1</t>
        </is>
      </c>
    </row>
    <row r="729">
      <c r="A729" t="inlineStr">
        <is>
          <t>G113</t>
        </is>
      </c>
      <c r="B729" t="inlineStr">
        <is>
          <t>Housing Only (on-campus):</t>
        </is>
      </c>
      <c r="C729">
        <f>IFERROR(IF(VLOOKUP($A729,'CDS-G'!$A:$L,3,FALSE)="","",(VLOOKUP($A729,'CDS-G'!$A:$L,3,FALSE))),"")</f>
        <v/>
      </c>
      <c r="D729" t="inlineStr">
        <is>
          <t>Annual Expenses</t>
        </is>
      </c>
      <c r="E729" t="inlineStr">
        <is>
          <t>All Institutions Expenses</t>
        </is>
      </c>
      <c r="F729" t="inlineStr">
        <is>
          <t>Full-Time</t>
        </is>
      </c>
      <c r="G729" t="inlineStr">
        <is>
          <t>Undergraduate</t>
        </is>
      </c>
      <c r="H729" t="inlineStr">
        <is>
          <t>First-year</t>
        </is>
      </c>
      <c r="I729" t="inlineStr">
        <is>
          <t>All</t>
        </is>
      </c>
      <c r="J729" t="inlineStr">
        <is>
          <t>All</t>
        </is>
      </c>
      <c r="K729" t="inlineStr">
        <is>
          <t>All</t>
        </is>
      </c>
      <c r="L729" t="inlineStr">
        <is>
          <t>Nearest $1</t>
        </is>
      </c>
    </row>
    <row r="730">
      <c r="A730" t="inlineStr">
        <is>
          <t>G114</t>
        </is>
      </c>
      <c r="B730" t="inlineStr">
        <is>
          <t>Food Only (on-campus meal plan):</t>
        </is>
      </c>
      <c r="C730">
        <f>IFERROR(IF(VLOOKUP($A730,'CDS-G'!$A:$L,3,FALSE)="","",(VLOOKUP($A730,'CDS-G'!$A:$L,3,FALSE))),"")</f>
        <v/>
      </c>
      <c r="D730" t="inlineStr">
        <is>
          <t>Annual Expenses</t>
        </is>
      </c>
      <c r="E730" t="inlineStr">
        <is>
          <t>All Institutions Expenses</t>
        </is>
      </c>
      <c r="F730" t="inlineStr">
        <is>
          <t>Full-Time</t>
        </is>
      </c>
      <c r="G730" t="inlineStr">
        <is>
          <t>Undergraduate</t>
        </is>
      </c>
      <c r="H730" t="inlineStr">
        <is>
          <t>First-year</t>
        </is>
      </c>
      <c r="I730" t="inlineStr">
        <is>
          <t>All</t>
        </is>
      </c>
      <c r="J730" t="inlineStr">
        <is>
          <t>All</t>
        </is>
      </c>
      <c r="K730" t="inlineStr">
        <is>
          <t>All</t>
        </is>
      </c>
      <c r="L730" t="inlineStr">
        <is>
          <t>Nearest $1</t>
        </is>
      </c>
    </row>
    <row r="731">
      <c r="A731" t="inlineStr">
        <is>
          <t>G115</t>
        </is>
      </c>
      <c r="B731" t="inlineStr">
        <is>
          <t>Required Fees:</t>
        </is>
      </c>
      <c r="C731">
        <f>IFERROR(IF(VLOOKUP($A731,'CDS-G'!$A:$L,3,FALSE)="","",(VLOOKUP($A731,'CDS-G'!$A:$L,3,FALSE))),"")</f>
        <v/>
      </c>
      <c r="D731" t="inlineStr">
        <is>
          <t>Annual Expenses</t>
        </is>
      </c>
      <c r="E731" t="inlineStr">
        <is>
          <t>All Institutions Expenses</t>
        </is>
      </c>
      <c r="F731" t="inlineStr">
        <is>
          <t>Full-Time</t>
        </is>
      </c>
      <c r="G731" t="inlineStr">
        <is>
          <t>Undergraduate</t>
        </is>
      </c>
      <c r="H731" t="inlineStr">
        <is>
          <t>Undergraduates</t>
        </is>
      </c>
      <c r="I731" t="inlineStr">
        <is>
          <t>All</t>
        </is>
      </c>
      <c r="J731" t="inlineStr">
        <is>
          <t>All</t>
        </is>
      </c>
      <c r="K731" t="inlineStr">
        <is>
          <t>All</t>
        </is>
      </c>
      <c r="L731" t="inlineStr">
        <is>
          <t>Nearest $1</t>
        </is>
      </c>
    </row>
    <row r="732">
      <c r="A732" t="inlineStr">
        <is>
          <t>G116</t>
        </is>
      </c>
      <c r="B732" t="inlineStr">
        <is>
          <t>Food and housing (on-campus):</t>
        </is>
      </c>
      <c r="C732">
        <f>IFERROR(IF(VLOOKUP($A732,'CDS-G'!$A:$L,3,FALSE)="","",(VLOOKUP($A732,'CDS-G'!$A:$L,3,FALSE))),"")</f>
        <v/>
      </c>
      <c r="D732" t="inlineStr">
        <is>
          <t>Annual Expenses</t>
        </is>
      </c>
      <c r="E732" t="inlineStr">
        <is>
          <t>All Institutions Expenses</t>
        </is>
      </c>
      <c r="F732" t="inlineStr">
        <is>
          <t>Full-Time</t>
        </is>
      </c>
      <c r="G732" t="inlineStr">
        <is>
          <t>Undergraduate</t>
        </is>
      </c>
      <c r="H732" t="inlineStr">
        <is>
          <t>Undergraduates</t>
        </is>
      </c>
      <c r="I732" t="inlineStr">
        <is>
          <t>All</t>
        </is>
      </c>
      <c r="J732" t="inlineStr">
        <is>
          <t>All</t>
        </is>
      </c>
      <c r="K732" t="inlineStr">
        <is>
          <t>All</t>
        </is>
      </c>
      <c r="L732" t="inlineStr">
        <is>
          <t>Nearest $1</t>
        </is>
      </c>
    </row>
    <row r="733">
      <c r="A733" t="inlineStr">
        <is>
          <t>G117</t>
        </is>
      </c>
      <c r="B733" t="inlineStr">
        <is>
          <t>Housing Only (on-campus):</t>
        </is>
      </c>
      <c r="C733">
        <f>IFERROR(IF(VLOOKUP($A733,'CDS-G'!$A:$L,3,FALSE)="","",(VLOOKUP($A733,'CDS-G'!$A:$L,3,FALSE))),"")</f>
        <v/>
      </c>
      <c r="D733" t="inlineStr">
        <is>
          <t>Annual Expenses</t>
        </is>
      </c>
      <c r="E733" t="inlineStr">
        <is>
          <t>All Institutions Expenses</t>
        </is>
      </c>
      <c r="F733" t="inlineStr">
        <is>
          <t>Full-Time</t>
        </is>
      </c>
      <c r="G733" t="inlineStr">
        <is>
          <t>Undergraduate</t>
        </is>
      </c>
      <c r="H733" t="inlineStr">
        <is>
          <t>Undergraduates</t>
        </is>
      </c>
      <c r="I733" t="inlineStr">
        <is>
          <t>All</t>
        </is>
      </c>
      <c r="J733" t="inlineStr">
        <is>
          <t>All</t>
        </is>
      </c>
      <c r="K733" t="inlineStr">
        <is>
          <t>All</t>
        </is>
      </c>
      <c r="L733" t="inlineStr">
        <is>
          <t>Nearest $1</t>
        </is>
      </c>
    </row>
    <row r="734">
      <c r="A734" t="inlineStr">
        <is>
          <t>G118</t>
        </is>
      </c>
      <c r="B734" t="inlineStr">
        <is>
          <t>Food Only (on-campus meal plan):</t>
        </is>
      </c>
      <c r="C734">
        <f>IFERROR(IF(VLOOKUP($A734,'CDS-G'!$A:$L,3,FALSE)="","",(VLOOKUP($A734,'CDS-G'!$A:$L,3,FALSE))),"")</f>
        <v/>
      </c>
      <c r="D734" t="inlineStr">
        <is>
          <t>Annual Expenses</t>
        </is>
      </c>
      <c r="E734" t="inlineStr">
        <is>
          <t>All Institutions Expenses</t>
        </is>
      </c>
      <c r="F734" t="inlineStr">
        <is>
          <t>Full-Time</t>
        </is>
      </c>
      <c r="G734" t="inlineStr">
        <is>
          <t>Undergraduate</t>
        </is>
      </c>
      <c r="H734" t="inlineStr">
        <is>
          <t>Undergraduates</t>
        </is>
      </c>
      <c r="I734" t="inlineStr">
        <is>
          <t>All</t>
        </is>
      </c>
      <c r="J734" t="inlineStr">
        <is>
          <t>All</t>
        </is>
      </c>
      <c r="K734" t="inlineStr">
        <is>
          <t>All</t>
        </is>
      </c>
      <c r="L734" t="inlineStr">
        <is>
          <t>Nearest $1</t>
        </is>
      </c>
    </row>
    <row r="735">
      <c r="A735" t="inlineStr">
        <is>
          <t>G119</t>
        </is>
      </c>
      <c r="B735" t="inlineStr">
        <is>
          <t>Comprehensive tuition and food and housing fee (if your college cannot provide separate tuition and food and housing fees):</t>
        </is>
      </c>
      <c r="C735">
        <f>IFERROR(IF(VLOOKUP($A735,'CDS-G'!$A:$L,3,FALSE)="","",(VLOOKUP($A735,'CDS-G'!$A:$L,3,FALSE))),"")</f>
        <v/>
      </c>
      <c r="D735" t="inlineStr">
        <is>
          <t>Annual Expenses</t>
        </is>
      </c>
      <c r="E735" t="inlineStr">
        <is>
          <t>Comprehensive Expenses</t>
        </is>
      </c>
      <c r="F735" t="inlineStr">
        <is>
          <t>Full-Time</t>
        </is>
      </c>
      <c r="G735" t="inlineStr">
        <is>
          <t>Undergraduate</t>
        </is>
      </c>
      <c r="H735" t="inlineStr">
        <is>
          <t>All</t>
        </is>
      </c>
      <c r="I735" t="inlineStr">
        <is>
          <t>All</t>
        </is>
      </c>
      <c r="J735" t="inlineStr">
        <is>
          <t>All</t>
        </is>
      </c>
      <c r="K735" t="inlineStr">
        <is>
          <t>All</t>
        </is>
      </c>
      <c r="L735" t="inlineStr">
        <is>
          <t>Nearest $1</t>
        </is>
      </c>
    </row>
    <row r="736">
      <c r="A736" t="inlineStr">
        <is>
          <t>G120</t>
        </is>
      </c>
      <c r="B736" t="inlineStr">
        <is>
          <t>Other:</t>
        </is>
      </c>
      <c r="C736">
        <f>IFERROR(IF(VLOOKUP($A736,'CDS-G'!$A:$L,3,FALSE)="","",(VLOOKUP($A736,'CDS-G'!$A:$L,3,FALSE))),"")</f>
        <v/>
      </c>
      <c r="D736" t="inlineStr">
        <is>
          <t>Annual Expenses</t>
        </is>
      </c>
      <c r="E736" t="inlineStr">
        <is>
          <t>Comprehensive Expenses</t>
        </is>
      </c>
      <c r="F736" t="inlineStr">
        <is>
          <t>Full-Time</t>
        </is>
      </c>
      <c r="G736" t="inlineStr">
        <is>
          <t>Undergraduate</t>
        </is>
      </c>
      <c r="H736" t="inlineStr">
        <is>
          <t>All</t>
        </is>
      </c>
      <c r="I736" t="inlineStr">
        <is>
          <t>All</t>
        </is>
      </c>
      <c r="J736" t="inlineStr">
        <is>
          <t>All</t>
        </is>
      </c>
      <c r="K736" t="inlineStr">
        <is>
          <t>All</t>
        </is>
      </c>
      <c r="L736" t="inlineStr">
        <is>
          <t>Nearest $1</t>
        </is>
      </c>
    </row>
    <row r="737">
      <c r="A737" t="inlineStr">
        <is>
          <t>G201</t>
        </is>
      </c>
      <c r="B737" t="inlineStr">
        <is>
          <t>Minimum</t>
        </is>
      </c>
      <c r="C737">
        <f>IFERROR(IF(VLOOKUP($A737,'CDS-G'!$A:$L,3,FALSE)="","",(VLOOKUP($A737,'CDS-G'!$A:$L,3,FALSE))),"")</f>
        <v/>
      </c>
      <c r="D737" t="inlineStr">
        <is>
          <t>Annual Expenses</t>
        </is>
      </c>
      <c r="E737" t="inlineStr">
        <is>
          <t>Credits per Term</t>
        </is>
      </c>
      <c r="F737" t="inlineStr">
        <is>
          <t>Full-Time</t>
        </is>
      </c>
      <c r="G737" t="inlineStr">
        <is>
          <t>Undergraduate</t>
        </is>
      </c>
      <c r="H737" t="inlineStr">
        <is>
          <t>All</t>
        </is>
      </c>
      <c r="I737" t="inlineStr">
        <is>
          <t>All</t>
        </is>
      </c>
      <c r="J737" t="inlineStr">
        <is>
          <t>All</t>
        </is>
      </c>
      <c r="K737" t="inlineStr">
        <is>
          <t>All</t>
        </is>
      </c>
      <c r="L737" t="inlineStr">
        <is>
          <t>Number</t>
        </is>
      </c>
    </row>
    <row r="738">
      <c r="A738" t="inlineStr">
        <is>
          <t>G202</t>
        </is>
      </c>
      <c r="B738" t="inlineStr">
        <is>
          <t>Maximum</t>
        </is>
      </c>
      <c r="C738">
        <f>IFERROR(IF(VLOOKUP($A738,'CDS-G'!$A:$L,3,FALSE)="","",(VLOOKUP($A738,'CDS-G'!$A:$L,3,FALSE))),"")</f>
        <v/>
      </c>
      <c r="D738" t="inlineStr">
        <is>
          <t>Annual Expenses</t>
        </is>
      </c>
      <c r="E738" t="inlineStr">
        <is>
          <t>Credits per Term</t>
        </is>
      </c>
      <c r="F738" t="inlineStr">
        <is>
          <t>Full-Time</t>
        </is>
      </c>
      <c r="G738" t="inlineStr">
        <is>
          <t>Undergraduate</t>
        </is>
      </c>
      <c r="H738" t="inlineStr">
        <is>
          <t>All</t>
        </is>
      </c>
      <c r="I738" t="inlineStr">
        <is>
          <t>All</t>
        </is>
      </c>
      <c r="J738" t="inlineStr">
        <is>
          <t>All</t>
        </is>
      </c>
      <c r="K738" t="inlineStr">
        <is>
          <t>All</t>
        </is>
      </c>
      <c r="L738" t="inlineStr">
        <is>
          <t>Number</t>
        </is>
      </c>
    </row>
    <row r="739">
      <c r="A739" t="inlineStr">
        <is>
          <t>G301</t>
        </is>
      </c>
      <c r="B739" t="inlineStr">
        <is>
          <t>Do tuition and fees vary by year of study (e.g., sophomore, junior, senior)?</t>
        </is>
      </c>
      <c r="C739">
        <f>IFERROR(IF(VLOOKUP($A739,'CDS-G'!$A:$L,3,FALSE)="","",(VLOOKUP($A739,'CDS-G'!$A:$L,3,FALSE))),"")</f>
        <v/>
      </c>
      <c r="D739" t="inlineStr">
        <is>
          <t>Annual Expenses</t>
        </is>
      </c>
      <c r="E739" t="inlineStr">
        <is>
          <t>Tuition Policies</t>
        </is>
      </c>
      <c r="F739" t="inlineStr">
        <is>
          <t>All</t>
        </is>
      </c>
      <c r="G739" t="inlineStr">
        <is>
          <t>All</t>
        </is>
      </c>
      <c r="H739" t="inlineStr">
        <is>
          <t>All</t>
        </is>
      </c>
      <c r="I739" t="inlineStr">
        <is>
          <t>All</t>
        </is>
      </c>
      <c r="J739" t="inlineStr">
        <is>
          <t>All</t>
        </is>
      </c>
      <c r="K739" t="inlineStr">
        <is>
          <t>All</t>
        </is>
      </c>
      <c r="L739" t="inlineStr">
        <is>
          <t>YN</t>
        </is>
      </c>
    </row>
    <row r="740">
      <c r="A740" t="inlineStr">
        <is>
          <t>G401</t>
        </is>
      </c>
      <c r="B740" t="inlineStr">
        <is>
          <t xml:space="preserve">Do tuition and fees vary by undergraduate instructional program?   </t>
        </is>
      </c>
      <c r="C740">
        <f>IFERROR(IF(VLOOKUP($A740,'CDS-G'!$A:$L,3,FALSE)="","",(VLOOKUP($A740,'CDS-G'!$A:$L,3,FALSE))),"")</f>
        <v/>
      </c>
      <c r="D740" t="inlineStr">
        <is>
          <t>Annual Expenses</t>
        </is>
      </c>
      <c r="E740" t="inlineStr">
        <is>
          <t>Tuition Policies</t>
        </is>
      </c>
      <c r="F740" t="inlineStr">
        <is>
          <t>All</t>
        </is>
      </c>
      <c r="G740" t="inlineStr">
        <is>
          <t>All</t>
        </is>
      </c>
      <c r="H740" t="inlineStr">
        <is>
          <t>All</t>
        </is>
      </c>
      <c r="I740" t="inlineStr">
        <is>
          <t>All</t>
        </is>
      </c>
      <c r="J740" t="inlineStr">
        <is>
          <t>All</t>
        </is>
      </c>
      <c r="K740" t="inlineStr">
        <is>
          <t>All</t>
        </is>
      </c>
      <c r="L740" t="inlineStr">
        <is>
          <t>YN</t>
        </is>
      </c>
    </row>
    <row r="741">
      <c r="A741" t="inlineStr">
        <is>
          <t>G402</t>
        </is>
      </c>
      <c r="B741" t="inlineStr">
        <is>
          <t>If yes, what percentage of full-time undergraduates pay more than the tuition and fees reported in G1?</t>
        </is>
      </c>
      <c r="C741">
        <f>IFERROR(IF(VLOOKUP($A741,'CDS-G'!$A:$L,3,FALSE)="","",(VLOOKUP($A741,'CDS-G'!$A:$L,3,FALSE))),"")</f>
        <v/>
      </c>
      <c r="D741" t="inlineStr">
        <is>
          <t>Annual Expenses</t>
        </is>
      </c>
      <c r="E741" t="inlineStr">
        <is>
          <t>Tuition Policies</t>
        </is>
      </c>
      <c r="F741" t="inlineStr">
        <is>
          <t>All</t>
        </is>
      </c>
      <c r="G741" t="inlineStr">
        <is>
          <t>All</t>
        </is>
      </c>
      <c r="H741" t="inlineStr">
        <is>
          <t>All</t>
        </is>
      </c>
      <c r="I741" t="inlineStr">
        <is>
          <t>All</t>
        </is>
      </c>
      <c r="J741" t="inlineStr">
        <is>
          <t>All</t>
        </is>
      </c>
      <c r="K741" t="inlineStr">
        <is>
          <t>All</t>
        </is>
      </c>
      <c r="L741" t="inlineStr">
        <is>
          <t>Nearest 1%</t>
        </is>
      </c>
    </row>
    <row r="742">
      <c r="A742" t="inlineStr">
        <is>
          <t>G501</t>
        </is>
      </c>
      <c r="B742" t="inlineStr">
        <is>
          <t>Books and supplies:</t>
        </is>
      </c>
      <c r="C742">
        <f>IFERROR(IF(VLOOKUP($A742,'CDS-G'!$A:$L,3,FALSE)="","",(VLOOKUP($A742,'CDS-G'!$A:$L,3,FALSE))),"")</f>
        <v/>
      </c>
      <c r="D742" t="inlineStr">
        <is>
          <t>Annual Expenses</t>
        </is>
      </c>
      <c r="E742" t="inlineStr">
        <is>
          <t>Estimated Expenses</t>
        </is>
      </c>
      <c r="F742" t="inlineStr">
        <is>
          <t>Full-Time</t>
        </is>
      </c>
      <c r="G742" t="inlineStr">
        <is>
          <t>Undergraduate</t>
        </is>
      </c>
      <c r="H742" t="inlineStr">
        <is>
          <t>Residents</t>
        </is>
      </c>
      <c r="I742" t="inlineStr">
        <is>
          <t>All</t>
        </is>
      </c>
      <c r="J742" t="inlineStr">
        <is>
          <t>All</t>
        </is>
      </c>
      <c r="K742" t="inlineStr">
        <is>
          <t>All</t>
        </is>
      </c>
      <c r="L742" t="inlineStr">
        <is>
          <t>Nearest $1</t>
        </is>
      </c>
    </row>
    <row r="743">
      <c r="A743" t="inlineStr">
        <is>
          <t>G502</t>
        </is>
      </c>
      <c r="B743" t="inlineStr">
        <is>
          <t>Transportation:</t>
        </is>
      </c>
      <c r="C743">
        <f>IFERROR(IF(VLOOKUP($A743,'CDS-G'!$A:$L,3,FALSE)="","",(VLOOKUP($A743,'CDS-G'!$A:$L,3,FALSE))),"")</f>
        <v/>
      </c>
      <c r="D743" t="inlineStr">
        <is>
          <t>Annual Expenses</t>
        </is>
      </c>
      <c r="E743" t="inlineStr">
        <is>
          <t>Estimated Expenses</t>
        </is>
      </c>
      <c r="F743" t="inlineStr">
        <is>
          <t>Full-Time</t>
        </is>
      </c>
      <c r="G743" t="inlineStr">
        <is>
          <t>Undergraduate</t>
        </is>
      </c>
      <c r="H743" t="inlineStr">
        <is>
          <t>Residents</t>
        </is>
      </c>
      <c r="I743" t="inlineStr">
        <is>
          <t>All</t>
        </is>
      </c>
      <c r="J743" t="inlineStr">
        <is>
          <t>All</t>
        </is>
      </c>
      <c r="K743" t="inlineStr">
        <is>
          <t>All</t>
        </is>
      </c>
      <c r="L743" t="inlineStr">
        <is>
          <t>Nearest $1</t>
        </is>
      </c>
    </row>
    <row r="744">
      <c r="A744" t="inlineStr">
        <is>
          <t>G503</t>
        </is>
      </c>
      <c r="B744" t="inlineStr">
        <is>
          <t>Other expenses:</t>
        </is>
      </c>
      <c r="C744">
        <f>IFERROR(IF(VLOOKUP($A744,'CDS-G'!$A:$L,3,FALSE)="","",(VLOOKUP($A744,'CDS-G'!$A:$L,3,FALSE))),"")</f>
        <v/>
      </c>
      <c r="D744" t="inlineStr">
        <is>
          <t>Annual Expenses</t>
        </is>
      </c>
      <c r="E744" t="inlineStr">
        <is>
          <t>Estimated Expenses</t>
        </is>
      </c>
      <c r="F744" t="inlineStr">
        <is>
          <t>Full-Time</t>
        </is>
      </c>
      <c r="G744" t="inlineStr">
        <is>
          <t>Undergraduate</t>
        </is>
      </c>
      <c r="H744" t="inlineStr">
        <is>
          <t>Residents</t>
        </is>
      </c>
      <c r="I744" t="inlineStr">
        <is>
          <t>All</t>
        </is>
      </c>
      <c r="J744" t="inlineStr">
        <is>
          <t>All</t>
        </is>
      </c>
      <c r="K744" t="inlineStr">
        <is>
          <t>All</t>
        </is>
      </c>
      <c r="L744" t="inlineStr">
        <is>
          <t>Nearest $1</t>
        </is>
      </c>
    </row>
    <row r="745">
      <c r="A745" t="inlineStr">
        <is>
          <t>G504</t>
        </is>
      </c>
      <c r="B745" t="inlineStr">
        <is>
          <t>Books and supplies:</t>
        </is>
      </c>
      <c r="C745">
        <f>IFERROR(IF(VLOOKUP($A745,'CDS-G'!$A:$L,3,FALSE)="","",(VLOOKUP($A745,'CDS-G'!$A:$L,3,FALSE))),"")</f>
        <v/>
      </c>
      <c r="D745" t="inlineStr">
        <is>
          <t>Annual Expenses</t>
        </is>
      </c>
      <c r="E745" t="inlineStr">
        <is>
          <t>Estimated Expenses</t>
        </is>
      </c>
      <c r="F745" t="inlineStr">
        <is>
          <t>Full-Time</t>
        </is>
      </c>
      <c r="G745" t="inlineStr">
        <is>
          <t>Undergraduate</t>
        </is>
      </c>
      <c r="H745" t="inlineStr">
        <is>
          <t>Commuters (living at home)</t>
        </is>
      </c>
      <c r="I745" t="inlineStr">
        <is>
          <t>All</t>
        </is>
      </c>
      <c r="J745" t="inlineStr">
        <is>
          <t>All</t>
        </is>
      </c>
      <c r="K745" t="inlineStr">
        <is>
          <t>All</t>
        </is>
      </c>
      <c r="L745" t="inlineStr">
        <is>
          <t>Nearest $1</t>
        </is>
      </c>
    </row>
    <row r="746">
      <c r="A746" t="inlineStr">
        <is>
          <t>G505</t>
        </is>
      </c>
      <c r="B746" t="inlineStr">
        <is>
          <t>Food only:</t>
        </is>
      </c>
      <c r="C746">
        <f>IFERROR(IF(VLOOKUP($A746,'CDS-G'!$A:$L,3,FALSE)="","",(VLOOKUP($A746,'CDS-G'!$A:$L,3,FALSE))),"")</f>
        <v/>
      </c>
      <c r="D746" t="inlineStr">
        <is>
          <t>Annual Expenses</t>
        </is>
      </c>
      <c r="E746" t="inlineStr">
        <is>
          <t>Estimated Expenses</t>
        </is>
      </c>
      <c r="F746" t="inlineStr">
        <is>
          <t>Full-Time</t>
        </is>
      </c>
      <c r="G746" t="inlineStr">
        <is>
          <t>Undergraduate</t>
        </is>
      </c>
      <c r="H746" t="inlineStr">
        <is>
          <t>Commuters (living at home)</t>
        </is>
      </c>
      <c r="I746" t="inlineStr">
        <is>
          <t>All</t>
        </is>
      </c>
      <c r="J746" t="inlineStr">
        <is>
          <t>All</t>
        </is>
      </c>
      <c r="K746" t="inlineStr">
        <is>
          <t>All</t>
        </is>
      </c>
      <c r="L746" t="inlineStr">
        <is>
          <t>Nearest $1</t>
        </is>
      </c>
    </row>
    <row r="747">
      <c r="A747" t="inlineStr">
        <is>
          <t>G506</t>
        </is>
      </c>
      <c r="B747" t="inlineStr">
        <is>
          <t>Transportation</t>
        </is>
      </c>
      <c r="C747">
        <f>IFERROR(IF(VLOOKUP($A747,'CDS-G'!$A:$L,3,FALSE)="","",(VLOOKUP($A747,'CDS-G'!$A:$L,3,FALSE))),"")</f>
        <v/>
      </c>
      <c r="D747" t="inlineStr">
        <is>
          <t>Annual Expenses</t>
        </is>
      </c>
      <c r="E747" t="inlineStr">
        <is>
          <t>Estimated Expenses</t>
        </is>
      </c>
      <c r="F747" t="inlineStr">
        <is>
          <t>Full-Time</t>
        </is>
      </c>
      <c r="G747" t="inlineStr">
        <is>
          <t>Undergraduate</t>
        </is>
      </c>
      <c r="H747" t="inlineStr">
        <is>
          <t>Commuters (living at home)</t>
        </is>
      </c>
      <c r="I747" t="inlineStr">
        <is>
          <t>All</t>
        </is>
      </c>
      <c r="J747" t="inlineStr">
        <is>
          <t>All</t>
        </is>
      </c>
      <c r="K747" t="inlineStr">
        <is>
          <t>All</t>
        </is>
      </c>
      <c r="L747" t="inlineStr">
        <is>
          <t>Nearest $1</t>
        </is>
      </c>
    </row>
    <row r="748">
      <c r="A748" t="inlineStr">
        <is>
          <t>G507</t>
        </is>
      </c>
      <c r="B748" t="inlineStr">
        <is>
          <t>Other expenses:</t>
        </is>
      </c>
      <c r="C748">
        <f>IFERROR(IF(VLOOKUP($A748,'CDS-G'!$A:$L,3,FALSE)="","",(VLOOKUP($A748,'CDS-G'!$A:$L,3,FALSE))),"")</f>
        <v/>
      </c>
      <c r="D748" t="inlineStr">
        <is>
          <t>Annual Expenses</t>
        </is>
      </c>
      <c r="E748" t="inlineStr">
        <is>
          <t>Estimated Expenses</t>
        </is>
      </c>
      <c r="F748" t="inlineStr">
        <is>
          <t>Full-Time</t>
        </is>
      </c>
      <c r="G748" t="inlineStr">
        <is>
          <t>Undergraduate</t>
        </is>
      </c>
      <c r="H748" t="inlineStr">
        <is>
          <t>Commuters (living at home)</t>
        </is>
      </c>
      <c r="I748" t="inlineStr">
        <is>
          <t>All</t>
        </is>
      </c>
      <c r="J748" t="inlineStr">
        <is>
          <t>All</t>
        </is>
      </c>
      <c r="K748" t="inlineStr">
        <is>
          <t>All</t>
        </is>
      </c>
      <c r="L748" t="inlineStr">
        <is>
          <t>Nearest $1</t>
        </is>
      </c>
    </row>
    <row r="749">
      <c r="A749" t="inlineStr">
        <is>
          <t>G508</t>
        </is>
      </c>
      <c r="B749" t="inlineStr">
        <is>
          <t>Books and supplies:</t>
        </is>
      </c>
      <c r="C749">
        <f>IFERROR(IF(VLOOKUP($A749,'CDS-G'!$A:$L,3,FALSE)="","",(VLOOKUP($A749,'CDS-G'!$A:$L,3,FALSE))),"")</f>
        <v/>
      </c>
      <c r="D749" t="inlineStr">
        <is>
          <t>Annual Expenses</t>
        </is>
      </c>
      <c r="E749" t="inlineStr">
        <is>
          <t>Estimated Expenses</t>
        </is>
      </c>
      <c r="F749" t="inlineStr">
        <is>
          <t>Full-Time</t>
        </is>
      </c>
      <c r="G749" t="inlineStr">
        <is>
          <t>Undergraduate</t>
        </is>
      </c>
      <c r="H749" t="inlineStr">
        <is>
          <t>Commuters (not living at home)</t>
        </is>
      </c>
      <c r="I749" t="inlineStr">
        <is>
          <t>All</t>
        </is>
      </c>
      <c r="J749" t="inlineStr">
        <is>
          <t>All</t>
        </is>
      </c>
      <c r="K749" t="inlineStr">
        <is>
          <t>All</t>
        </is>
      </c>
      <c r="L749" t="inlineStr">
        <is>
          <t>Nearest $1</t>
        </is>
      </c>
    </row>
    <row r="750">
      <c r="A750" t="inlineStr">
        <is>
          <t>G509</t>
        </is>
      </c>
      <c r="B750" t="inlineStr">
        <is>
          <t>Housing only:</t>
        </is>
      </c>
      <c r="C750">
        <f>IFERROR(IF(VLOOKUP($A750,'CDS-G'!$A:$L,3,FALSE)="","",(VLOOKUP($A750,'CDS-G'!$A:$L,3,FALSE))),"")</f>
        <v/>
      </c>
      <c r="D750" t="inlineStr">
        <is>
          <t>Annual Expenses</t>
        </is>
      </c>
      <c r="E750" t="inlineStr">
        <is>
          <t>Estimated Expenses</t>
        </is>
      </c>
      <c r="F750" t="inlineStr">
        <is>
          <t>Full-Time</t>
        </is>
      </c>
      <c r="G750" t="inlineStr">
        <is>
          <t>Undergraduate</t>
        </is>
      </c>
      <c r="H750" t="inlineStr">
        <is>
          <t>Commuters (not living at home)</t>
        </is>
      </c>
      <c r="I750" t="inlineStr">
        <is>
          <t>All</t>
        </is>
      </c>
      <c r="J750" t="inlineStr">
        <is>
          <t>All</t>
        </is>
      </c>
      <c r="K750" t="inlineStr">
        <is>
          <t>All</t>
        </is>
      </c>
      <c r="L750" t="inlineStr">
        <is>
          <t>Nearest $1</t>
        </is>
      </c>
    </row>
    <row r="751">
      <c r="A751" t="inlineStr">
        <is>
          <t>G510</t>
        </is>
      </c>
      <c r="B751" t="inlineStr">
        <is>
          <t>Food only:</t>
        </is>
      </c>
      <c r="C751">
        <f>IFERROR(IF(VLOOKUP($A751,'CDS-G'!$A:$L,3,FALSE)="","",(VLOOKUP($A751,'CDS-G'!$A:$L,3,FALSE))),"")</f>
        <v/>
      </c>
      <c r="D751" t="inlineStr">
        <is>
          <t>Annual Expenses</t>
        </is>
      </c>
      <c r="E751" t="inlineStr">
        <is>
          <t>Estimated Expenses</t>
        </is>
      </c>
      <c r="F751" t="inlineStr">
        <is>
          <t>Full-Time</t>
        </is>
      </c>
      <c r="G751" t="inlineStr">
        <is>
          <t>Undergraduate</t>
        </is>
      </c>
      <c r="H751" t="inlineStr">
        <is>
          <t>Commuters (not living at home)</t>
        </is>
      </c>
      <c r="I751" t="inlineStr">
        <is>
          <t>All</t>
        </is>
      </c>
      <c r="J751" t="inlineStr">
        <is>
          <t>All</t>
        </is>
      </c>
      <c r="K751" t="inlineStr">
        <is>
          <t>All</t>
        </is>
      </c>
      <c r="L751" t="inlineStr">
        <is>
          <t>Nearest $1</t>
        </is>
      </c>
    </row>
    <row r="752">
      <c r="A752" t="inlineStr">
        <is>
          <t>G511</t>
        </is>
      </c>
      <c r="B752" t="inlineStr">
        <is>
          <t>Food and housing total*</t>
        </is>
      </c>
      <c r="C752">
        <f>IFERROR(IF(VLOOKUP($A752,'CDS-G'!$A:$L,3,FALSE)="","",(VLOOKUP($A752,'CDS-G'!$A:$L,3,FALSE))),"")</f>
        <v/>
      </c>
      <c r="D752" t="inlineStr">
        <is>
          <t>Annual Expenses</t>
        </is>
      </c>
      <c r="E752" t="inlineStr">
        <is>
          <t>Estimated Expenses</t>
        </is>
      </c>
      <c r="F752" t="inlineStr">
        <is>
          <t>Full-Time</t>
        </is>
      </c>
      <c r="G752" t="inlineStr">
        <is>
          <t>Undergraduate</t>
        </is>
      </c>
      <c r="H752" t="inlineStr">
        <is>
          <t>Commuters (not living at home)</t>
        </is>
      </c>
      <c r="I752" t="inlineStr">
        <is>
          <t>All</t>
        </is>
      </c>
      <c r="J752" t="inlineStr">
        <is>
          <t>All</t>
        </is>
      </c>
      <c r="K752" t="inlineStr">
        <is>
          <t>All</t>
        </is>
      </c>
      <c r="L752" t="inlineStr">
        <is>
          <t>Nearest $1</t>
        </is>
      </c>
    </row>
    <row r="753">
      <c r="A753" t="inlineStr">
        <is>
          <t>G512</t>
        </is>
      </c>
      <c r="B753" t="inlineStr">
        <is>
          <t>Transportation:</t>
        </is>
      </c>
      <c r="C753">
        <f>IFERROR(IF(VLOOKUP($A753,'CDS-G'!$A:$L,3,FALSE)="","",(VLOOKUP($A753,'CDS-G'!$A:$L,3,FALSE))),"")</f>
        <v/>
      </c>
      <c r="D753" t="inlineStr">
        <is>
          <t>Annual Expenses</t>
        </is>
      </c>
      <c r="E753" t="inlineStr">
        <is>
          <t>Estimated Expenses</t>
        </is>
      </c>
      <c r="F753" t="inlineStr">
        <is>
          <t>Full-Time</t>
        </is>
      </c>
      <c r="G753" t="inlineStr">
        <is>
          <t>Undergraduate</t>
        </is>
      </c>
      <c r="H753" t="inlineStr">
        <is>
          <t>Commuters (not living at home)</t>
        </is>
      </c>
      <c r="I753" t="inlineStr">
        <is>
          <t>All</t>
        </is>
      </c>
      <c r="J753" t="inlineStr">
        <is>
          <t>All</t>
        </is>
      </c>
      <c r="K753" t="inlineStr">
        <is>
          <t>All</t>
        </is>
      </c>
      <c r="L753" t="inlineStr">
        <is>
          <t>Nearest $1</t>
        </is>
      </c>
    </row>
    <row r="754">
      <c r="A754" t="inlineStr">
        <is>
          <t>G513</t>
        </is>
      </c>
      <c r="B754" t="inlineStr">
        <is>
          <t>Other expenses:</t>
        </is>
      </c>
      <c r="C754">
        <f>IFERROR(IF(VLOOKUP($A754,'CDS-G'!$A:$L,3,FALSE)="","",(VLOOKUP($A754,'CDS-G'!$A:$L,3,FALSE))),"")</f>
        <v/>
      </c>
      <c r="D754" t="inlineStr">
        <is>
          <t>Annual Expenses</t>
        </is>
      </c>
      <c r="E754" t="inlineStr">
        <is>
          <t>Estimated Expenses</t>
        </is>
      </c>
      <c r="F754" t="inlineStr">
        <is>
          <t>Full-Time</t>
        </is>
      </c>
      <c r="G754" t="inlineStr">
        <is>
          <t>Undergraduate</t>
        </is>
      </c>
      <c r="H754" t="inlineStr">
        <is>
          <t>Commuters (not living at home)</t>
        </is>
      </c>
      <c r="I754" t="inlineStr">
        <is>
          <t>All</t>
        </is>
      </c>
      <c r="J754" t="inlineStr">
        <is>
          <t>All</t>
        </is>
      </c>
      <c r="K754" t="inlineStr">
        <is>
          <t>All</t>
        </is>
      </c>
      <c r="L754" t="inlineStr">
        <is>
          <t>Nearest $1</t>
        </is>
      </c>
    </row>
    <row r="755">
      <c r="A755" t="inlineStr">
        <is>
          <t>G601</t>
        </is>
      </c>
      <c r="B755" t="inlineStr">
        <is>
          <t>PRIVATE INSTITUTIONS:</t>
        </is>
      </c>
      <c r="C755">
        <f>IFERROR(IF(VLOOKUP($A755,'CDS-G'!$A:$L,3,FALSE)="","",(VLOOKUP($A755,'CDS-G'!$A:$L,3,FALSE))),"")</f>
        <v/>
      </c>
      <c r="D755" t="inlineStr">
        <is>
          <t>Annual Expenses</t>
        </is>
      </c>
      <c r="E755" t="inlineStr">
        <is>
          <t>Per-Credit-Hour Charges</t>
        </is>
      </c>
      <c r="F755" t="inlineStr">
        <is>
          <t>Full-Time</t>
        </is>
      </c>
      <c r="G755" t="inlineStr">
        <is>
          <t>Undergraduate</t>
        </is>
      </c>
      <c r="H755" t="inlineStr">
        <is>
          <t>All</t>
        </is>
      </c>
      <c r="I755" t="inlineStr">
        <is>
          <t>All</t>
        </is>
      </c>
      <c r="J755" t="inlineStr">
        <is>
          <t>All</t>
        </is>
      </c>
      <c r="K755" t="inlineStr">
        <is>
          <t>All</t>
        </is>
      </c>
      <c r="L755" t="inlineStr">
        <is>
          <t>Nearest $1</t>
        </is>
      </c>
    </row>
    <row r="756">
      <c r="A756" t="inlineStr">
        <is>
          <t>G602</t>
        </is>
      </c>
      <c r="B756" t="inlineStr">
        <is>
          <t>PUBLIC INSTITUTIONS:</t>
        </is>
      </c>
      <c r="C756">
        <f>IFERROR(IF(VLOOKUP($A756,'CDS-G'!$A:$L,3,FALSE)="","",(VLOOKUP($A756,'CDS-G'!$A:$L,3,FALSE))),"")</f>
        <v/>
      </c>
      <c r="D756" t="inlineStr">
        <is>
          <t>Annual Expenses</t>
        </is>
      </c>
      <c r="E756" t="inlineStr">
        <is>
          <t>Per-Credit-Hour Charges</t>
        </is>
      </c>
      <c r="F756" t="inlineStr">
        <is>
          <t>Full-Time</t>
        </is>
      </c>
      <c r="G756" t="inlineStr">
        <is>
          <t>Undergraduate</t>
        </is>
      </c>
      <c r="H756" t="inlineStr">
        <is>
          <t>All</t>
        </is>
      </c>
      <c r="I756" t="inlineStr">
        <is>
          <t>All</t>
        </is>
      </c>
      <c r="J756" t="inlineStr">
        <is>
          <t>All</t>
        </is>
      </c>
      <c r="K756" t="inlineStr">
        <is>
          <t>All</t>
        </is>
      </c>
      <c r="L756" t="inlineStr">
        <is>
          <t>Nearest $1</t>
        </is>
      </c>
    </row>
    <row r="757">
      <c r="A757" t="inlineStr">
        <is>
          <t>G603</t>
        </is>
      </c>
      <c r="B757" t="inlineStr">
        <is>
          <t>In-district:</t>
        </is>
      </c>
      <c r="C757">
        <f>IFERROR(IF(VLOOKUP($A757,'CDS-G'!$A:$L,3,FALSE)="","",(VLOOKUP($A757,'CDS-G'!$A:$L,3,FALSE))),"")</f>
        <v/>
      </c>
      <c r="D757" t="inlineStr">
        <is>
          <t>Annual Expenses</t>
        </is>
      </c>
      <c r="E757" t="inlineStr">
        <is>
          <t>Per-Credit-Hour Charges</t>
        </is>
      </c>
      <c r="F757" t="inlineStr">
        <is>
          <t>Full-Time</t>
        </is>
      </c>
      <c r="G757" t="inlineStr">
        <is>
          <t>Undergraduate</t>
        </is>
      </c>
      <c r="H757" t="inlineStr">
        <is>
          <t>All</t>
        </is>
      </c>
      <c r="I757" t="inlineStr">
        <is>
          <t>All</t>
        </is>
      </c>
      <c r="J757" t="inlineStr">
        <is>
          <t>All</t>
        </is>
      </c>
      <c r="K757" t="inlineStr">
        <is>
          <t>All</t>
        </is>
      </c>
      <c r="L757" t="inlineStr">
        <is>
          <t>Nearest $1</t>
        </is>
      </c>
    </row>
    <row r="758">
      <c r="A758" t="inlineStr">
        <is>
          <t>G604</t>
        </is>
      </c>
      <c r="B758" t="inlineStr">
        <is>
          <t>In-state (out-of-district):</t>
        </is>
      </c>
      <c r="C758">
        <f>IFERROR(IF(VLOOKUP($A758,'CDS-G'!$A:$L,3,FALSE)="","",(VLOOKUP($A758,'CDS-G'!$A:$L,3,FALSE))),"")</f>
        <v/>
      </c>
      <c r="D758" t="inlineStr">
        <is>
          <t>Annual Expenses</t>
        </is>
      </c>
      <c r="E758" t="inlineStr">
        <is>
          <t>Per-Credit-Hour Charges</t>
        </is>
      </c>
      <c r="F758" t="inlineStr">
        <is>
          <t>Full-Time</t>
        </is>
      </c>
      <c r="G758" t="inlineStr">
        <is>
          <t>Undergraduate</t>
        </is>
      </c>
      <c r="H758" t="inlineStr">
        <is>
          <t>All</t>
        </is>
      </c>
      <c r="I758" t="inlineStr">
        <is>
          <t>All</t>
        </is>
      </c>
      <c r="J758" t="inlineStr">
        <is>
          <t>All</t>
        </is>
      </c>
      <c r="K758" t="inlineStr">
        <is>
          <t>All</t>
        </is>
      </c>
      <c r="L758" t="inlineStr">
        <is>
          <t>Nearest $1</t>
        </is>
      </c>
    </row>
    <row r="759">
      <c r="A759" t="inlineStr">
        <is>
          <t>G605</t>
        </is>
      </c>
      <c r="B759" t="inlineStr">
        <is>
          <t>Out-of-state:</t>
        </is>
      </c>
      <c r="C759">
        <f>IFERROR(IF(VLOOKUP($A759,'CDS-G'!$A:$L,3,FALSE)="","",(VLOOKUP($A759,'CDS-G'!$A:$L,3,FALSE))),"")</f>
        <v/>
      </c>
      <c r="D759" t="inlineStr">
        <is>
          <t>Annual Expenses</t>
        </is>
      </c>
      <c r="E759" t="inlineStr">
        <is>
          <t>Per-Credit-Hour Charges</t>
        </is>
      </c>
      <c r="F759" t="inlineStr">
        <is>
          <t>Full-Time</t>
        </is>
      </c>
      <c r="G759" t="inlineStr">
        <is>
          <t>Undergraduate</t>
        </is>
      </c>
      <c r="H759" t="inlineStr">
        <is>
          <t>All</t>
        </is>
      </c>
      <c r="I759" t="inlineStr">
        <is>
          <t>All</t>
        </is>
      </c>
      <c r="J759" t="inlineStr">
        <is>
          <t>All</t>
        </is>
      </c>
      <c r="K759" t="inlineStr">
        <is>
          <t>All</t>
        </is>
      </c>
      <c r="L759" t="inlineStr">
        <is>
          <t>Nearest $1</t>
        </is>
      </c>
    </row>
    <row r="760">
      <c r="A760" t="inlineStr">
        <is>
          <t>G606</t>
        </is>
      </c>
      <c r="B760" t="inlineStr">
        <is>
          <t>NONRESIDENTS:</t>
        </is>
      </c>
      <c r="C760">
        <f>IFERROR(IF(VLOOKUP($A760,'CDS-G'!$A:$L,3,FALSE)="","",(VLOOKUP($A760,'CDS-G'!$A:$L,3,FALSE))),"")</f>
        <v/>
      </c>
      <c r="D760" t="inlineStr">
        <is>
          <t>Annual Expenses</t>
        </is>
      </c>
      <c r="E760" t="inlineStr">
        <is>
          <t>Per-Credit-Hour Charges</t>
        </is>
      </c>
      <c r="F760" t="inlineStr">
        <is>
          <t>Full-Time</t>
        </is>
      </c>
      <c r="G760" t="inlineStr">
        <is>
          <t>Undergraduate</t>
        </is>
      </c>
      <c r="H760" t="inlineStr">
        <is>
          <t>All</t>
        </is>
      </c>
      <c r="I760" t="inlineStr">
        <is>
          <t>All</t>
        </is>
      </c>
      <c r="J760" t="inlineStr">
        <is>
          <t>All</t>
        </is>
      </c>
      <c r="K760" t="inlineStr">
        <is>
          <t>All</t>
        </is>
      </c>
      <c r="L760" t="inlineStr">
        <is>
          <t>Nearest $1</t>
        </is>
      </c>
    </row>
    <row r="761">
      <c r="A761" t="inlineStr">
        <is>
          <t>H101</t>
        </is>
      </c>
      <c r="B761" t="inlineStr">
        <is>
          <t>2024-2025</t>
        </is>
      </c>
      <c r="C761">
        <f>IFERROR(IF(VLOOKUP($A761,'CDS-H'!$A:$L,3,FALSE)="","",(VLOOKUP($A761,'CDS-H'!$A:$L,3,FALSE))),"")</f>
        <v/>
      </c>
      <c r="D761" t="inlineStr">
        <is>
          <t>Financial Aid</t>
        </is>
      </c>
      <c r="E761" t="inlineStr">
        <is>
          <t>Reporting Year</t>
        </is>
      </c>
      <c r="F761" t="inlineStr">
        <is>
          <t>All</t>
        </is>
      </c>
      <c r="G761" t="inlineStr">
        <is>
          <t>All</t>
        </is>
      </c>
      <c r="H761" t="inlineStr">
        <is>
          <t>All</t>
        </is>
      </c>
      <c r="I761" t="inlineStr">
        <is>
          <t>All</t>
        </is>
      </c>
      <c r="J761" t="inlineStr">
        <is>
          <t>All</t>
        </is>
      </c>
      <c r="K761" t="inlineStr">
        <is>
          <t>All</t>
        </is>
      </c>
      <c r="L761" t="inlineStr">
        <is>
          <t>x</t>
        </is>
      </c>
    </row>
    <row r="762">
      <c r="A762" t="inlineStr">
        <is>
          <t>H102</t>
        </is>
      </c>
      <c r="B762" t="inlineStr">
        <is>
          <t>2023-2024 Final</t>
        </is>
      </c>
      <c r="C762">
        <f>IFERROR(IF(VLOOKUP($A762,'CDS-H'!$A:$L,3,FALSE)="","",(VLOOKUP($A762,'CDS-H'!$A:$L,3,FALSE))),"")</f>
        <v/>
      </c>
      <c r="D762" t="inlineStr">
        <is>
          <t>Financial Aid</t>
        </is>
      </c>
      <c r="E762" t="inlineStr">
        <is>
          <t>Reporting Year</t>
        </is>
      </c>
      <c r="F762" t="inlineStr">
        <is>
          <t>All</t>
        </is>
      </c>
      <c r="G762" t="inlineStr">
        <is>
          <t>All</t>
        </is>
      </c>
      <c r="H762" t="inlineStr">
        <is>
          <t>All</t>
        </is>
      </c>
      <c r="I762" t="inlineStr">
        <is>
          <t>All</t>
        </is>
      </c>
      <c r="J762" t="inlineStr">
        <is>
          <t>All</t>
        </is>
      </c>
      <c r="K762" t="inlineStr">
        <is>
          <t>All</t>
        </is>
      </c>
      <c r="L762" t="inlineStr">
        <is>
          <t>x</t>
        </is>
      </c>
    </row>
    <row r="763">
      <c r="A763" t="inlineStr">
        <is>
          <t>H103</t>
        </is>
      </c>
      <c r="B763" t="inlineStr">
        <is>
          <t>Federal methodology (FM)</t>
        </is>
      </c>
      <c r="C763">
        <f>IFERROR(IF(VLOOKUP($A763,'CDS-H'!$A:$L,3,FALSE)="","",(VLOOKUP($A763,'CDS-H'!$A:$L,3,FALSE))),"")</f>
        <v/>
      </c>
      <c r="D763" t="inlineStr">
        <is>
          <t>Financial Aid</t>
        </is>
      </c>
      <c r="E763" t="inlineStr">
        <is>
          <t>Methodology</t>
        </is>
      </c>
      <c r="F763" t="inlineStr">
        <is>
          <t>All</t>
        </is>
      </c>
      <c r="G763" t="inlineStr">
        <is>
          <t>All</t>
        </is>
      </c>
      <c r="H763" t="inlineStr">
        <is>
          <t>All</t>
        </is>
      </c>
      <c r="I763" t="inlineStr">
        <is>
          <t>All</t>
        </is>
      </c>
      <c r="J763" t="inlineStr">
        <is>
          <t>All</t>
        </is>
      </c>
      <c r="K763" t="inlineStr">
        <is>
          <t>All</t>
        </is>
      </c>
      <c r="L763" t="inlineStr">
        <is>
          <t>x</t>
        </is>
      </c>
    </row>
    <row r="764">
      <c r="A764" t="inlineStr">
        <is>
          <t>H104</t>
        </is>
      </c>
      <c r="B764" t="inlineStr">
        <is>
          <t>Institutional methodology (IM)</t>
        </is>
      </c>
      <c r="C764">
        <f>IFERROR(IF(VLOOKUP($A764,'CDS-H'!$A:$L,3,FALSE)="","",(VLOOKUP($A764,'CDS-H'!$A:$L,3,FALSE))),"")</f>
        <v/>
      </c>
      <c r="D764" t="inlineStr">
        <is>
          <t>Financial Aid</t>
        </is>
      </c>
      <c r="E764" t="inlineStr">
        <is>
          <t>Methodology</t>
        </is>
      </c>
      <c r="F764" t="inlineStr">
        <is>
          <t>All</t>
        </is>
      </c>
      <c r="G764" t="inlineStr">
        <is>
          <t>All</t>
        </is>
      </c>
      <c r="H764" t="inlineStr">
        <is>
          <t>All</t>
        </is>
      </c>
      <c r="I764" t="inlineStr">
        <is>
          <t>All</t>
        </is>
      </c>
      <c r="J764" t="inlineStr">
        <is>
          <t>All</t>
        </is>
      </c>
      <c r="K764" t="inlineStr">
        <is>
          <t>All</t>
        </is>
      </c>
      <c r="L764" t="inlineStr">
        <is>
          <t>x</t>
        </is>
      </c>
    </row>
    <row r="765">
      <c r="A765" t="inlineStr">
        <is>
          <t>H105</t>
        </is>
      </c>
      <c r="B765" t="inlineStr">
        <is>
          <t>Both FM and IM</t>
        </is>
      </c>
      <c r="C765">
        <f>IFERROR(IF(VLOOKUP($A765,'CDS-H'!$A:$L,3,FALSE)="","",(VLOOKUP($A765,'CDS-H'!$A:$L,3,FALSE))),"")</f>
        <v/>
      </c>
      <c r="D765" t="inlineStr">
        <is>
          <t>Financial Aid</t>
        </is>
      </c>
      <c r="E765" t="inlineStr">
        <is>
          <t>Methodology</t>
        </is>
      </c>
      <c r="F765" t="inlineStr">
        <is>
          <t>All</t>
        </is>
      </c>
      <c r="G765" t="inlineStr">
        <is>
          <t>All</t>
        </is>
      </c>
      <c r="H765" t="inlineStr">
        <is>
          <t>All</t>
        </is>
      </c>
      <c r="I765" t="inlineStr">
        <is>
          <t>All</t>
        </is>
      </c>
      <c r="J765" t="inlineStr">
        <is>
          <t>All</t>
        </is>
      </c>
      <c r="K765" t="inlineStr">
        <is>
          <t>All</t>
        </is>
      </c>
      <c r="L765" t="inlineStr">
        <is>
          <t>x</t>
        </is>
      </c>
    </row>
    <row r="766">
      <c r="A766" t="inlineStr">
        <is>
          <t>H106</t>
        </is>
      </c>
      <c r="B766" t="inlineStr">
        <is>
          <t>Federal</t>
        </is>
      </c>
      <c r="C766">
        <f>IFERROR(IF(VLOOKUP($A766,'CDS-H'!$A:$L,3,FALSE)="","",(VLOOKUP($A766,'CDS-H'!$A:$L,3,FALSE))),"")</f>
        <v/>
      </c>
      <c r="D766" t="inlineStr">
        <is>
          <t>Financial Aid</t>
        </is>
      </c>
      <c r="E766" t="inlineStr">
        <is>
          <t>Need-based Aid Awarded</t>
        </is>
      </c>
      <c r="F766" t="inlineStr">
        <is>
          <t>Degree-seeking</t>
        </is>
      </c>
      <c r="G766" t="inlineStr">
        <is>
          <t>Undergraduate</t>
        </is>
      </c>
      <c r="H766" t="inlineStr">
        <is>
          <t>Undergraduates</t>
        </is>
      </c>
      <c r="I766" t="inlineStr">
        <is>
          <t>All</t>
        </is>
      </c>
      <c r="J766" t="inlineStr">
        <is>
          <t>All</t>
        </is>
      </c>
      <c r="K766" t="inlineStr">
        <is>
          <t>All</t>
        </is>
      </c>
      <c r="L766" t="inlineStr">
        <is>
          <t>Nearest $1</t>
        </is>
      </c>
    </row>
    <row r="767">
      <c r="A767" t="inlineStr">
        <is>
          <t>H107</t>
        </is>
      </c>
      <c r="B767" t="inlineStr">
        <is>
          <t>State all states, not only the state in which your institution is located</t>
        </is>
      </c>
      <c r="C767">
        <f>IFERROR(IF(VLOOKUP($A767,'CDS-H'!$A:$L,3,FALSE)="","",(VLOOKUP($A767,'CDS-H'!$A:$L,3,FALSE))),"")</f>
        <v/>
      </c>
      <c r="D767" t="inlineStr">
        <is>
          <t>Financial Aid</t>
        </is>
      </c>
      <c r="E767" t="inlineStr">
        <is>
          <t>Need-based Aid Awarded</t>
        </is>
      </c>
      <c r="F767" t="inlineStr">
        <is>
          <t>Degree-seeking</t>
        </is>
      </c>
      <c r="G767" t="inlineStr">
        <is>
          <t>Undergraduate</t>
        </is>
      </c>
      <c r="H767" t="inlineStr">
        <is>
          <t>Undergraduates</t>
        </is>
      </c>
      <c r="I767" t="inlineStr">
        <is>
          <t>All</t>
        </is>
      </c>
      <c r="J767" t="inlineStr">
        <is>
          <t>All</t>
        </is>
      </c>
      <c r="K767" t="inlineStr">
        <is>
          <t>All</t>
        </is>
      </c>
      <c r="L767" t="inlineStr">
        <is>
          <t>Nearest $1</t>
        </is>
      </c>
    </row>
    <row r="768">
      <c r="A768" t="inlineStr">
        <is>
          <t>H108</t>
        </is>
      </c>
      <c r="B768" t="inlineStr">
        <is>
          <t>Institutional: Endowed scholarships, annual gifts and tuition funded grants, awarded by the college, excluding athletic aid and tuition waivers (which are reported below).</t>
        </is>
      </c>
      <c r="C768">
        <f>IFERROR(IF(VLOOKUP($A768,'CDS-H'!$A:$L,3,FALSE)="","",(VLOOKUP($A768,'CDS-H'!$A:$L,3,FALSE))),"")</f>
        <v/>
      </c>
      <c r="D768" t="inlineStr">
        <is>
          <t>Financial Aid</t>
        </is>
      </c>
      <c r="E768" t="inlineStr">
        <is>
          <t>Need-based Aid Awarded</t>
        </is>
      </c>
      <c r="F768" t="inlineStr">
        <is>
          <t>Degree-seeking</t>
        </is>
      </c>
      <c r="G768" t="inlineStr">
        <is>
          <t>Undergraduate</t>
        </is>
      </c>
      <c r="H768" t="inlineStr">
        <is>
          <t>Undergraduates</t>
        </is>
      </c>
      <c r="I768" t="inlineStr">
        <is>
          <t>All</t>
        </is>
      </c>
      <c r="J768" t="inlineStr">
        <is>
          <t>All</t>
        </is>
      </c>
      <c r="K768" t="inlineStr">
        <is>
          <t>All</t>
        </is>
      </c>
      <c r="L768" t="inlineStr">
        <is>
          <t>Nearest $1</t>
        </is>
      </c>
    </row>
    <row r="769">
      <c r="A769" t="inlineStr">
        <is>
          <t>H109</t>
        </is>
      </c>
      <c r="B769" t="inlineStr">
        <is>
          <t>Scholarships/grants from external sources (e.g. Kiwanis, National Merit) not awarded by the college</t>
        </is>
      </c>
      <c r="C769">
        <f>IFERROR(IF(VLOOKUP($A769,'CDS-H'!$A:$L,3,FALSE)="","",(VLOOKUP($A769,'CDS-H'!$A:$L,3,FALSE))),"")</f>
        <v/>
      </c>
      <c r="D769" t="inlineStr">
        <is>
          <t>Financial Aid</t>
        </is>
      </c>
      <c r="E769" t="inlineStr">
        <is>
          <t>Need-based Aid Awarded</t>
        </is>
      </c>
      <c r="F769" t="inlineStr">
        <is>
          <t>Degree-seeking</t>
        </is>
      </c>
      <c r="G769" t="inlineStr">
        <is>
          <t>Undergraduate</t>
        </is>
      </c>
      <c r="H769" t="inlineStr">
        <is>
          <t>Undergraduates</t>
        </is>
      </c>
      <c r="I769" t="inlineStr">
        <is>
          <t>All</t>
        </is>
      </c>
      <c r="J769" t="inlineStr">
        <is>
          <t>All</t>
        </is>
      </c>
      <c r="K769" t="inlineStr">
        <is>
          <t>All</t>
        </is>
      </c>
      <c r="L769" t="inlineStr">
        <is>
          <t>Nearest $1</t>
        </is>
      </c>
    </row>
    <row r="770">
      <c r="A770" t="inlineStr">
        <is>
          <t>H110</t>
        </is>
      </c>
      <c r="B770" t="inlineStr">
        <is>
          <t>Total Scholarships/Grants</t>
        </is>
      </c>
      <c r="C770">
        <f>IFERROR(IF(VLOOKUP($A770,'CDS-H'!$A:$L,3,FALSE)="","",(VLOOKUP($A770,'CDS-H'!$A:$L,3,FALSE))),"")</f>
        <v/>
      </c>
      <c r="D770" t="inlineStr">
        <is>
          <t>Financial Aid</t>
        </is>
      </c>
      <c r="E770" t="inlineStr">
        <is>
          <t>Need-based Aid Awarded</t>
        </is>
      </c>
      <c r="F770" t="inlineStr">
        <is>
          <t>Degree-seeking</t>
        </is>
      </c>
      <c r="G770" t="inlineStr">
        <is>
          <t>Undergraduate</t>
        </is>
      </c>
      <c r="H770" t="inlineStr">
        <is>
          <t>Undergraduates</t>
        </is>
      </c>
      <c r="I770" t="inlineStr">
        <is>
          <t>All</t>
        </is>
      </c>
      <c r="J770" t="inlineStr">
        <is>
          <t>All</t>
        </is>
      </c>
      <c r="K770" t="inlineStr">
        <is>
          <t>All</t>
        </is>
      </c>
      <c r="L770" t="inlineStr">
        <is>
          <t>Nearest $1</t>
        </is>
      </c>
    </row>
    <row r="771">
      <c r="A771" t="inlineStr">
        <is>
          <t>H111</t>
        </is>
      </c>
      <c r="B771" t="inlineStr">
        <is>
          <t>Student loans from all sources (excluding parent loans)</t>
        </is>
      </c>
      <c r="C771">
        <f>IFERROR(IF(VLOOKUP($A771,'CDS-H'!$A:$L,3,FALSE)="","",(VLOOKUP($A771,'CDS-H'!$A:$L,3,FALSE))),"")</f>
        <v/>
      </c>
      <c r="D771" t="inlineStr">
        <is>
          <t>Financial Aid</t>
        </is>
      </c>
      <c r="E771" t="inlineStr">
        <is>
          <t>Need-based Aid Awarded</t>
        </is>
      </c>
      <c r="F771" t="inlineStr">
        <is>
          <t>Degree-seeking</t>
        </is>
      </c>
      <c r="G771" t="inlineStr">
        <is>
          <t>Undergraduate</t>
        </is>
      </c>
      <c r="H771" t="inlineStr">
        <is>
          <t>Undergraduates</t>
        </is>
      </c>
      <c r="I771" t="inlineStr">
        <is>
          <t>All</t>
        </is>
      </c>
      <c r="J771" t="inlineStr">
        <is>
          <t>All</t>
        </is>
      </c>
      <c r="K771" t="inlineStr">
        <is>
          <t>All</t>
        </is>
      </c>
      <c r="L771" t="inlineStr">
        <is>
          <t>Nearest $1</t>
        </is>
      </c>
    </row>
    <row r="772">
      <c r="A772" t="inlineStr">
        <is>
          <t>H112</t>
        </is>
      </c>
      <c r="B772" t="inlineStr">
        <is>
          <t>Federal Work-Study</t>
        </is>
      </c>
      <c r="C772">
        <f>IFERROR(IF(VLOOKUP($A772,'CDS-H'!$A:$L,3,FALSE)="","",(VLOOKUP($A772,'CDS-H'!$A:$L,3,FALSE))),"")</f>
        <v/>
      </c>
      <c r="D772" t="inlineStr">
        <is>
          <t>Financial Aid</t>
        </is>
      </c>
      <c r="E772" t="inlineStr">
        <is>
          <t>Need-based Aid Awarded</t>
        </is>
      </c>
      <c r="F772" t="inlineStr">
        <is>
          <t>Degree-seeking</t>
        </is>
      </c>
      <c r="G772" t="inlineStr">
        <is>
          <t>Undergraduate</t>
        </is>
      </c>
      <c r="H772" t="inlineStr">
        <is>
          <t>Undergraduates</t>
        </is>
      </c>
      <c r="I772" t="inlineStr">
        <is>
          <t>All</t>
        </is>
      </c>
      <c r="J772" t="inlineStr">
        <is>
          <t>All</t>
        </is>
      </c>
      <c r="K772" t="inlineStr">
        <is>
          <t>All</t>
        </is>
      </c>
      <c r="L772" t="inlineStr">
        <is>
          <t>Nearest $1</t>
        </is>
      </c>
    </row>
    <row r="773">
      <c r="A773" t="inlineStr">
        <is>
          <t>H113</t>
        </is>
      </c>
      <c r="B773" t="inlineStr">
        <is>
          <t>State and other (e.g., institutional) work-study/employment (Note: Excludes Federal Work-Study captured above.)</t>
        </is>
      </c>
      <c r="C773">
        <f>IFERROR(IF(VLOOKUP($A773,'CDS-H'!$A:$L,3,FALSE)="","",(VLOOKUP($A773,'CDS-H'!$A:$L,3,FALSE))),"")</f>
        <v/>
      </c>
      <c r="D773" t="inlineStr">
        <is>
          <t>Financial Aid</t>
        </is>
      </c>
      <c r="E773" t="inlineStr">
        <is>
          <t>Need-based Aid Awarded</t>
        </is>
      </c>
      <c r="F773" t="inlineStr">
        <is>
          <t>Degree-seeking</t>
        </is>
      </c>
      <c r="G773" t="inlineStr">
        <is>
          <t>Undergraduate</t>
        </is>
      </c>
      <c r="H773" t="inlineStr">
        <is>
          <t>Undergraduates</t>
        </is>
      </c>
      <c r="I773" t="inlineStr">
        <is>
          <t>All</t>
        </is>
      </c>
      <c r="J773" t="inlineStr">
        <is>
          <t>All</t>
        </is>
      </c>
      <c r="K773" t="inlineStr">
        <is>
          <t>All</t>
        </is>
      </c>
      <c r="L773" t="inlineStr">
        <is>
          <t>Nearest $1</t>
        </is>
      </c>
    </row>
    <row r="774">
      <c r="A774" t="inlineStr">
        <is>
          <t>H114</t>
        </is>
      </c>
      <c r="B774" t="inlineStr">
        <is>
          <t>Total Self-Help</t>
        </is>
      </c>
      <c r="C774">
        <f>IFERROR(IF(VLOOKUP($A774,'CDS-H'!$A:$L,3,FALSE)="","",(VLOOKUP($A774,'CDS-H'!$A:$L,3,FALSE))),"")</f>
        <v/>
      </c>
      <c r="D774" t="inlineStr">
        <is>
          <t>Financial Aid</t>
        </is>
      </c>
      <c r="E774" t="inlineStr">
        <is>
          <t>Need-based Aid Awarded</t>
        </is>
      </c>
      <c r="F774" t="inlineStr">
        <is>
          <t>Degree-seeking</t>
        </is>
      </c>
      <c r="G774" t="inlineStr">
        <is>
          <t>Undergraduate</t>
        </is>
      </c>
      <c r="H774" t="inlineStr">
        <is>
          <t>Undergraduates</t>
        </is>
      </c>
      <c r="I774" t="inlineStr">
        <is>
          <t>All</t>
        </is>
      </c>
      <c r="J774" t="inlineStr">
        <is>
          <t>All</t>
        </is>
      </c>
      <c r="K774" t="inlineStr">
        <is>
          <t>All</t>
        </is>
      </c>
      <c r="L774" t="inlineStr">
        <is>
          <t>Nearest $1</t>
        </is>
      </c>
    </row>
    <row r="775">
      <c r="A775" t="inlineStr">
        <is>
          <t>H115</t>
        </is>
      </c>
      <c r="B775" t="inlineStr">
        <is>
          <t>Parent Loans</t>
        </is>
      </c>
      <c r="C775">
        <f>IFERROR(IF(VLOOKUP($A775,'CDS-H'!$A:$L,3,FALSE)="","",(VLOOKUP($A775,'CDS-H'!$A:$L,3,FALSE))),"")</f>
        <v/>
      </c>
      <c r="D775" t="inlineStr">
        <is>
          <t>Financial Aid</t>
        </is>
      </c>
      <c r="E775" t="inlineStr">
        <is>
          <t>Need-based Aid Awarded</t>
        </is>
      </c>
      <c r="F775" t="inlineStr">
        <is>
          <t>Degree-seeking</t>
        </is>
      </c>
      <c r="G775" t="inlineStr">
        <is>
          <t>Undergraduate</t>
        </is>
      </c>
      <c r="H775" t="inlineStr">
        <is>
          <t>Undergraduates</t>
        </is>
      </c>
      <c r="I775" t="inlineStr">
        <is>
          <t>All</t>
        </is>
      </c>
      <c r="J775" t="inlineStr">
        <is>
          <t>All</t>
        </is>
      </c>
      <c r="K775" t="inlineStr">
        <is>
          <t>All</t>
        </is>
      </c>
      <c r="L775" t="inlineStr">
        <is>
          <t>Nearest $1</t>
        </is>
      </c>
    </row>
    <row r="776">
      <c r="A776" t="inlineStr">
        <is>
          <t>H116</t>
        </is>
      </c>
      <c r="B776" t="inlineStr">
        <is>
          <t>Tuition Waivers
Note: Reporting is optional. Report tuition waivers in this row if you choose to report them. Do not report tuition waivers elsewhere.</t>
        </is>
      </c>
      <c r="C776">
        <f>IFERROR(IF(VLOOKUP($A776,'CDS-H'!$A:$L,3,FALSE)="","",(VLOOKUP($A776,'CDS-H'!$A:$L,3,FALSE))),"")</f>
        <v/>
      </c>
      <c r="D776" t="inlineStr">
        <is>
          <t>Financial Aid</t>
        </is>
      </c>
      <c r="E776" t="inlineStr">
        <is>
          <t>Need-based Aid Awarded</t>
        </is>
      </c>
      <c r="F776" t="inlineStr">
        <is>
          <t>Degree-seeking</t>
        </is>
      </c>
      <c r="G776" t="inlineStr">
        <is>
          <t>Undergraduate</t>
        </is>
      </c>
      <c r="H776" t="inlineStr">
        <is>
          <t>Undergraduates</t>
        </is>
      </c>
      <c r="I776" t="inlineStr">
        <is>
          <t>All</t>
        </is>
      </c>
      <c r="J776" t="inlineStr">
        <is>
          <t>All</t>
        </is>
      </c>
      <c r="K776" t="inlineStr">
        <is>
          <t>All</t>
        </is>
      </c>
      <c r="L776" t="inlineStr">
        <is>
          <t>Nearest $1</t>
        </is>
      </c>
    </row>
    <row r="777">
      <c r="A777" t="inlineStr">
        <is>
          <t>H117</t>
        </is>
      </c>
      <c r="B777" t="inlineStr">
        <is>
          <t>Athletic Awards</t>
        </is>
      </c>
      <c r="C777">
        <f>IFERROR(IF(VLOOKUP($A777,'CDS-H'!$A:$L,3,FALSE)="","",(VLOOKUP($A777,'CDS-H'!$A:$L,3,FALSE))),"")</f>
        <v/>
      </c>
      <c r="D777" t="inlineStr">
        <is>
          <t>Financial Aid</t>
        </is>
      </c>
      <c r="E777" t="inlineStr">
        <is>
          <t>Need-based Aid Awarded</t>
        </is>
      </c>
      <c r="F777" t="inlineStr">
        <is>
          <t>Degree-seeking</t>
        </is>
      </c>
      <c r="G777" t="inlineStr">
        <is>
          <t>Undergraduate</t>
        </is>
      </c>
      <c r="H777" t="inlineStr">
        <is>
          <t>Undergraduates</t>
        </is>
      </c>
      <c r="I777" t="inlineStr">
        <is>
          <t>All</t>
        </is>
      </c>
      <c r="J777" t="inlineStr">
        <is>
          <t>All</t>
        </is>
      </c>
      <c r="K777" t="inlineStr">
        <is>
          <t>All</t>
        </is>
      </c>
      <c r="L777" t="inlineStr">
        <is>
          <t>Nearest $1</t>
        </is>
      </c>
    </row>
    <row r="778">
      <c r="A778" t="inlineStr">
        <is>
          <t>H118</t>
        </is>
      </c>
      <c r="B778" t="inlineStr">
        <is>
          <t>Federal</t>
        </is>
      </c>
      <c r="C778">
        <f>IFERROR(IF(VLOOKUP($A778,'CDS-H'!$A:$L,3,FALSE)="","",(VLOOKUP($A778,'CDS-H'!$A:$L,3,FALSE))),"")</f>
        <v/>
      </c>
      <c r="D778" t="inlineStr">
        <is>
          <t>Financial Aid</t>
        </is>
      </c>
      <c r="E778" t="inlineStr">
        <is>
          <t>Non-need-based Aid Awarded</t>
        </is>
      </c>
      <c r="F778" t="inlineStr">
        <is>
          <t>Degree-seeking</t>
        </is>
      </c>
      <c r="G778" t="inlineStr">
        <is>
          <t>Undergraduate</t>
        </is>
      </c>
      <c r="H778" t="inlineStr">
        <is>
          <t>Undergraduates</t>
        </is>
      </c>
      <c r="I778" t="inlineStr">
        <is>
          <t>All</t>
        </is>
      </c>
      <c r="J778" t="inlineStr">
        <is>
          <t>All</t>
        </is>
      </c>
      <c r="K778" t="inlineStr">
        <is>
          <t>All</t>
        </is>
      </c>
      <c r="L778" t="inlineStr">
        <is>
          <t>Nearest $1</t>
        </is>
      </c>
    </row>
    <row r="779">
      <c r="A779" t="inlineStr">
        <is>
          <t>H119</t>
        </is>
      </c>
      <c r="B779" t="inlineStr">
        <is>
          <t>State all states, not only the state in which your institution is located</t>
        </is>
      </c>
      <c r="C779">
        <f>IFERROR(IF(VLOOKUP($A779,'CDS-H'!$A:$L,3,FALSE)="","",(VLOOKUP($A779,'CDS-H'!$A:$L,3,FALSE))),"")</f>
        <v/>
      </c>
      <c r="D779" t="inlineStr">
        <is>
          <t>Financial Aid</t>
        </is>
      </c>
      <c r="E779" t="inlineStr">
        <is>
          <t>Non-need-based Aid Awarded</t>
        </is>
      </c>
      <c r="F779" t="inlineStr">
        <is>
          <t>Degree-seeking</t>
        </is>
      </c>
      <c r="G779" t="inlineStr">
        <is>
          <t>Undergraduate</t>
        </is>
      </c>
      <c r="H779" t="inlineStr">
        <is>
          <t>Undergraduates</t>
        </is>
      </c>
      <c r="I779" t="inlineStr">
        <is>
          <t>All</t>
        </is>
      </c>
      <c r="J779" t="inlineStr">
        <is>
          <t>All</t>
        </is>
      </c>
      <c r="K779" t="inlineStr">
        <is>
          <t>All</t>
        </is>
      </c>
      <c r="L779" t="inlineStr">
        <is>
          <t>Nearest $1</t>
        </is>
      </c>
    </row>
    <row r="780">
      <c r="A780" t="inlineStr">
        <is>
          <t>H120</t>
        </is>
      </c>
      <c r="B780" t="inlineStr">
        <is>
          <t>Institutional: Endowed scholarships, annual gifts and tuition funded grants, awarded by the college, excluding athletic aid and tuition waivers (which are reported below).</t>
        </is>
      </c>
      <c r="C780">
        <f>IFERROR(IF(VLOOKUP($A780,'CDS-H'!$A:$L,3,FALSE)="","",(VLOOKUP($A780,'CDS-H'!$A:$L,3,FALSE))),"")</f>
        <v/>
      </c>
      <c r="D780" t="inlineStr">
        <is>
          <t>Financial Aid</t>
        </is>
      </c>
      <c r="E780" t="inlineStr">
        <is>
          <t>Non-need-based Aid Awarded</t>
        </is>
      </c>
      <c r="F780" t="inlineStr">
        <is>
          <t>Degree-seeking</t>
        </is>
      </c>
      <c r="G780" t="inlineStr">
        <is>
          <t>Undergraduate</t>
        </is>
      </c>
      <c r="H780" t="inlineStr">
        <is>
          <t>Undergraduates</t>
        </is>
      </c>
      <c r="I780" t="inlineStr">
        <is>
          <t>All</t>
        </is>
      </c>
      <c r="J780" t="inlineStr">
        <is>
          <t>All</t>
        </is>
      </c>
      <c r="K780" t="inlineStr">
        <is>
          <t>All</t>
        </is>
      </c>
      <c r="L780" t="inlineStr">
        <is>
          <t>Nearest $1</t>
        </is>
      </c>
    </row>
    <row r="781">
      <c r="A781" t="inlineStr">
        <is>
          <t>H121</t>
        </is>
      </c>
      <c r="B781" t="inlineStr">
        <is>
          <t>Scholarships/grants from external sources (e.g. Kiwanis, National Merit) not awarded by the college</t>
        </is>
      </c>
      <c r="C781">
        <f>IFERROR(IF(VLOOKUP($A781,'CDS-H'!$A:$L,3,FALSE)="","",(VLOOKUP($A781,'CDS-H'!$A:$L,3,FALSE))),"")</f>
        <v/>
      </c>
      <c r="D781" t="inlineStr">
        <is>
          <t>Financial Aid</t>
        </is>
      </c>
      <c r="E781" t="inlineStr">
        <is>
          <t>Non-need-based Aid Awarded</t>
        </is>
      </c>
      <c r="F781" t="inlineStr">
        <is>
          <t>Degree-seeking</t>
        </is>
      </c>
      <c r="G781" t="inlineStr">
        <is>
          <t>Undergraduate</t>
        </is>
      </c>
      <c r="H781" t="inlineStr">
        <is>
          <t>Undergraduates</t>
        </is>
      </c>
      <c r="I781" t="inlineStr">
        <is>
          <t>All</t>
        </is>
      </c>
      <c r="J781" t="inlineStr">
        <is>
          <t>All</t>
        </is>
      </c>
      <c r="K781" t="inlineStr">
        <is>
          <t>All</t>
        </is>
      </c>
      <c r="L781" t="inlineStr">
        <is>
          <t>Nearest $1</t>
        </is>
      </c>
    </row>
    <row r="782">
      <c r="A782" t="inlineStr">
        <is>
          <t>H122</t>
        </is>
      </c>
      <c r="B782" t="inlineStr">
        <is>
          <t>Total Scholarships/Grants</t>
        </is>
      </c>
      <c r="C782">
        <f>IFERROR(IF(VLOOKUP($A782,'CDS-H'!$A:$L,3,FALSE)="","",(VLOOKUP($A782,'CDS-H'!$A:$L,3,FALSE))),"")</f>
        <v/>
      </c>
      <c r="D782" t="inlineStr">
        <is>
          <t>Financial Aid</t>
        </is>
      </c>
      <c r="E782" t="inlineStr">
        <is>
          <t>Non-need-based Aid Awarded</t>
        </is>
      </c>
      <c r="F782" t="inlineStr">
        <is>
          <t>Degree-seeking</t>
        </is>
      </c>
      <c r="G782" t="inlineStr">
        <is>
          <t>Undergraduate</t>
        </is>
      </c>
      <c r="H782" t="inlineStr">
        <is>
          <t>Undergraduates</t>
        </is>
      </c>
      <c r="I782" t="inlineStr">
        <is>
          <t>All</t>
        </is>
      </c>
      <c r="J782" t="inlineStr">
        <is>
          <t>All</t>
        </is>
      </c>
      <c r="K782" t="inlineStr">
        <is>
          <t>All</t>
        </is>
      </c>
      <c r="L782" t="inlineStr">
        <is>
          <t>Nearest $1</t>
        </is>
      </c>
    </row>
    <row r="783">
      <c r="A783" t="inlineStr">
        <is>
          <t>H123</t>
        </is>
      </c>
      <c r="B783" t="inlineStr">
        <is>
          <t>Student loans from all sources (excluding parent loans)</t>
        </is>
      </c>
      <c r="C783">
        <f>IFERROR(IF(VLOOKUP($A783,'CDS-H'!$A:$L,3,FALSE)="","",(VLOOKUP($A783,'CDS-H'!$A:$L,3,FALSE))),"")</f>
        <v/>
      </c>
      <c r="D783" t="inlineStr">
        <is>
          <t>Financial Aid</t>
        </is>
      </c>
      <c r="E783" t="inlineStr">
        <is>
          <t>Non-need-based Aid Awarded</t>
        </is>
      </c>
      <c r="F783" t="inlineStr">
        <is>
          <t>Degree-seeking</t>
        </is>
      </c>
      <c r="G783" t="inlineStr">
        <is>
          <t>Undergraduate</t>
        </is>
      </c>
      <c r="H783" t="inlineStr">
        <is>
          <t>Undergraduates</t>
        </is>
      </c>
      <c r="I783" t="inlineStr">
        <is>
          <t>All</t>
        </is>
      </c>
      <c r="J783" t="inlineStr">
        <is>
          <t>All</t>
        </is>
      </c>
      <c r="K783" t="inlineStr">
        <is>
          <t>All</t>
        </is>
      </c>
      <c r="L783" t="inlineStr">
        <is>
          <t>Nearest $1</t>
        </is>
      </c>
    </row>
    <row r="784">
      <c r="A784" t="inlineStr">
        <is>
          <t>H124</t>
        </is>
      </c>
      <c r="B784" t="inlineStr">
        <is>
          <t>State and other (e.g., institutional) work-study/employment (Note: Excludes Federal Work-Study captured above.)</t>
        </is>
      </c>
      <c r="C784">
        <f>IFERROR(IF(VLOOKUP($A784,'CDS-H'!$A:$L,3,FALSE)="","",(VLOOKUP($A784,'CDS-H'!$A:$L,3,FALSE))),"")</f>
        <v/>
      </c>
      <c r="D784" t="inlineStr">
        <is>
          <t>Financial Aid</t>
        </is>
      </c>
      <c r="E784" t="inlineStr">
        <is>
          <t>Non-need-based Aid Awarded</t>
        </is>
      </c>
      <c r="F784" t="inlineStr">
        <is>
          <t>Degree-seeking</t>
        </is>
      </c>
      <c r="G784" t="inlineStr">
        <is>
          <t>Undergraduate</t>
        </is>
      </c>
      <c r="H784" t="inlineStr">
        <is>
          <t>Undergraduates</t>
        </is>
      </c>
      <c r="I784" t="inlineStr">
        <is>
          <t>All</t>
        </is>
      </c>
      <c r="J784" t="inlineStr">
        <is>
          <t>All</t>
        </is>
      </c>
      <c r="K784" t="inlineStr">
        <is>
          <t>All</t>
        </is>
      </c>
      <c r="L784" t="inlineStr">
        <is>
          <t>Nearest $1</t>
        </is>
      </c>
    </row>
    <row r="785">
      <c r="A785" t="inlineStr">
        <is>
          <t>H125</t>
        </is>
      </c>
      <c r="B785" t="inlineStr">
        <is>
          <t>Total Self-Help</t>
        </is>
      </c>
      <c r="C785">
        <f>IFERROR(IF(VLOOKUP($A785,'CDS-H'!$A:$L,3,FALSE)="","",(VLOOKUP($A785,'CDS-H'!$A:$L,3,FALSE))),"")</f>
        <v/>
      </c>
      <c r="D785" t="inlineStr">
        <is>
          <t>Financial Aid</t>
        </is>
      </c>
      <c r="E785" t="inlineStr">
        <is>
          <t>Non-need-based Aid Awarded</t>
        </is>
      </c>
      <c r="F785" t="inlineStr">
        <is>
          <t>Degree-seeking</t>
        </is>
      </c>
      <c r="G785" t="inlineStr">
        <is>
          <t>Undergraduate</t>
        </is>
      </c>
      <c r="H785" t="inlineStr">
        <is>
          <t>Undergraduates</t>
        </is>
      </c>
      <c r="I785" t="inlineStr">
        <is>
          <t>All</t>
        </is>
      </c>
      <c r="J785" t="inlineStr">
        <is>
          <t>All</t>
        </is>
      </c>
      <c r="K785" t="inlineStr">
        <is>
          <t>All</t>
        </is>
      </c>
      <c r="L785" t="inlineStr">
        <is>
          <t>Nearest $1</t>
        </is>
      </c>
    </row>
    <row r="786">
      <c r="A786" t="inlineStr">
        <is>
          <t>H126</t>
        </is>
      </c>
      <c r="B786" t="inlineStr">
        <is>
          <t>Parent Loans</t>
        </is>
      </c>
      <c r="C786">
        <f>IFERROR(IF(VLOOKUP($A786,'CDS-H'!$A:$L,3,FALSE)="","",(VLOOKUP($A786,'CDS-H'!$A:$L,3,FALSE))),"")</f>
        <v/>
      </c>
      <c r="D786" t="inlineStr">
        <is>
          <t>Financial Aid</t>
        </is>
      </c>
      <c r="E786" t="inlineStr">
        <is>
          <t>Non-need-based Aid Awarded</t>
        </is>
      </c>
      <c r="F786" t="inlineStr">
        <is>
          <t>Degree-seeking</t>
        </is>
      </c>
      <c r="G786" t="inlineStr">
        <is>
          <t>Undergraduate</t>
        </is>
      </c>
      <c r="H786" t="inlineStr">
        <is>
          <t>Undergraduates</t>
        </is>
      </c>
      <c r="I786" t="inlineStr">
        <is>
          <t>All</t>
        </is>
      </c>
      <c r="J786" t="inlineStr">
        <is>
          <t>All</t>
        </is>
      </c>
      <c r="K786" t="inlineStr">
        <is>
          <t>All</t>
        </is>
      </c>
      <c r="L786" t="inlineStr">
        <is>
          <t>Nearest $1</t>
        </is>
      </c>
    </row>
    <row r="787">
      <c r="A787" t="inlineStr">
        <is>
          <t>H127</t>
        </is>
      </c>
      <c r="B787" t="inlineStr">
        <is>
          <t>Tuition Waivers
Note: Reporting is optional. Report tuition waivers in this row if you choose to report them. Do not report tuition waivers elsewhere.</t>
        </is>
      </c>
      <c r="C787">
        <f>IFERROR(IF(VLOOKUP($A787,'CDS-H'!$A:$L,3,FALSE)="","",(VLOOKUP($A787,'CDS-H'!$A:$L,3,FALSE))),"")</f>
        <v/>
      </c>
      <c r="D787" t="inlineStr">
        <is>
          <t>Financial Aid</t>
        </is>
      </c>
      <c r="E787" t="inlineStr">
        <is>
          <t>Non-need-based Aid Awarded</t>
        </is>
      </c>
      <c r="F787" t="inlineStr">
        <is>
          <t>Degree-seeking</t>
        </is>
      </c>
      <c r="G787" t="inlineStr">
        <is>
          <t>Undergraduate</t>
        </is>
      </c>
      <c r="H787" t="inlineStr">
        <is>
          <t>Undergraduates</t>
        </is>
      </c>
      <c r="I787" t="inlineStr">
        <is>
          <t>All</t>
        </is>
      </c>
      <c r="J787" t="inlineStr">
        <is>
          <t>All</t>
        </is>
      </c>
      <c r="K787" t="inlineStr">
        <is>
          <t>All</t>
        </is>
      </c>
      <c r="L787" t="inlineStr">
        <is>
          <t>Nearest $1</t>
        </is>
      </c>
    </row>
    <row r="788">
      <c r="A788" t="inlineStr">
        <is>
          <t>H128</t>
        </is>
      </c>
      <c r="B788" t="inlineStr">
        <is>
          <t>Athletic Awards</t>
        </is>
      </c>
      <c r="C788">
        <f>IFERROR(IF(VLOOKUP($A788,'CDS-H'!$A:$L,3,FALSE)="","",(VLOOKUP($A788,'CDS-H'!$A:$L,3,FALSE))),"")</f>
        <v/>
      </c>
      <c r="D788" t="inlineStr">
        <is>
          <t>Financial Aid</t>
        </is>
      </c>
      <c r="E788" t="inlineStr">
        <is>
          <t>Non-need-based Aid Awarded</t>
        </is>
      </c>
      <c r="F788" t="inlineStr">
        <is>
          <t>Degree-seeking</t>
        </is>
      </c>
      <c r="G788" t="inlineStr">
        <is>
          <t>Undergraduate</t>
        </is>
      </c>
      <c r="H788" t="inlineStr">
        <is>
          <t>Undergraduates</t>
        </is>
      </c>
      <c r="I788" t="inlineStr">
        <is>
          <t>All</t>
        </is>
      </c>
      <c r="J788" t="inlineStr">
        <is>
          <t>All</t>
        </is>
      </c>
      <c r="K788" t="inlineStr">
        <is>
          <t>All</t>
        </is>
      </c>
      <c r="L788" t="inlineStr">
        <is>
          <t>Nearest $1</t>
        </is>
      </c>
    </row>
    <row r="789">
      <c r="A789" t="inlineStr">
        <is>
          <t>H201</t>
        </is>
      </c>
      <c r="B789" t="inlineStr">
        <is>
          <t>A. Number of degree-seeking undergraduate students (CDS Item B1 if reporting on Fall 2024 cohort)</t>
        </is>
      </c>
      <c r="C789">
        <f>IFERROR(IF(VLOOKUP($A789,'CDS-H'!$A:$L,3,FALSE)="","",(VLOOKUP($A789,'CDS-H'!$A:$L,3,FALSE))),"")</f>
        <v/>
      </c>
      <c r="D789" t="inlineStr">
        <is>
          <t>Financial Aid</t>
        </is>
      </c>
      <c r="E789" t="inlineStr">
        <is>
          <t>Students Awarded Aid</t>
        </is>
      </c>
      <c r="F789" t="inlineStr">
        <is>
          <t>Degree-seeking</t>
        </is>
      </c>
      <c r="G789" t="inlineStr">
        <is>
          <t>Undergraduate</t>
        </is>
      </c>
      <c r="H789" t="inlineStr">
        <is>
          <t>First-time, first-year</t>
        </is>
      </c>
      <c r="I789" t="inlineStr">
        <is>
          <t>All</t>
        </is>
      </c>
      <c r="J789" t="inlineStr">
        <is>
          <t>FT</t>
        </is>
      </c>
      <c r="K789" t="inlineStr">
        <is>
          <t>All</t>
        </is>
      </c>
      <c r="L789" t="inlineStr">
        <is>
          <t>Number</t>
        </is>
      </c>
    </row>
    <row r="790">
      <c r="A790" t="inlineStr">
        <is>
          <t>H202</t>
        </is>
      </c>
      <c r="B790" t="inlineStr">
        <is>
          <t>B. Number of students in line a who applied for need-based financial aid</t>
        </is>
      </c>
      <c r="C790">
        <f>IFERROR(IF(VLOOKUP($A790,'CDS-H'!$A:$L,3,FALSE)="","",(VLOOKUP($A790,'CDS-H'!$A:$L,3,FALSE))),"")</f>
        <v/>
      </c>
      <c r="D790" t="inlineStr">
        <is>
          <t>Financial Aid</t>
        </is>
      </c>
      <c r="E790" t="inlineStr">
        <is>
          <t>Students Awarded Aid</t>
        </is>
      </c>
      <c r="F790" t="inlineStr">
        <is>
          <t>Degree-seeking</t>
        </is>
      </c>
      <c r="G790" t="inlineStr">
        <is>
          <t>Undergraduate</t>
        </is>
      </c>
      <c r="H790" t="inlineStr">
        <is>
          <t>First-time, first-year</t>
        </is>
      </c>
      <c r="I790" t="inlineStr">
        <is>
          <t>All</t>
        </is>
      </c>
      <c r="J790" t="inlineStr">
        <is>
          <t>FT</t>
        </is>
      </c>
      <c r="K790" t="inlineStr">
        <is>
          <t>All</t>
        </is>
      </c>
      <c r="L790" t="inlineStr">
        <is>
          <t>Number</t>
        </is>
      </c>
    </row>
    <row r="791">
      <c r="A791" t="inlineStr">
        <is>
          <t>H203</t>
        </is>
      </c>
      <c r="B791" t="inlineStr">
        <is>
          <t>C. Number of students in line b who were determined to have financial need</t>
        </is>
      </c>
      <c r="C791">
        <f>IFERROR(IF(VLOOKUP($A791,'CDS-H'!$A:$L,3,FALSE)="","",(VLOOKUP($A791,'CDS-H'!$A:$L,3,FALSE))),"")</f>
        <v/>
      </c>
      <c r="D791" t="inlineStr">
        <is>
          <t>Financial Aid</t>
        </is>
      </c>
      <c r="E791" t="inlineStr">
        <is>
          <t>Students Awarded Aid</t>
        </is>
      </c>
      <c r="F791" t="inlineStr">
        <is>
          <t>Degree-seeking</t>
        </is>
      </c>
      <c r="G791" t="inlineStr">
        <is>
          <t>Undergraduate</t>
        </is>
      </c>
      <c r="H791" t="inlineStr">
        <is>
          <t>First-time, first-year</t>
        </is>
      </c>
      <c r="I791" t="inlineStr">
        <is>
          <t>All</t>
        </is>
      </c>
      <c r="J791" t="inlineStr">
        <is>
          <t>FT</t>
        </is>
      </c>
      <c r="K791" t="inlineStr">
        <is>
          <t>All</t>
        </is>
      </c>
      <c r="L791" t="inlineStr">
        <is>
          <t>Number</t>
        </is>
      </c>
    </row>
    <row r="792">
      <c r="A792" t="inlineStr">
        <is>
          <t>H204</t>
        </is>
      </c>
      <c r="B792" t="inlineStr">
        <is>
          <t>D. Number of students in line c who were awarded any financial aid</t>
        </is>
      </c>
      <c r="C792">
        <f>IFERROR(IF(VLOOKUP($A792,'CDS-H'!$A:$L,3,FALSE)="","",(VLOOKUP($A792,'CDS-H'!$A:$L,3,FALSE))),"")</f>
        <v/>
      </c>
      <c r="D792" t="inlineStr">
        <is>
          <t>Financial Aid</t>
        </is>
      </c>
      <c r="E792" t="inlineStr">
        <is>
          <t>Students Awarded Aid</t>
        </is>
      </c>
      <c r="F792" t="inlineStr">
        <is>
          <t>Degree-seeking</t>
        </is>
      </c>
      <c r="G792" t="inlineStr">
        <is>
          <t>Undergraduate</t>
        </is>
      </c>
      <c r="H792" t="inlineStr">
        <is>
          <t>First-time, first-year</t>
        </is>
      </c>
      <c r="I792" t="inlineStr">
        <is>
          <t>All</t>
        </is>
      </c>
      <c r="J792" t="inlineStr">
        <is>
          <t>FT</t>
        </is>
      </c>
      <c r="K792" t="inlineStr">
        <is>
          <t>All</t>
        </is>
      </c>
      <c r="L792" t="inlineStr">
        <is>
          <t>Number</t>
        </is>
      </c>
    </row>
    <row r="793">
      <c r="A793" t="inlineStr">
        <is>
          <t>H205</t>
        </is>
      </c>
      <c r="B793" t="inlineStr">
        <is>
          <t>E. Number of students in line d who were awarded any need-based scholarship or grant aid</t>
        </is>
      </c>
      <c r="C793">
        <f>IFERROR(IF(VLOOKUP($A793,'CDS-H'!$A:$L,3,FALSE)="","",(VLOOKUP($A793,'CDS-H'!$A:$L,3,FALSE))),"")</f>
        <v/>
      </c>
      <c r="D793" t="inlineStr">
        <is>
          <t>Financial Aid</t>
        </is>
      </c>
      <c r="E793" t="inlineStr">
        <is>
          <t>Students Awarded Aid</t>
        </is>
      </c>
      <c r="F793" t="inlineStr">
        <is>
          <t>Degree-seeking</t>
        </is>
      </c>
      <c r="G793" t="inlineStr">
        <is>
          <t>Undergraduate</t>
        </is>
      </c>
      <c r="H793" t="inlineStr">
        <is>
          <t>First-time, first-year</t>
        </is>
      </c>
      <c r="I793" t="inlineStr">
        <is>
          <t>All</t>
        </is>
      </c>
      <c r="J793" t="inlineStr">
        <is>
          <t>FT</t>
        </is>
      </c>
      <c r="K793" t="inlineStr">
        <is>
          <t>All</t>
        </is>
      </c>
      <c r="L793" t="inlineStr">
        <is>
          <t>Number</t>
        </is>
      </c>
    </row>
    <row r="794">
      <c r="A794" t="inlineStr">
        <is>
          <t>H206</t>
        </is>
      </c>
      <c r="B794" t="inlineStr">
        <is>
          <t>F. Number of students in line d who were awarded any need-based self-help aid</t>
        </is>
      </c>
      <c r="C794">
        <f>IFERROR(IF(VLOOKUP($A794,'CDS-H'!$A:$L,3,FALSE)="","",(VLOOKUP($A794,'CDS-H'!$A:$L,3,FALSE))),"")</f>
        <v/>
      </c>
      <c r="D794" t="inlineStr">
        <is>
          <t>Financial Aid</t>
        </is>
      </c>
      <c r="E794" t="inlineStr">
        <is>
          <t>Students Awarded Aid</t>
        </is>
      </c>
      <c r="F794" t="inlineStr">
        <is>
          <t>Degree-seeking</t>
        </is>
      </c>
      <c r="G794" t="inlineStr">
        <is>
          <t>Undergraduate</t>
        </is>
      </c>
      <c r="H794" t="inlineStr">
        <is>
          <t>First-time, first-year</t>
        </is>
      </c>
      <c r="I794" t="inlineStr">
        <is>
          <t>All</t>
        </is>
      </c>
      <c r="J794" t="inlineStr">
        <is>
          <t>FT</t>
        </is>
      </c>
      <c r="K794" t="inlineStr">
        <is>
          <t>All</t>
        </is>
      </c>
      <c r="L794" t="inlineStr">
        <is>
          <t>Number</t>
        </is>
      </c>
    </row>
    <row r="795">
      <c r="A795" t="inlineStr">
        <is>
          <t>H207</t>
        </is>
      </c>
      <c r="B795" t="inlineStr">
        <is>
          <t>G. Number of students in line d who were awarded any non-need-based scholarship or grant aid</t>
        </is>
      </c>
      <c r="C795">
        <f>IFERROR(IF(VLOOKUP($A795,'CDS-H'!$A:$L,3,FALSE)="","",(VLOOKUP($A795,'CDS-H'!$A:$L,3,FALSE))),"")</f>
        <v/>
      </c>
      <c r="D795" t="inlineStr">
        <is>
          <t>Financial Aid</t>
        </is>
      </c>
      <c r="E795" t="inlineStr">
        <is>
          <t>Students Awarded Aid</t>
        </is>
      </c>
      <c r="F795" t="inlineStr">
        <is>
          <t>Degree-seeking</t>
        </is>
      </c>
      <c r="G795" t="inlineStr">
        <is>
          <t>Undergraduate</t>
        </is>
      </c>
      <c r="H795" t="inlineStr">
        <is>
          <t>First-time, first-year</t>
        </is>
      </c>
      <c r="I795" t="inlineStr">
        <is>
          <t>All</t>
        </is>
      </c>
      <c r="J795" t="inlineStr">
        <is>
          <t>FT</t>
        </is>
      </c>
      <c r="K795" t="inlineStr">
        <is>
          <t>All</t>
        </is>
      </c>
      <c r="L795" t="inlineStr">
        <is>
          <t>Number</t>
        </is>
      </c>
    </row>
    <row r="796">
      <c r="A796" t="inlineStr">
        <is>
          <t>H208</t>
        </is>
      </c>
      <c r="B796" t="inlineStr">
        <is>
          <t>H. Number of students in line d whose need was fully met (exclude PLUS loans, unsubsidized loans, and private alternative loans)</t>
        </is>
      </c>
      <c r="C796">
        <f>IFERROR(IF(VLOOKUP($A796,'CDS-H'!$A:$L,3,FALSE)="","",(VLOOKUP($A796,'CDS-H'!$A:$L,3,FALSE))),"")</f>
        <v/>
      </c>
      <c r="D796" t="inlineStr">
        <is>
          <t>Financial Aid</t>
        </is>
      </c>
      <c r="E796" t="inlineStr">
        <is>
          <t>Students Awarded Aid</t>
        </is>
      </c>
      <c r="F796" t="inlineStr">
        <is>
          <t>Degree-seeking</t>
        </is>
      </c>
      <c r="G796" t="inlineStr">
        <is>
          <t>Undergraduate</t>
        </is>
      </c>
      <c r="H796" t="inlineStr">
        <is>
          <t>First-time, first-year</t>
        </is>
      </c>
      <c r="I796" t="inlineStr">
        <is>
          <t>All</t>
        </is>
      </c>
      <c r="J796" t="inlineStr">
        <is>
          <t>FT</t>
        </is>
      </c>
      <c r="K796" t="inlineStr">
        <is>
          <t>All</t>
        </is>
      </c>
      <c r="L796" t="inlineStr">
        <is>
          <t>Number</t>
        </is>
      </c>
    </row>
    <row r="797">
      <c r="A797" t="inlineStr">
        <is>
          <t>H209</t>
        </is>
      </c>
      <c r="B797"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797">
        <f>IFERROR(IF(VLOOKUP($A797,'CDS-H'!$A:$L,3,FALSE)="","",(VLOOKUP($A797,'CDS-H'!$A:$L,3,FALSE))),"")</f>
        <v/>
      </c>
      <c r="D797" t="inlineStr">
        <is>
          <t>Financial Aid</t>
        </is>
      </c>
      <c r="E797" t="inlineStr">
        <is>
          <t>Students Awarded Aid</t>
        </is>
      </c>
      <c r="F797" t="inlineStr">
        <is>
          <t>Degree-seeking</t>
        </is>
      </c>
      <c r="G797" t="inlineStr">
        <is>
          <t>Undergraduate</t>
        </is>
      </c>
      <c r="H797" t="inlineStr">
        <is>
          <t>First-time, first-year</t>
        </is>
      </c>
      <c r="I797" t="inlineStr">
        <is>
          <t>All</t>
        </is>
      </c>
      <c r="J797" t="inlineStr">
        <is>
          <t>FT</t>
        </is>
      </c>
      <c r="K797" t="inlineStr">
        <is>
          <t>All</t>
        </is>
      </c>
      <c r="L797" t="inlineStr">
        <is>
          <t>Nearest 1%</t>
        </is>
      </c>
    </row>
    <row r="798">
      <c r="A798" t="inlineStr">
        <is>
          <t>H210</t>
        </is>
      </c>
      <c r="B798" t="inlineStr">
        <is>
          <t>J. The average financial aid package of those in line d. Exclude any resources that were awarded to replace EFC (PLUS loans, unsubsidized loans, and private alternative loans)</t>
        </is>
      </c>
      <c r="C798">
        <f>IFERROR(IF(VLOOKUP($A798,'CDS-H'!$A:$L,3,FALSE)="","",(VLOOKUP($A798,'CDS-H'!$A:$L,3,FALSE))),"")</f>
        <v/>
      </c>
      <c r="D798" t="inlineStr">
        <is>
          <t>Financial Aid</t>
        </is>
      </c>
      <c r="E798" t="inlineStr">
        <is>
          <t>Students Awarded Aid</t>
        </is>
      </c>
      <c r="F798" t="inlineStr">
        <is>
          <t>Degree-seeking</t>
        </is>
      </c>
      <c r="G798" t="inlineStr">
        <is>
          <t>Undergraduate</t>
        </is>
      </c>
      <c r="H798" t="inlineStr">
        <is>
          <t>First-time, first-year</t>
        </is>
      </c>
      <c r="I798" t="inlineStr">
        <is>
          <t>All</t>
        </is>
      </c>
      <c r="J798" t="inlineStr">
        <is>
          <t>FT</t>
        </is>
      </c>
      <c r="K798" t="inlineStr">
        <is>
          <t>All</t>
        </is>
      </c>
      <c r="L798" t="inlineStr">
        <is>
          <t>Nearest $1</t>
        </is>
      </c>
    </row>
    <row r="799">
      <c r="A799" t="inlineStr">
        <is>
          <t>H211</t>
        </is>
      </c>
      <c r="B799" t="inlineStr">
        <is>
          <t>K. Average need-based scholarship and grant award of those in line e</t>
        </is>
      </c>
      <c r="C799">
        <f>IFERROR(IF(VLOOKUP($A799,'CDS-H'!$A:$L,3,FALSE)="","",(VLOOKUP($A799,'CDS-H'!$A:$L,3,FALSE))),"")</f>
        <v/>
      </c>
      <c r="D799" t="inlineStr">
        <is>
          <t>Financial Aid</t>
        </is>
      </c>
      <c r="E799" t="inlineStr">
        <is>
          <t>Students Awarded Aid</t>
        </is>
      </c>
      <c r="F799" t="inlineStr">
        <is>
          <t>Degree-seeking</t>
        </is>
      </c>
      <c r="G799" t="inlineStr">
        <is>
          <t>Undergraduate</t>
        </is>
      </c>
      <c r="H799" t="inlineStr">
        <is>
          <t>First-time, first-year</t>
        </is>
      </c>
      <c r="I799" t="inlineStr">
        <is>
          <t>All</t>
        </is>
      </c>
      <c r="J799" t="inlineStr">
        <is>
          <t>FT</t>
        </is>
      </c>
      <c r="K799" t="inlineStr">
        <is>
          <t>All</t>
        </is>
      </c>
      <c r="L799" t="inlineStr">
        <is>
          <t>Nearest $1</t>
        </is>
      </c>
    </row>
    <row r="800">
      <c r="A800" t="inlineStr">
        <is>
          <t>H212</t>
        </is>
      </c>
      <c r="B800" t="inlineStr">
        <is>
          <t>L. Average need-based self-help award (excluding PLUS loans, unsubsidized loans, and private alternative loans) of those in line f</t>
        </is>
      </c>
      <c r="C800">
        <f>IFERROR(IF(VLOOKUP($A800,'CDS-H'!$A:$L,3,FALSE)="","",(VLOOKUP($A800,'CDS-H'!$A:$L,3,FALSE))),"")</f>
        <v/>
      </c>
      <c r="D800" t="inlineStr">
        <is>
          <t>Financial Aid</t>
        </is>
      </c>
      <c r="E800" t="inlineStr">
        <is>
          <t>Students Awarded Aid</t>
        </is>
      </c>
      <c r="F800" t="inlineStr">
        <is>
          <t>Degree-seeking</t>
        </is>
      </c>
      <c r="G800" t="inlineStr">
        <is>
          <t>Undergraduate</t>
        </is>
      </c>
      <c r="H800" t="inlineStr">
        <is>
          <t>First-time, first-year</t>
        </is>
      </c>
      <c r="I800" t="inlineStr">
        <is>
          <t>All</t>
        </is>
      </c>
      <c r="J800" t="inlineStr">
        <is>
          <t>FT</t>
        </is>
      </c>
      <c r="K800" t="inlineStr">
        <is>
          <t>All</t>
        </is>
      </c>
      <c r="L800" t="inlineStr">
        <is>
          <t>Nearest $1</t>
        </is>
      </c>
    </row>
    <row r="801">
      <c r="A801" t="inlineStr">
        <is>
          <t>H213</t>
        </is>
      </c>
      <c r="B801" t="inlineStr">
        <is>
          <t>M. Average need-based loan (excluding PLUS loans, unsubsidized loans, and private alternative loans) of those in line f who were awarded a need-based loan</t>
        </is>
      </c>
      <c r="C801">
        <f>IFERROR(IF(VLOOKUP($A801,'CDS-H'!$A:$L,3,FALSE)="","",(VLOOKUP($A801,'CDS-H'!$A:$L,3,FALSE))),"")</f>
        <v/>
      </c>
      <c r="D801" t="inlineStr">
        <is>
          <t>Financial Aid</t>
        </is>
      </c>
      <c r="E801" t="inlineStr">
        <is>
          <t>Students Awarded Aid</t>
        </is>
      </c>
      <c r="F801" t="inlineStr">
        <is>
          <t>Degree-seeking</t>
        </is>
      </c>
      <c r="G801" t="inlineStr">
        <is>
          <t>Undergraduate</t>
        </is>
      </c>
      <c r="H801" t="inlineStr">
        <is>
          <t>First-time, first-year</t>
        </is>
      </c>
      <c r="I801" t="inlineStr">
        <is>
          <t>All</t>
        </is>
      </c>
      <c r="J801" t="inlineStr">
        <is>
          <t>FT</t>
        </is>
      </c>
      <c r="K801" t="inlineStr">
        <is>
          <t>All</t>
        </is>
      </c>
      <c r="L801" t="inlineStr">
        <is>
          <t>Nearest $1</t>
        </is>
      </c>
    </row>
    <row r="802">
      <c r="A802" t="inlineStr">
        <is>
          <t>H214</t>
        </is>
      </c>
      <c r="B802" t="inlineStr">
        <is>
          <t>A. Number of degree-seeking undergraduate students (CDS Item B1 if reporting on Fall 2024 cohort)</t>
        </is>
      </c>
      <c r="C802">
        <f>IFERROR(IF(VLOOKUP($A802,'CDS-H'!$A:$L,3,FALSE)="","",(VLOOKUP($A802,'CDS-H'!$A:$L,3,FALSE))),"")</f>
        <v/>
      </c>
      <c r="D802" t="inlineStr">
        <is>
          <t>Financial Aid</t>
        </is>
      </c>
      <c r="E802" t="inlineStr">
        <is>
          <t>Students Awarded Aid</t>
        </is>
      </c>
      <c r="F802" t="inlineStr">
        <is>
          <t>Degree-seeking</t>
        </is>
      </c>
      <c r="G802" t="inlineStr">
        <is>
          <t>Undergraduate</t>
        </is>
      </c>
      <c r="H802" t="inlineStr">
        <is>
          <t>Undergraduates</t>
        </is>
      </c>
      <c r="I802" t="inlineStr">
        <is>
          <t>All</t>
        </is>
      </c>
      <c r="J802" t="inlineStr">
        <is>
          <t>FT</t>
        </is>
      </c>
      <c r="K802" t="inlineStr">
        <is>
          <t>All</t>
        </is>
      </c>
      <c r="L802" t="inlineStr">
        <is>
          <t>Number</t>
        </is>
      </c>
    </row>
    <row r="803">
      <c r="A803" t="inlineStr">
        <is>
          <t>H215</t>
        </is>
      </c>
      <c r="B803" t="inlineStr">
        <is>
          <t>B. Number of students in line a who applied for need-based financial aid</t>
        </is>
      </c>
      <c r="C803">
        <f>IFERROR(IF(VLOOKUP($A803,'CDS-H'!$A:$L,3,FALSE)="","",(VLOOKUP($A803,'CDS-H'!$A:$L,3,FALSE))),"")</f>
        <v/>
      </c>
      <c r="D803" t="inlineStr">
        <is>
          <t>Financial Aid</t>
        </is>
      </c>
      <c r="E803" t="inlineStr">
        <is>
          <t>Students Awarded Aid</t>
        </is>
      </c>
      <c r="F803" t="inlineStr">
        <is>
          <t>Degree-seeking</t>
        </is>
      </c>
      <c r="G803" t="inlineStr">
        <is>
          <t>Undergraduate</t>
        </is>
      </c>
      <c r="H803" t="inlineStr">
        <is>
          <t>Undergraduates</t>
        </is>
      </c>
      <c r="I803" t="inlineStr">
        <is>
          <t>All</t>
        </is>
      </c>
      <c r="J803" t="inlineStr">
        <is>
          <t>FT</t>
        </is>
      </c>
      <c r="K803" t="inlineStr">
        <is>
          <t>All</t>
        </is>
      </c>
      <c r="L803" t="inlineStr">
        <is>
          <t>Number</t>
        </is>
      </c>
    </row>
    <row r="804">
      <c r="A804" t="inlineStr">
        <is>
          <t>H216</t>
        </is>
      </c>
      <c r="B804" t="inlineStr">
        <is>
          <t>C. Number of students in line b who were determined to have financial need</t>
        </is>
      </c>
      <c r="C804">
        <f>IFERROR(IF(VLOOKUP($A804,'CDS-H'!$A:$L,3,FALSE)="","",(VLOOKUP($A804,'CDS-H'!$A:$L,3,FALSE))),"")</f>
        <v/>
      </c>
      <c r="D804" t="inlineStr">
        <is>
          <t>Financial Aid</t>
        </is>
      </c>
      <c r="E804" t="inlineStr">
        <is>
          <t>Students Awarded Aid</t>
        </is>
      </c>
      <c r="F804" t="inlineStr">
        <is>
          <t>Degree-seeking</t>
        </is>
      </c>
      <c r="G804" t="inlineStr">
        <is>
          <t>Undergraduate</t>
        </is>
      </c>
      <c r="H804" t="inlineStr">
        <is>
          <t>Undergraduates</t>
        </is>
      </c>
      <c r="I804" t="inlineStr">
        <is>
          <t>All</t>
        </is>
      </c>
      <c r="J804" t="inlineStr">
        <is>
          <t>FT</t>
        </is>
      </c>
      <c r="K804" t="inlineStr">
        <is>
          <t>All</t>
        </is>
      </c>
      <c r="L804" t="inlineStr">
        <is>
          <t>Number</t>
        </is>
      </c>
    </row>
    <row r="805">
      <c r="A805" t="inlineStr">
        <is>
          <t>H217</t>
        </is>
      </c>
      <c r="B805" t="inlineStr">
        <is>
          <t>D. Number of students in line c who were awarded any financial aid</t>
        </is>
      </c>
      <c r="C805">
        <f>IFERROR(IF(VLOOKUP($A805,'CDS-H'!$A:$L,3,FALSE)="","",(VLOOKUP($A805,'CDS-H'!$A:$L,3,FALSE))),"")</f>
        <v/>
      </c>
      <c r="D805" t="inlineStr">
        <is>
          <t>Financial Aid</t>
        </is>
      </c>
      <c r="E805" t="inlineStr">
        <is>
          <t>Students Awarded Aid</t>
        </is>
      </c>
      <c r="F805" t="inlineStr">
        <is>
          <t>Degree-seeking</t>
        </is>
      </c>
      <c r="G805" t="inlineStr">
        <is>
          <t>Undergraduate</t>
        </is>
      </c>
      <c r="H805" t="inlineStr">
        <is>
          <t>Undergraduates</t>
        </is>
      </c>
      <c r="I805" t="inlineStr">
        <is>
          <t>All</t>
        </is>
      </c>
      <c r="J805" t="inlineStr">
        <is>
          <t>FT</t>
        </is>
      </c>
      <c r="K805" t="inlineStr">
        <is>
          <t>All</t>
        </is>
      </c>
      <c r="L805" t="inlineStr">
        <is>
          <t>Number</t>
        </is>
      </c>
    </row>
    <row r="806">
      <c r="A806" t="inlineStr">
        <is>
          <t>H218</t>
        </is>
      </c>
      <c r="B806" t="inlineStr">
        <is>
          <t>E. Number of students in line d who were awarded any need-based scholarship or grant aid</t>
        </is>
      </c>
      <c r="C806">
        <f>IFERROR(IF(VLOOKUP($A806,'CDS-H'!$A:$L,3,FALSE)="","",(VLOOKUP($A806,'CDS-H'!$A:$L,3,FALSE))),"")</f>
        <v/>
      </c>
      <c r="D806" t="inlineStr">
        <is>
          <t>Financial Aid</t>
        </is>
      </c>
      <c r="E806" t="inlineStr">
        <is>
          <t>Students Awarded Aid</t>
        </is>
      </c>
      <c r="F806" t="inlineStr">
        <is>
          <t>Degree-seeking</t>
        </is>
      </c>
      <c r="G806" t="inlineStr">
        <is>
          <t>Undergraduate</t>
        </is>
      </c>
      <c r="H806" t="inlineStr">
        <is>
          <t>Undergraduates</t>
        </is>
      </c>
      <c r="I806" t="inlineStr">
        <is>
          <t>All</t>
        </is>
      </c>
      <c r="J806" t="inlineStr">
        <is>
          <t>FT</t>
        </is>
      </c>
      <c r="K806" t="inlineStr">
        <is>
          <t>All</t>
        </is>
      </c>
      <c r="L806" t="inlineStr">
        <is>
          <t>Number</t>
        </is>
      </c>
    </row>
    <row r="807">
      <c r="A807" t="inlineStr">
        <is>
          <t>H219</t>
        </is>
      </c>
      <c r="B807" t="inlineStr">
        <is>
          <t>F. Number of students in line d who were awarded any need-based self-help aid</t>
        </is>
      </c>
      <c r="C807">
        <f>IFERROR(IF(VLOOKUP($A807,'CDS-H'!$A:$L,3,FALSE)="","",(VLOOKUP($A807,'CDS-H'!$A:$L,3,FALSE))),"")</f>
        <v/>
      </c>
      <c r="D807" t="inlineStr">
        <is>
          <t>Financial Aid</t>
        </is>
      </c>
      <c r="E807" t="inlineStr">
        <is>
          <t>Students Awarded Aid</t>
        </is>
      </c>
      <c r="F807" t="inlineStr">
        <is>
          <t>Degree-seeking</t>
        </is>
      </c>
      <c r="G807" t="inlineStr">
        <is>
          <t>Undergraduate</t>
        </is>
      </c>
      <c r="H807" t="inlineStr">
        <is>
          <t>Undergraduates</t>
        </is>
      </c>
      <c r="I807" t="inlineStr">
        <is>
          <t>All</t>
        </is>
      </c>
      <c r="J807" t="inlineStr">
        <is>
          <t>FT</t>
        </is>
      </c>
      <c r="K807" t="inlineStr">
        <is>
          <t>All</t>
        </is>
      </c>
      <c r="L807" t="inlineStr">
        <is>
          <t>Number</t>
        </is>
      </c>
    </row>
    <row r="808">
      <c r="A808" t="inlineStr">
        <is>
          <t>H220</t>
        </is>
      </c>
      <c r="B808" t="inlineStr">
        <is>
          <t>G. Number of students in line d who were awarded any non-need-based scholarship or grant aid</t>
        </is>
      </c>
      <c r="C808">
        <f>IFERROR(IF(VLOOKUP($A808,'CDS-H'!$A:$L,3,FALSE)="","",(VLOOKUP($A808,'CDS-H'!$A:$L,3,FALSE))),"")</f>
        <v/>
      </c>
      <c r="D808" t="inlineStr">
        <is>
          <t>Financial Aid</t>
        </is>
      </c>
      <c r="E808" t="inlineStr">
        <is>
          <t>Students Awarded Aid</t>
        </is>
      </c>
      <c r="F808" t="inlineStr">
        <is>
          <t>Degree-seeking</t>
        </is>
      </c>
      <c r="G808" t="inlineStr">
        <is>
          <t>Undergraduate</t>
        </is>
      </c>
      <c r="H808" t="inlineStr">
        <is>
          <t>Undergraduates</t>
        </is>
      </c>
      <c r="I808" t="inlineStr">
        <is>
          <t>All</t>
        </is>
      </c>
      <c r="J808" t="inlineStr">
        <is>
          <t>FT</t>
        </is>
      </c>
      <c r="K808" t="inlineStr">
        <is>
          <t>All</t>
        </is>
      </c>
      <c r="L808" t="inlineStr">
        <is>
          <t>Number</t>
        </is>
      </c>
    </row>
    <row r="809">
      <c r="A809" t="inlineStr">
        <is>
          <t>H221</t>
        </is>
      </c>
      <c r="B809" t="inlineStr">
        <is>
          <t>H. Number of students in line d whose need was fully met (exclude PLUS loans, unsubsidized loans, and private alternative loans)</t>
        </is>
      </c>
      <c r="C809">
        <f>IFERROR(IF(VLOOKUP($A809,'CDS-H'!$A:$L,3,FALSE)="","",(VLOOKUP($A809,'CDS-H'!$A:$L,3,FALSE))),"")</f>
        <v/>
      </c>
      <c r="D809" t="inlineStr">
        <is>
          <t>Financial Aid</t>
        </is>
      </c>
      <c r="E809" t="inlineStr">
        <is>
          <t>Students Awarded Aid</t>
        </is>
      </c>
      <c r="F809" t="inlineStr">
        <is>
          <t>Degree-seeking</t>
        </is>
      </c>
      <c r="G809" t="inlineStr">
        <is>
          <t>Undergraduate</t>
        </is>
      </c>
      <c r="H809" t="inlineStr">
        <is>
          <t>Undergraduates</t>
        </is>
      </c>
      <c r="I809" t="inlineStr">
        <is>
          <t>All</t>
        </is>
      </c>
      <c r="J809" t="inlineStr">
        <is>
          <t>FT</t>
        </is>
      </c>
      <c r="K809" t="inlineStr">
        <is>
          <t>All</t>
        </is>
      </c>
      <c r="L809" t="inlineStr">
        <is>
          <t>Number</t>
        </is>
      </c>
    </row>
    <row r="810">
      <c r="A810" t="inlineStr">
        <is>
          <t>H222</t>
        </is>
      </c>
      <c r="B810"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810">
        <f>IFERROR(IF(VLOOKUP($A810,'CDS-H'!$A:$L,3,FALSE)="","",(VLOOKUP($A810,'CDS-H'!$A:$L,3,FALSE))),"")</f>
        <v/>
      </c>
      <c r="D810" t="inlineStr">
        <is>
          <t>Financial Aid</t>
        </is>
      </c>
      <c r="E810" t="inlineStr">
        <is>
          <t>Students Awarded Aid</t>
        </is>
      </c>
      <c r="F810" t="inlineStr">
        <is>
          <t>Degree-seeking</t>
        </is>
      </c>
      <c r="G810" t="inlineStr">
        <is>
          <t>Undergraduate</t>
        </is>
      </c>
      <c r="H810" t="inlineStr">
        <is>
          <t>Undergraduates</t>
        </is>
      </c>
      <c r="I810" t="inlineStr">
        <is>
          <t>All</t>
        </is>
      </c>
      <c r="J810" t="inlineStr">
        <is>
          <t>FT</t>
        </is>
      </c>
      <c r="K810" t="inlineStr">
        <is>
          <t>All</t>
        </is>
      </c>
      <c r="L810" t="inlineStr">
        <is>
          <t>Nearest 1%</t>
        </is>
      </c>
    </row>
    <row r="811">
      <c r="A811" t="inlineStr">
        <is>
          <t>H223</t>
        </is>
      </c>
      <c r="B811" t="inlineStr">
        <is>
          <t>J. The average financial aid package of those in line d. Exclude any resources that were awarded to replace EFC (PLUS loans, unsubsidized loans, and private alternative loans)</t>
        </is>
      </c>
      <c r="C811">
        <f>IFERROR(IF(VLOOKUP($A811,'CDS-H'!$A:$L,3,FALSE)="","",(VLOOKUP($A811,'CDS-H'!$A:$L,3,FALSE))),"")</f>
        <v/>
      </c>
      <c r="D811" t="inlineStr">
        <is>
          <t>Financial Aid</t>
        </is>
      </c>
      <c r="E811" t="inlineStr">
        <is>
          <t>Students Awarded Aid</t>
        </is>
      </c>
      <c r="F811" t="inlineStr">
        <is>
          <t>Degree-seeking</t>
        </is>
      </c>
      <c r="G811" t="inlineStr">
        <is>
          <t>Undergraduate</t>
        </is>
      </c>
      <c r="H811" t="inlineStr">
        <is>
          <t>Undergraduates</t>
        </is>
      </c>
      <c r="I811" t="inlineStr">
        <is>
          <t>All</t>
        </is>
      </c>
      <c r="J811" t="inlineStr">
        <is>
          <t>FT</t>
        </is>
      </c>
      <c r="K811" t="inlineStr">
        <is>
          <t>All</t>
        </is>
      </c>
      <c r="L811" t="inlineStr">
        <is>
          <t>Nearest $1</t>
        </is>
      </c>
    </row>
    <row r="812">
      <c r="A812" t="inlineStr">
        <is>
          <t>H224</t>
        </is>
      </c>
      <c r="B812" t="inlineStr">
        <is>
          <t>K. Average need-based scholarship and grant award of those in line e</t>
        </is>
      </c>
      <c r="C812">
        <f>IFERROR(IF(VLOOKUP($A812,'CDS-H'!$A:$L,3,FALSE)="","",(VLOOKUP($A812,'CDS-H'!$A:$L,3,FALSE))),"")</f>
        <v/>
      </c>
      <c r="D812" t="inlineStr">
        <is>
          <t>Financial Aid</t>
        </is>
      </c>
      <c r="E812" t="inlineStr">
        <is>
          <t>Students Awarded Aid</t>
        </is>
      </c>
      <c r="F812" t="inlineStr">
        <is>
          <t>Degree-seeking</t>
        </is>
      </c>
      <c r="G812" t="inlineStr">
        <is>
          <t>Undergraduate</t>
        </is>
      </c>
      <c r="H812" t="inlineStr">
        <is>
          <t>Undergraduates</t>
        </is>
      </c>
      <c r="I812" t="inlineStr">
        <is>
          <t>All</t>
        </is>
      </c>
      <c r="J812" t="inlineStr">
        <is>
          <t>FT</t>
        </is>
      </c>
      <c r="K812" t="inlineStr">
        <is>
          <t>All</t>
        </is>
      </c>
      <c r="L812" t="inlineStr">
        <is>
          <t>Nearest $1</t>
        </is>
      </c>
    </row>
    <row r="813">
      <c r="A813" t="inlineStr">
        <is>
          <t>H225</t>
        </is>
      </c>
      <c r="B813" t="inlineStr">
        <is>
          <t>L. Average need-based self-help award (excluding PLUS loans, unsubsidized loans, and private alternative loans) of those in line f</t>
        </is>
      </c>
      <c r="C813">
        <f>IFERROR(IF(VLOOKUP($A813,'CDS-H'!$A:$L,3,FALSE)="","",(VLOOKUP($A813,'CDS-H'!$A:$L,3,FALSE))),"")</f>
        <v/>
      </c>
      <c r="D813" t="inlineStr">
        <is>
          <t>Financial Aid</t>
        </is>
      </c>
      <c r="E813" t="inlineStr">
        <is>
          <t>Students Awarded Aid</t>
        </is>
      </c>
      <c r="F813" t="inlineStr">
        <is>
          <t>Degree-seeking</t>
        </is>
      </c>
      <c r="G813" t="inlineStr">
        <is>
          <t>Undergraduate</t>
        </is>
      </c>
      <c r="H813" t="inlineStr">
        <is>
          <t>Undergraduates</t>
        </is>
      </c>
      <c r="I813" t="inlineStr">
        <is>
          <t>All</t>
        </is>
      </c>
      <c r="J813" t="inlineStr">
        <is>
          <t>FT</t>
        </is>
      </c>
      <c r="K813" t="inlineStr">
        <is>
          <t>All</t>
        </is>
      </c>
      <c r="L813" t="inlineStr">
        <is>
          <t>Nearest $1</t>
        </is>
      </c>
    </row>
    <row r="814">
      <c r="A814" t="inlineStr">
        <is>
          <t>H226</t>
        </is>
      </c>
      <c r="B814" t="inlineStr">
        <is>
          <t>M. Average need-based loan (excluding PLUS loans, unsubsidized loans, and private alternative loans) of those in line f who were awarded a need-based loan</t>
        </is>
      </c>
      <c r="C814">
        <f>IFERROR(IF(VLOOKUP($A814,'CDS-H'!$A:$L,3,FALSE)="","",(VLOOKUP($A814,'CDS-H'!$A:$L,3,FALSE))),"")</f>
        <v/>
      </c>
      <c r="D814" t="inlineStr">
        <is>
          <t>Financial Aid</t>
        </is>
      </c>
      <c r="E814" t="inlineStr">
        <is>
          <t>Students Awarded Aid</t>
        </is>
      </c>
      <c r="F814" t="inlineStr">
        <is>
          <t>Degree-seeking</t>
        </is>
      </c>
      <c r="G814" t="inlineStr">
        <is>
          <t>Undergraduate</t>
        </is>
      </c>
      <c r="H814" t="inlineStr">
        <is>
          <t>Undergraduates</t>
        </is>
      </c>
      <c r="I814" t="inlineStr">
        <is>
          <t>All</t>
        </is>
      </c>
      <c r="J814" t="inlineStr">
        <is>
          <t>FT</t>
        </is>
      </c>
      <c r="K814" t="inlineStr">
        <is>
          <t>All</t>
        </is>
      </c>
      <c r="L814" t="inlineStr">
        <is>
          <t>Nearest $1</t>
        </is>
      </c>
    </row>
    <row r="815">
      <c r="A815" t="inlineStr">
        <is>
          <t>H227</t>
        </is>
      </c>
      <c r="B815" t="inlineStr">
        <is>
          <t>A. Number of degree-seeking undergraduate students (CDS Item B1 if reporting on Fall 2024 cohort)</t>
        </is>
      </c>
      <c r="C815">
        <f>IFERROR(IF(VLOOKUP($A815,'CDS-H'!$A:$L,3,FALSE)="","",(VLOOKUP($A815,'CDS-H'!$A:$L,3,FALSE))),"")</f>
        <v/>
      </c>
      <c r="D815" t="inlineStr">
        <is>
          <t>Financial Aid</t>
        </is>
      </c>
      <c r="E815" t="inlineStr">
        <is>
          <t>Students Awarded Aid</t>
        </is>
      </c>
      <c r="F815" t="inlineStr">
        <is>
          <t>Degree-seeking</t>
        </is>
      </c>
      <c r="G815" t="inlineStr">
        <is>
          <t>Undergraduate</t>
        </is>
      </c>
      <c r="H815" t="inlineStr">
        <is>
          <t>Undergraduates</t>
        </is>
      </c>
      <c r="I815" t="inlineStr">
        <is>
          <t>All</t>
        </is>
      </c>
      <c r="J815" t="inlineStr">
        <is>
          <t>PT</t>
        </is>
      </c>
      <c r="K815" t="inlineStr">
        <is>
          <t>All</t>
        </is>
      </c>
      <c r="L815" t="inlineStr">
        <is>
          <t>Number</t>
        </is>
      </c>
    </row>
    <row r="816">
      <c r="A816" t="inlineStr">
        <is>
          <t>H228</t>
        </is>
      </c>
      <c r="B816" t="inlineStr">
        <is>
          <t>B. Number of students in line a who applied for need-based financial aid</t>
        </is>
      </c>
      <c r="C816">
        <f>IFERROR(IF(VLOOKUP($A816,'CDS-H'!$A:$L,3,FALSE)="","",(VLOOKUP($A816,'CDS-H'!$A:$L,3,FALSE))),"")</f>
        <v/>
      </c>
      <c r="D816" t="inlineStr">
        <is>
          <t>Financial Aid</t>
        </is>
      </c>
      <c r="E816" t="inlineStr">
        <is>
          <t>Students Awarded Aid</t>
        </is>
      </c>
      <c r="F816" t="inlineStr">
        <is>
          <t>Degree-seeking</t>
        </is>
      </c>
      <c r="G816" t="inlineStr">
        <is>
          <t>Undergraduate</t>
        </is>
      </c>
      <c r="H816" t="inlineStr">
        <is>
          <t>Undergraduates</t>
        </is>
      </c>
      <c r="I816" t="inlineStr">
        <is>
          <t>All</t>
        </is>
      </c>
      <c r="J816" t="inlineStr">
        <is>
          <t>PT</t>
        </is>
      </c>
      <c r="K816" t="inlineStr">
        <is>
          <t>All</t>
        </is>
      </c>
      <c r="L816" t="inlineStr">
        <is>
          <t>Number</t>
        </is>
      </c>
    </row>
    <row r="817">
      <c r="A817" t="inlineStr">
        <is>
          <t>H229</t>
        </is>
      </c>
      <c r="B817" t="inlineStr">
        <is>
          <t>C. Number of students in line b who were determined to have financial need</t>
        </is>
      </c>
      <c r="C817">
        <f>IFERROR(IF(VLOOKUP($A817,'CDS-H'!$A:$L,3,FALSE)="","",(VLOOKUP($A817,'CDS-H'!$A:$L,3,FALSE))),"")</f>
        <v/>
      </c>
      <c r="D817" t="inlineStr">
        <is>
          <t>Financial Aid</t>
        </is>
      </c>
      <c r="E817" t="inlineStr">
        <is>
          <t>Students Awarded Aid</t>
        </is>
      </c>
      <c r="F817" t="inlineStr">
        <is>
          <t>Degree-seeking</t>
        </is>
      </c>
      <c r="G817" t="inlineStr">
        <is>
          <t>Undergraduate</t>
        </is>
      </c>
      <c r="H817" t="inlineStr">
        <is>
          <t>Undergraduates</t>
        </is>
      </c>
      <c r="I817" t="inlineStr">
        <is>
          <t>All</t>
        </is>
      </c>
      <c r="J817" t="inlineStr">
        <is>
          <t>PT</t>
        </is>
      </c>
      <c r="K817" t="inlineStr">
        <is>
          <t>All</t>
        </is>
      </c>
      <c r="L817" t="inlineStr">
        <is>
          <t>Number</t>
        </is>
      </c>
    </row>
    <row r="818">
      <c r="A818" t="inlineStr">
        <is>
          <t>H230</t>
        </is>
      </c>
      <c r="B818" t="inlineStr">
        <is>
          <t>D. Number of students in line c who were awarded any financial aid</t>
        </is>
      </c>
      <c r="C818">
        <f>IFERROR(IF(VLOOKUP($A818,'CDS-H'!$A:$L,3,FALSE)="","",(VLOOKUP($A818,'CDS-H'!$A:$L,3,FALSE))),"")</f>
        <v/>
      </c>
      <c r="D818" t="inlineStr">
        <is>
          <t>Financial Aid</t>
        </is>
      </c>
      <c r="E818" t="inlineStr">
        <is>
          <t>Students Awarded Aid</t>
        </is>
      </c>
      <c r="F818" t="inlineStr">
        <is>
          <t>Degree-seeking</t>
        </is>
      </c>
      <c r="G818" t="inlineStr">
        <is>
          <t>Undergraduate</t>
        </is>
      </c>
      <c r="H818" t="inlineStr">
        <is>
          <t>Undergraduates</t>
        </is>
      </c>
      <c r="I818" t="inlineStr">
        <is>
          <t>All</t>
        </is>
      </c>
      <c r="J818" t="inlineStr">
        <is>
          <t>PT</t>
        </is>
      </c>
      <c r="K818" t="inlineStr">
        <is>
          <t>All</t>
        </is>
      </c>
      <c r="L818" t="inlineStr">
        <is>
          <t>Number</t>
        </is>
      </c>
    </row>
    <row r="819">
      <c r="A819" t="inlineStr">
        <is>
          <t>H231</t>
        </is>
      </c>
      <c r="B819" t="inlineStr">
        <is>
          <t>E. Number of students in line d who were awarded any need-based scholarship or grant aid</t>
        </is>
      </c>
      <c r="C819">
        <f>IFERROR(IF(VLOOKUP($A819,'CDS-H'!$A:$L,3,FALSE)="","",(VLOOKUP($A819,'CDS-H'!$A:$L,3,FALSE))),"")</f>
        <v/>
      </c>
      <c r="D819" t="inlineStr">
        <is>
          <t>Financial Aid</t>
        </is>
      </c>
      <c r="E819" t="inlineStr">
        <is>
          <t>Students Awarded Aid</t>
        </is>
      </c>
      <c r="F819" t="inlineStr">
        <is>
          <t>Degree-seeking</t>
        </is>
      </c>
      <c r="G819" t="inlineStr">
        <is>
          <t>Undergraduate</t>
        </is>
      </c>
      <c r="H819" t="inlineStr">
        <is>
          <t>Undergraduates</t>
        </is>
      </c>
      <c r="I819" t="inlineStr">
        <is>
          <t>All</t>
        </is>
      </c>
      <c r="J819" t="inlineStr">
        <is>
          <t>PT</t>
        </is>
      </c>
      <c r="K819" t="inlineStr">
        <is>
          <t>All</t>
        </is>
      </c>
      <c r="L819" t="inlineStr">
        <is>
          <t>Number</t>
        </is>
      </c>
    </row>
    <row r="820">
      <c r="A820" t="inlineStr">
        <is>
          <t>H232</t>
        </is>
      </c>
      <c r="B820" t="inlineStr">
        <is>
          <t>F. Number of students in line d who were awarded any need-based self-help aid</t>
        </is>
      </c>
      <c r="C820">
        <f>IFERROR(IF(VLOOKUP($A820,'CDS-H'!$A:$L,3,FALSE)="","",(VLOOKUP($A820,'CDS-H'!$A:$L,3,FALSE))),"")</f>
        <v/>
      </c>
      <c r="D820" t="inlineStr">
        <is>
          <t>Financial Aid</t>
        </is>
      </c>
      <c r="E820" t="inlineStr">
        <is>
          <t>Students Awarded Aid</t>
        </is>
      </c>
      <c r="F820" t="inlineStr">
        <is>
          <t>Degree-seeking</t>
        </is>
      </c>
      <c r="G820" t="inlineStr">
        <is>
          <t>Undergraduate</t>
        </is>
      </c>
      <c r="H820" t="inlineStr">
        <is>
          <t>Undergraduates</t>
        </is>
      </c>
      <c r="I820" t="inlineStr">
        <is>
          <t>All</t>
        </is>
      </c>
      <c r="J820" t="inlineStr">
        <is>
          <t>PT</t>
        </is>
      </c>
      <c r="K820" t="inlineStr">
        <is>
          <t>All</t>
        </is>
      </c>
      <c r="L820" t="inlineStr">
        <is>
          <t>Number</t>
        </is>
      </c>
    </row>
    <row r="821">
      <c r="A821" t="inlineStr">
        <is>
          <t>H233</t>
        </is>
      </c>
      <c r="B821" t="inlineStr">
        <is>
          <t>G. Number of students in line d who were awarded any non-need-based scholarship or grant aid</t>
        </is>
      </c>
      <c r="C821">
        <f>IFERROR(IF(VLOOKUP($A821,'CDS-H'!$A:$L,3,FALSE)="","",(VLOOKUP($A821,'CDS-H'!$A:$L,3,FALSE))),"")</f>
        <v/>
      </c>
      <c r="D821" t="inlineStr">
        <is>
          <t>Financial Aid</t>
        </is>
      </c>
      <c r="E821" t="inlineStr">
        <is>
          <t>Students Awarded Aid</t>
        </is>
      </c>
      <c r="F821" t="inlineStr">
        <is>
          <t>Degree-seeking</t>
        </is>
      </c>
      <c r="G821" t="inlineStr">
        <is>
          <t>Undergraduate</t>
        </is>
      </c>
      <c r="H821" t="inlineStr">
        <is>
          <t>Undergraduates</t>
        </is>
      </c>
      <c r="I821" t="inlineStr">
        <is>
          <t>All</t>
        </is>
      </c>
      <c r="J821" t="inlineStr">
        <is>
          <t>PT</t>
        </is>
      </c>
      <c r="K821" t="inlineStr">
        <is>
          <t>All</t>
        </is>
      </c>
      <c r="L821" t="inlineStr">
        <is>
          <t>Number</t>
        </is>
      </c>
    </row>
    <row r="822">
      <c r="A822" t="inlineStr">
        <is>
          <t>H234</t>
        </is>
      </c>
      <c r="B822" t="inlineStr">
        <is>
          <t>H. Number of students in line d whose need was fully met (exclude PLUS loans, unsubsidized loans, and private alternative loans)</t>
        </is>
      </c>
      <c r="C822">
        <f>IFERROR(IF(VLOOKUP($A822,'CDS-H'!$A:$L,3,FALSE)="","",(VLOOKUP($A822,'CDS-H'!$A:$L,3,FALSE))),"")</f>
        <v/>
      </c>
      <c r="D822" t="inlineStr">
        <is>
          <t>Financial Aid</t>
        </is>
      </c>
      <c r="E822" t="inlineStr">
        <is>
          <t>Students Awarded Aid</t>
        </is>
      </c>
      <c r="F822" t="inlineStr">
        <is>
          <t>Degree-seeking</t>
        </is>
      </c>
      <c r="G822" t="inlineStr">
        <is>
          <t>Undergraduate</t>
        </is>
      </c>
      <c r="H822" t="inlineStr">
        <is>
          <t>Undergraduates</t>
        </is>
      </c>
      <c r="I822" t="inlineStr">
        <is>
          <t>All</t>
        </is>
      </c>
      <c r="J822" t="inlineStr">
        <is>
          <t>PT</t>
        </is>
      </c>
      <c r="K822" t="inlineStr">
        <is>
          <t>All</t>
        </is>
      </c>
      <c r="L822" t="inlineStr">
        <is>
          <t>Number</t>
        </is>
      </c>
    </row>
    <row r="823">
      <c r="A823" t="inlineStr">
        <is>
          <t>H235</t>
        </is>
      </c>
      <c r="B823"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823">
        <f>IFERROR(IF(VLOOKUP($A823,'CDS-H'!$A:$L,3,FALSE)="","",(VLOOKUP($A823,'CDS-H'!$A:$L,3,FALSE))),"")</f>
        <v/>
      </c>
      <c r="D823" t="inlineStr">
        <is>
          <t>Financial Aid</t>
        </is>
      </c>
      <c r="E823" t="inlineStr">
        <is>
          <t>Students Awarded Aid</t>
        </is>
      </c>
      <c r="F823" t="inlineStr">
        <is>
          <t>Degree-seeking</t>
        </is>
      </c>
      <c r="G823" t="inlineStr">
        <is>
          <t>Undergraduate</t>
        </is>
      </c>
      <c r="H823" t="inlineStr">
        <is>
          <t>Undergraduates</t>
        </is>
      </c>
      <c r="I823" t="inlineStr">
        <is>
          <t>All</t>
        </is>
      </c>
      <c r="J823" t="inlineStr">
        <is>
          <t>PT</t>
        </is>
      </c>
      <c r="K823" t="inlineStr">
        <is>
          <t>All</t>
        </is>
      </c>
      <c r="L823" t="inlineStr">
        <is>
          <t>Nearest 1%</t>
        </is>
      </c>
    </row>
    <row r="824">
      <c r="A824" t="inlineStr">
        <is>
          <t>H236</t>
        </is>
      </c>
      <c r="B824" t="inlineStr">
        <is>
          <t>J. The average financial aid package of those in line d. Exclude any resources that were awarded to replace EFC (PLUS loans, unsubsidized loans, and private alternative loans)</t>
        </is>
      </c>
      <c r="C824">
        <f>IFERROR(IF(VLOOKUP($A824,'CDS-H'!$A:$L,3,FALSE)="","",(VLOOKUP($A824,'CDS-H'!$A:$L,3,FALSE))),"")</f>
        <v/>
      </c>
      <c r="D824" t="inlineStr">
        <is>
          <t>Financial Aid</t>
        </is>
      </c>
      <c r="E824" t="inlineStr">
        <is>
          <t>Students Awarded Aid</t>
        </is>
      </c>
      <c r="F824" t="inlineStr">
        <is>
          <t>Degree-seeking</t>
        </is>
      </c>
      <c r="G824" t="inlineStr">
        <is>
          <t>Undergraduate</t>
        </is>
      </c>
      <c r="H824" t="inlineStr">
        <is>
          <t>Undergraduates</t>
        </is>
      </c>
      <c r="I824" t="inlineStr">
        <is>
          <t>All</t>
        </is>
      </c>
      <c r="J824" t="inlineStr">
        <is>
          <t>PT</t>
        </is>
      </c>
      <c r="K824" t="inlineStr">
        <is>
          <t>All</t>
        </is>
      </c>
      <c r="L824" t="inlineStr">
        <is>
          <t>Nearest $1</t>
        </is>
      </c>
    </row>
    <row r="825">
      <c r="A825" t="inlineStr">
        <is>
          <t>H237</t>
        </is>
      </c>
      <c r="B825" t="inlineStr">
        <is>
          <t>K. Average need-based scholarship and grant award of those in line e</t>
        </is>
      </c>
      <c r="C825">
        <f>IFERROR(IF(VLOOKUP($A825,'CDS-H'!$A:$L,3,FALSE)="","",(VLOOKUP($A825,'CDS-H'!$A:$L,3,FALSE))),"")</f>
        <v/>
      </c>
      <c r="D825" t="inlineStr">
        <is>
          <t>Financial Aid</t>
        </is>
      </c>
      <c r="E825" t="inlineStr">
        <is>
          <t>Students Awarded Aid</t>
        </is>
      </c>
      <c r="F825" t="inlineStr">
        <is>
          <t>Degree-seeking</t>
        </is>
      </c>
      <c r="G825" t="inlineStr">
        <is>
          <t>Undergraduate</t>
        </is>
      </c>
      <c r="H825" t="inlineStr">
        <is>
          <t>Undergraduates</t>
        </is>
      </c>
      <c r="I825" t="inlineStr">
        <is>
          <t>All</t>
        </is>
      </c>
      <c r="J825" t="inlineStr">
        <is>
          <t>PT</t>
        </is>
      </c>
      <c r="K825" t="inlineStr">
        <is>
          <t>All</t>
        </is>
      </c>
      <c r="L825" t="inlineStr">
        <is>
          <t>Nearest $1</t>
        </is>
      </c>
    </row>
    <row r="826">
      <c r="A826" t="inlineStr">
        <is>
          <t>H238</t>
        </is>
      </c>
      <c r="B826" t="inlineStr">
        <is>
          <t>L. Average need-based self-help award (excluding PLUS loans, unsubsidized loans, and private alternative loans) of those in line f</t>
        </is>
      </c>
      <c r="C826">
        <f>IFERROR(IF(VLOOKUP($A826,'CDS-H'!$A:$L,3,FALSE)="","",(VLOOKUP($A826,'CDS-H'!$A:$L,3,FALSE))),"")</f>
        <v/>
      </c>
      <c r="D826" t="inlineStr">
        <is>
          <t>Financial Aid</t>
        </is>
      </c>
      <c r="E826" t="inlineStr">
        <is>
          <t>Students Awarded Aid</t>
        </is>
      </c>
      <c r="F826" t="inlineStr">
        <is>
          <t>Degree-seeking</t>
        </is>
      </c>
      <c r="G826" t="inlineStr">
        <is>
          <t>Undergraduate</t>
        </is>
      </c>
      <c r="H826" t="inlineStr">
        <is>
          <t>Undergraduates</t>
        </is>
      </c>
      <c r="I826" t="inlineStr">
        <is>
          <t>All</t>
        </is>
      </c>
      <c r="J826" t="inlineStr">
        <is>
          <t>PT</t>
        </is>
      </c>
      <c r="K826" t="inlineStr">
        <is>
          <t>All</t>
        </is>
      </c>
      <c r="L826" t="inlineStr">
        <is>
          <t>Nearest $1</t>
        </is>
      </c>
    </row>
    <row r="827">
      <c r="A827" t="inlineStr">
        <is>
          <t>H239</t>
        </is>
      </c>
      <c r="B827" t="inlineStr">
        <is>
          <t>M. Average need-based loan (excluding PLUS loans, unsubsidized loans, and private alternative loans) of those in line f who were awarded a need-based loan</t>
        </is>
      </c>
      <c r="C827">
        <f>IFERROR(IF(VLOOKUP($A827,'CDS-H'!$A:$L,3,FALSE)="","",(VLOOKUP($A827,'CDS-H'!$A:$L,3,FALSE))),"")</f>
        <v/>
      </c>
      <c r="D827" t="inlineStr">
        <is>
          <t>Financial Aid</t>
        </is>
      </c>
      <c r="E827" t="inlineStr">
        <is>
          <t>Students Awarded Aid</t>
        </is>
      </c>
      <c r="F827" t="inlineStr">
        <is>
          <t>Degree-seeking</t>
        </is>
      </c>
      <c r="G827" t="inlineStr">
        <is>
          <t>Undergraduate</t>
        </is>
      </c>
      <c r="H827" t="inlineStr">
        <is>
          <t>Undergraduates</t>
        </is>
      </c>
      <c r="I827" t="inlineStr">
        <is>
          <t>All</t>
        </is>
      </c>
      <c r="J827" t="inlineStr">
        <is>
          <t>PT</t>
        </is>
      </c>
      <c r="K827" t="inlineStr">
        <is>
          <t>All</t>
        </is>
      </c>
      <c r="L827" t="inlineStr">
        <is>
          <t>Nearest $1</t>
        </is>
      </c>
    </row>
    <row r="828">
      <c r="A828" t="inlineStr">
        <is>
          <t>H2A01</t>
        </is>
      </c>
      <c r="B828" t="inlineStr">
        <is>
          <t>N. Number of students in line a who had no financial need and who were awarded institutional non-need-based scholarship or grant aid (exclude those who were awarded athletic awards and tuition benefits)</t>
        </is>
      </c>
      <c r="C828">
        <f>IFERROR(IF(VLOOKUP($A828,'CDS-H'!$A:$L,3,FALSE)="","",(VLOOKUP($A828,'CDS-H'!$A:$L,3,FALSE))),"")</f>
        <v/>
      </c>
      <c r="D828" t="inlineStr">
        <is>
          <t>Financial Aid</t>
        </is>
      </c>
      <c r="E828" t="inlineStr">
        <is>
          <t>Students Awarded Non-need-based Aid</t>
        </is>
      </c>
      <c r="F828" t="inlineStr">
        <is>
          <t>Degree-seeking</t>
        </is>
      </c>
      <c r="G828" t="inlineStr">
        <is>
          <t>Undergraduate</t>
        </is>
      </c>
      <c r="H828" t="inlineStr">
        <is>
          <t>First-time, first-year</t>
        </is>
      </c>
      <c r="I828" t="inlineStr">
        <is>
          <t>All</t>
        </is>
      </c>
      <c r="J828" t="inlineStr">
        <is>
          <t>FT</t>
        </is>
      </c>
      <c r="K828" t="inlineStr">
        <is>
          <t>All</t>
        </is>
      </c>
      <c r="L828" t="inlineStr">
        <is>
          <t>Number</t>
        </is>
      </c>
    </row>
    <row r="829">
      <c r="A829" t="inlineStr">
        <is>
          <t>H2A02</t>
        </is>
      </c>
      <c r="B829" t="inlineStr">
        <is>
          <t>O. Average dollar amount of institutional non-need-based scholarship and grant aid awarded to students in line n</t>
        </is>
      </c>
      <c r="C829">
        <f>IFERROR(IF(VLOOKUP($A829,'CDS-H'!$A:$L,3,FALSE)="","",(VLOOKUP($A829,'CDS-H'!$A:$L,3,FALSE))),"")</f>
        <v/>
      </c>
      <c r="D829" t="inlineStr">
        <is>
          <t>Financial Aid</t>
        </is>
      </c>
      <c r="E829" t="inlineStr">
        <is>
          <t>Students Awarded Non-need-based Aid</t>
        </is>
      </c>
      <c r="F829" t="inlineStr">
        <is>
          <t>Degree-seeking</t>
        </is>
      </c>
      <c r="G829" t="inlineStr">
        <is>
          <t>Undergraduate</t>
        </is>
      </c>
      <c r="H829" t="inlineStr">
        <is>
          <t>First-time, first-year</t>
        </is>
      </c>
      <c r="I829" t="inlineStr">
        <is>
          <t>All</t>
        </is>
      </c>
      <c r="J829" t="inlineStr">
        <is>
          <t>FT</t>
        </is>
      </c>
      <c r="K829" t="inlineStr">
        <is>
          <t>All</t>
        </is>
      </c>
      <c r="L829" t="inlineStr">
        <is>
          <t>Nearest $1</t>
        </is>
      </c>
    </row>
    <row r="830">
      <c r="A830" t="inlineStr">
        <is>
          <t>H2A03</t>
        </is>
      </c>
      <c r="B830" t="inlineStr">
        <is>
          <t>P. Number of students in line a who were awarded an institutional non-need-based athletic scholarship or grant</t>
        </is>
      </c>
      <c r="C830">
        <f>IFERROR(IF(VLOOKUP($A830,'CDS-H'!$A:$L,3,FALSE)="","",(VLOOKUP($A830,'CDS-H'!$A:$L,3,FALSE))),"")</f>
        <v/>
      </c>
      <c r="D830" t="inlineStr">
        <is>
          <t>Financial Aid</t>
        </is>
      </c>
      <c r="E830" t="inlineStr">
        <is>
          <t>Students Awarded Non-need-based Aid</t>
        </is>
      </c>
      <c r="F830" t="inlineStr">
        <is>
          <t>Degree-seeking</t>
        </is>
      </c>
      <c r="G830" t="inlineStr">
        <is>
          <t>Undergraduate</t>
        </is>
      </c>
      <c r="H830" t="inlineStr">
        <is>
          <t>First-time, first-year</t>
        </is>
      </c>
      <c r="I830" t="inlineStr">
        <is>
          <t>All</t>
        </is>
      </c>
      <c r="J830" t="inlineStr">
        <is>
          <t>FT</t>
        </is>
      </c>
      <c r="K830" t="inlineStr">
        <is>
          <t>All</t>
        </is>
      </c>
      <c r="L830" t="inlineStr">
        <is>
          <t>Number</t>
        </is>
      </c>
    </row>
    <row r="831">
      <c r="A831" t="inlineStr">
        <is>
          <t>H2A04</t>
        </is>
      </c>
      <c r="B831" t="inlineStr">
        <is>
          <t>Q. Average dollar amount of institutional non-need-based athletic scholarships and grants awarded to students in line p</t>
        </is>
      </c>
      <c r="C831">
        <f>IFERROR(IF(VLOOKUP($A831,'CDS-H'!$A:$L,3,FALSE)="","",(VLOOKUP($A831,'CDS-H'!$A:$L,3,FALSE))),"")</f>
        <v/>
      </c>
      <c r="D831" t="inlineStr">
        <is>
          <t>Financial Aid</t>
        </is>
      </c>
      <c r="E831" t="inlineStr">
        <is>
          <t>Students Awarded Non-need-based Aid</t>
        </is>
      </c>
      <c r="F831" t="inlineStr">
        <is>
          <t>Degree-seeking</t>
        </is>
      </c>
      <c r="G831" t="inlineStr">
        <is>
          <t>Undergraduate</t>
        </is>
      </c>
      <c r="H831" t="inlineStr">
        <is>
          <t>First-time, first-year</t>
        </is>
      </c>
      <c r="I831" t="inlineStr">
        <is>
          <t>All</t>
        </is>
      </c>
      <c r="J831" t="inlineStr">
        <is>
          <t>FT</t>
        </is>
      </c>
      <c r="K831" t="inlineStr">
        <is>
          <t>All</t>
        </is>
      </c>
      <c r="L831" t="inlineStr">
        <is>
          <t>Nearest $1</t>
        </is>
      </c>
    </row>
    <row r="832">
      <c r="A832" t="inlineStr">
        <is>
          <t>H2A05</t>
        </is>
      </c>
      <c r="B832" t="inlineStr">
        <is>
          <t>N. Number of students in line a who had no financial need and who were awarded institutional non-need-based scholarship or grant aid (exclude those who were awarded athletic awards and tuition benefits)</t>
        </is>
      </c>
      <c r="C832">
        <f>IFERROR(IF(VLOOKUP($A832,'CDS-H'!$A:$L,3,FALSE)="","",(VLOOKUP($A832,'CDS-H'!$A:$L,3,FALSE))),"")</f>
        <v/>
      </c>
      <c r="D832" t="inlineStr">
        <is>
          <t>Financial Aid</t>
        </is>
      </c>
      <c r="E832" t="inlineStr">
        <is>
          <t>Students Awarded Non-need-based Aid</t>
        </is>
      </c>
      <c r="F832" t="inlineStr">
        <is>
          <t>Degree-seeking</t>
        </is>
      </c>
      <c r="G832" t="inlineStr">
        <is>
          <t>Undergraduate</t>
        </is>
      </c>
      <c r="H832" t="inlineStr">
        <is>
          <t>Undergraduates</t>
        </is>
      </c>
      <c r="I832" t="inlineStr">
        <is>
          <t>All</t>
        </is>
      </c>
      <c r="J832" t="inlineStr">
        <is>
          <t>FT</t>
        </is>
      </c>
      <c r="K832" t="inlineStr">
        <is>
          <t>All</t>
        </is>
      </c>
      <c r="L832" t="inlineStr">
        <is>
          <t>Number</t>
        </is>
      </c>
    </row>
    <row r="833">
      <c r="A833" t="inlineStr">
        <is>
          <t>H2A06</t>
        </is>
      </c>
      <c r="B833" t="inlineStr">
        <is>
          <t>O. Average dollar amount of institutional non-need-based scholarship and grant aid awarded to students in line n</t>
        </is>
      </c>
      <c r="C833">
        <f>IFERROR(IF(VLOOKUP($A833,'CDS-H'!$A:$L,3,FALSE)="","",(VLOOKUP($A833,'CDS-H'!$A:$L,3,FALSE))),"")</f>
        <v/>
      </c>
      <c r="D833" t="inlineStr">
        <is>
          <t>Financial Aid</t>
        </is>
      </c>
      <c r="E833" t="inlineStr">
        <is>
          <t>Students Awarded Non-need-based Aid</t>
        </is>
      </c>
      <c r="F833" t="inlineStr">
        <is>
          <t>Degree-seeking</t>
        </is>
      </c>
      <c r="G833" t="inlineStr">
        <is>
          <t>Undergraduate</t>
        </is>
      </c>
      <c r="H833" t="inlineStr">
        <is>
          <t>Undergraduates</t>
        </is>
      </c>
      <c r="I833" t="inlineStr">
        <is>
          <t>All</t>
        </is>
      </c>
      <c r="J833" t="inlineStr">
        <is>
          <t>FT</t>
        </is>
      </c>
      <c r="K833" t="inlineStr">
        <is>
          <t>All</t>
        </is>
      </c>
      <c r="L833" t="inlineStr">
        <is>
          <t>Nearest $1</t>
        </is>
      </c>
    </row>
    <row r="834">
      <c r="A834" t="inlineStr">
        <is>
          <t>H2A07</t>
        </is>
      </c>
      <c r="B834" t="inlineStr">
        <is>
          <t>P. Number of students in line a who were awarded an institutional non-need-based athletic scholarship or grant</t>
        </is>
      </c>
      <c r="C834">
        <f>IFERROR(IF(VLOOKUP($A834,'CDS-H'!$A:$L,3,FALSE)="","",(VLOOKUP($A834,'CDS-H'!$A:$L,3,FALSE))),"")</f>
        <v/>
      </c>
      <c r="D834" t="inlineStr">
        <is>
          <t>Financial Aid</t>
        </is>
      </c>
      <c r="E834" t="inlineStr">
        <is>
          <t>Students Awarded Non-need-based Aid</t>
        </is>
      </c>
      <c r="F834" t="inlineStr">
        <is>
          <t>Degree-seeking</t>
        </is>
      </c>
      <c r="G834" t="inlineStr">
        <is>
          <t>Undergraduate</t>
        </is>
      </c>
      <c r="H834" t="inlineStr">
        <is>
          <t>Undergraduates</t>
        </is>
      </c>
      <c r="I834" t="inlineStr">
        <is>
          <t>All</t>
        </is>
      </c>
      <c r="J834" t="inlineStr">
        <is>
          <t>FT</t>
        </is>
      </c>
      <c r="K834" t="inlineStr">
        <is>
          <t>All</t>
        </is>
      </c>
      <c r="L834" t="inlineStr">
        <is>
          <t>Number</t>
        </is>
      </c>
    </row>
    <row r="835">
      <c r="A835" t="inlineStr">
        <is>
          <t>H2A08</t>
        </is>
      </c>
      <c r="B835" t="inlineStr">
        <is>
          <t>Q. Average dollar amount of institutional non-need-based athletic scholarships and grants awarded to students in line p</t>
        </is>
      </c>
      <c r="C835">
        <f>IFERROR(IF(VLOOKUP($A835,'CDS-H'!$A:$L,3,FALSE)="","",(VLOOKUP($A835,'CDS-H'!$A:$L,3,FALSE))),"")</f>
        <v/>
      </c>
      <c r="D835" t="inlineStr">
        <is>
          <t>Financial Aid</t>
        </is>
      </c>
      <c r="E835" t="inlineStr">
        <is>
          <t>Students Awarded Non-need-based Aid</t>
        </is>
      </c>
      <c r="F835" t="inlineStr">
        <is>
          <t>Degree-seeking</t>
        </is>
      </c>
      <c r="G835" t="inlineStr">
        <is>
          <t>Undergraduate</t>
        </is>
      </c>
      <c r="H835" t="inlineStr">
        <is>
          <t>Undergraduates</t>
        </is>
      </c>
      <c r="I835" t="inlineStr">
        <is>
          <t>All</t>
        </is>
      </c>
      <c r="J835" t="inlineStr">
        <is>
          <t>FT</t>
        </is>
      </c>
      <c r="K835" t="inlineStr">
        <is>
          <t>All</t>
        </is>
      </c>
      <c r="L835" t="inlineStr">
        <is>
          <t>Nearest $1</t>
        </is>
      </c>
    </row>
    <row r="836">
      <c r="A836" t="inlineStr">
        <is>
          <t>H2A09</t>
        </is>
      </c>
      <c r="B836" t="inlineStr">
        <is>
          <t>N. Number of students in line a who had no financial need and who were awarded institutional non-need-based scholarship or grant aid (exclude those who were awarded athletic awards and tuition benefits)</t>
        </is>
      </c>
      <c r="C836">
        <f>IFERROR(IF(VLOOKUP($A836,'CDS-H'!$A:$L,3,FALSE)="","",(VLOOKUP($A836,'CDS-H'!$A:$L,3,FALSE))),"")</f>
        <v/>
      </c>
      <c r="D836" t="inlineStr">
        <is>
          <t>Financial Aid</t>
        </is>
      </c>
      <c r="E836" t="inlineStr">
        <is>
          <t>Students Awarded Non-need-based Aid</t>
        </is>
      </c>
      <c r="F836" t="inlineStr">
        <is>
          <t>Degree-seeking</t>
        </is>
      </c>
      <c r="G836" t="inlineStr">
        <is>
          <t>Undergraduate</t>
        </is>
      </c>
      <c r="H836" t="inlineStr">
        <is>
          <t>Undergraduates</t>
        </is>
      </c>
      <c r="I836" t="inlineStr">
        <is>
          <t>All</t>
        </is>
      </c>
      <c r="J836" t="inlineStr">
        <is>
          <t>FT</t>
        </is>
      </c>
      <c r="K836" t="inlineStr">
        <is>
          <t>All</t>
        </is>
      </c>
      <c r="L836" t="inlineStr">
        <is>
          <t>Number</t>
        </is>
      </c>
    </row>
    <row r="837">
      <c r="A837" t="inlineStr">
        <is>
          <t>H2A10</t>
        </is>
      </c>
      <c r="B837" t="inlineStr">
        <is>
          <t>O. Average dollar amount of institutional non-need-based scholarship and grant aid awarded to students in line n</t>
        </is>
      </c>
      <c r="C837">
        <f>IFERROR(IF(VLOOKUP($A837,'CDS-H'!$A:$L,3,FALSE)="","",(VLOOKUP($A837,'CDS-H'!$A:$L,3,FALSE))),"")</f>
        <v/>
      </c>
      <c r="D837" t="inlineStr">
        <is>
          <t>Financial Aid</t>
        </is>
      </c>
      <c r="E837" t="inlineStr">
        <is>
          <t>Students Awarded Non-need-based Aid</t>
        </is>
      </c>
      <c r="F837" t="inlineStr">
        <is>
          <t>Degree-seeking</t>
        </is>
      </c>
      <c r="G837" t="inlineStr">
        <is>
          <t>Undergraduate</t>
        </is>
      </c>
      <c r="H837" t="inlineStr">
        <is>
          <t>Undergraduates</t>
        </is>
      </c>
      <c r="I837" t="inlineStr">
        <is>
          <t>All</t>
        </is>
      </c>
      <c r="J837" t="inlineStr">
        <is>
          <t>FT</t>
        </is>
      </c>
      <c r="K837" t="inlineStr">
        <is>
          <t>All</t>
        </is>
      </c>
      <c r="L837" t="inlineStr">
        <is>
          <t>Nearest $1</t>
        </is>
      </c>
    </row>
    <row r="838">
      <c r="A838" t="inlineStr">
        <is>
          <t>H2A11</t>
        </is>
      </c>
      <c r="B838" t="inlineStr">
        <is>
          <t>P. Number of students in line a who were awarded an institutional non-need-based athletic scholarship or grant</t>
        </is>
      </c>
      <c r="C838">
        <f>IFERROR(IF(VLOOKUP($A838,'CDS-H'!$A:$L,3,FALSE)="","",(VLOOKUP($A838,'CDS-H'!$A:$L,3,FALSE))),"")</f>
        <v/>
      </c>
      <c r="D838" t="inlineStr">
        <is>
          <t>Financial Aid</t>
        </is>
      </c>
      <c r="E838" t="inlineStr">
        <is>
          <t>Students Awarded Non-need-based Aid</t>
        </is>
      </c>
      <c r="F838" t="inlineStr">
        <is>
          <t>Degree-seeking</t>
        </is>
      </c>
      <c r="G838" t="inlineStr">
        <is>
          <t>Undergraduate</t>
        </is>
      </c>
      <c r="H838" t="inlineStr">
        <is>
          <t>Undergraduates</t>
        </is>
      </c>
      <c r="I838" t="inlineStr">
        <is>
          <t>All</t>
        </is>
      </c>
      <c r="J838" t="inlineStr">
        <is>
          <t>FT</t>
        </is>
      </c>
      <c r="K838" t="inlineStr">
        <is>
          <t>All</t>
        </is>
      </c>
      <c r="L838" t="inlineStr">
        <is>
          <t>Number</t>
        </is>
      </c>
    </row>
    <row r="839">
      <c r="A839" t="inlineStr">
        <is>
          <t>H2A12</t>
        </is>
      </c>
      <c r="B839" t="inlineStr">
        <is>
          <t>Q. Average dollar amount of institutional non-need-based athletic scholarships and grants awarded to students in line p</t>
        </is>
      </c>
      <c r="C839">
        <f>IFERROR(IF(VLOOKUP($A839,'CDS-H'!$A:$L,3,FALSE)="","",(VLOOKUP($A839,'CDS-H'!$A:$L,3,FALSE))),"")</f>
        <v/>
      </c>
      <c r="D839" t="inlineStr">
        <is>
          <t>Financial Aid</t>
        </is>
      </c>
      <c r="E839" t="inlineStr">
        <is>
          <t>Students Awarded Non-need-based Aid</t>
        </is>
      </c>
      <c r="F839" t="inlineStr">
        <is>
          <t>Degree-seeking</t>
        </is>
      </c>
      <c r="G839" t="inlineStr">
        <is>
          <t>Undergraduate</t>
        </is>
      </c>
      <c r="H839" t="inlineStr">
        <is>
          <t>Undergraduates</t>
        </is>
      </c>
      <c r="I839" t="inlineStr">
        <is>
          <t>All</t>
        </is>
      </c>
      <c r="J839" t="inlineStr">
        <is>
          <t>FT</t>
        </is>
      </c>
      <c r="K839" t="inlineStr">
        <is>
          <t>All</t>
        </is>
      </c>
      <c r="L839" t="inlineStr">
        <is>
          <t>Nearest $1</t>
        </is>
      </c>
    </row>
    <row r="840">
      <c r="A840" t="inlineStr">
        <is>
          <t>H401</t>
        </is>
      </c>
      <c r="B840" t="inlineStr">
        <is>
          <t>Provide the number of students in the 2024 undergraduate class who started at your institution as first-time students and received a bachelor's degree between July 1, 2023 and June 30, 2024. Exclude students who transferred into your institution.</t>
        </is>
      </c>
      <c r="C840">
        <f>IFERROR(IF(VLOOKUP($A840,'CDS-H'!$A:$L,3,FALSE)="","",(VLOOKUP($A840,'CDS-H'!$A:$L,3,FALSE))),"")</f>
        <v/>
      </c>
      <c r="D840" t="inlineStr">
        <is>
          <t>Financial Aid</t>
        </is>
      </c>
      <c r="E840" t="inlineStr">
        <is>
          <t>Graduating Cohort</t>
        </is>
      </c>
      <c r="F840" t="inlineStr">
        <is>
          <t>All</t>
        </is>
      </c>
      <c r="G840" t="inlineStr">
        <is>
          <t>Undergraduate</t>
        </is>
      </c>
      <c r="H840" t="inlineStr">
        <is>
          <t>First-time, first-year</t>
        </is>
      </c>
      <c r="I840" t="inlineStr">
        <is>
          <t>All</t>
        </is>
      </c>
      <c r="J840" t="inlineStr">
        <is>
          <t>All</t>
        </is>
      </c>
      <c r="K840" t="inlineStr">
        <is>
          <t>All</t>
        </is>
      </c>
      <c r="L840" t="inlineStr">
        <is>
          <t>Number</t>
        </is>
      </c>
    </row>
    <row r="841">
      <c r="A841" t="inlineStr">
        <is>
          <t>H501</t>
        </is>
      </c>
      <c r="B841" t="inlineStr">
        <is>
          <t>A. Any loan program: Federal Perkins, Federal Stafford Subsidized and Unsubsidized, institutional, state, private loans that your institution is aware of, etc. Include both Federal Direct Student Loans and Federal Family Education Loans.</t>
        </is>
      </c>
      <c r="C841">
        <f>IFERROR(IF(VLOOKUP($A841,'CDS-H'!$A:$L,3,FALSE)="","",(VLOOKUP($A841,'CDS-H'!$A:$L,3,FALSE))),"")</f>
        <v/>
      </c>
      <c r="D841" t="inlineStr">
        <is>
          <t>Financial Aid</t>
        </is>
      </c>
      <c r="E841" t="inlineStr">
        <is>
          <t>Source Type Loan</t>
        </is>
      </c>
      <c r="F841" t="inlineStr">
        <is>
          <t>Number in Class</t>
        </is>
      </c>
      <c r="G841" t="inlineStr">
        <is>
          <t>Undergraduate</t>
        </is>
      </c>
      <c r="H841" t="inlineStr">
        <is>
          <t>First-time, first-year</t>
        </is>
      </c>
      <c r="I841" t="inlineStr">
        <is>
          <t>All</t>
        </is>
      </c>
      <c r="J841" t="inlineStr">
        <is>
          <t>All</t>
        </is>
      </c>
      <c r="K841" t="inlineStr">
        <is>
          <t>All</t>
        </is>
      </c>
      <c r="L841" t="inlineStr">
        <is>
          <t>Number</t>
        </is>
      </c>
    </row>
    <row r="842">
      <c r="A842" t="inlineStr">
        <is>
          <t>H502</t>
        </is>
      </c>
      <c r="B842" t="inlineStr">
        <is>
          <t>B. Federal loan programs: Federal Perkins, Federal Stafford Subsidized and Unsubsidized. Include both Federal Direct Student Loans and Federal Family Education Loans.</t>
        </is>
      </c>
      <c r="C842">
        <f>IFERROR(IF(VLOOKUP($A842,'CDS-H'!$A:$L,3,FALSE)="","",(VLOOKUP($A842,'CDS-H'!$A:$L,3,FALSE))),"")</f>
        <v/>
      </c>
      <c r="D842" t="inlineStr">
        <is>
          <t>Financial Aid</t>
        </is>
      </c>
      <c r="E842" t="inlineStr">
        <is>
          <t>Source Type Loan</t>
        </is>
      </c>
      <c r="F842" t="inlineStr">
        <is>
          <t>Number in Class</t>
        </is>
      </c>
      <c r="G842" t="inlineStr">
        <is>
          <t>Undergraduate</t>
        </is>
      </c>
      <c r="H842" t="inlineStr">
        <is>
          <t>First-time, first-year</t>
        </is>
      </c>
      <c r="I842" t="inlineStr">
        <is>
          <t>All</t>
        </is>
      </c>
      <c r="J842" t="inlineStr">
        <is>
          <t>All</t>
        </is>
      </c>
      <c r="K842" t="inlineStr">
        <is>
          <t>All</t>
        </is>
      </c>
      <c r="L842" t="inlineStr">
        <is>
          <t>Number</t>
        </is>
      </c>
    </row>
    <row r="843">
      <c r="A843" t="inlineStr">
        <is>
          <t>H503</t>
        </is>
      </c>
      <c r="B843" t="inlineStr">
        <is>
          <t>C. Institutional loan programs.</t>
        </is>
      </c>
      <c r="C843">
        <f>IFERROR(IF(VLOOKUP($A843,'CDS-H'!$A:$L,3,FALSE)="","",(VLOOKUP($A843,'CDS-H'!$A:$L,3,FALSE))),"")</f>
        <v/>
      </c>
      <c r="D843" t="inlineStr">
        <is>
          <t>Financial Aid</t>
        </is>
      </c>
      <c r="E843" t="inlineStr">
        <is>
          <t>Source Type Loan</t>
        </is>
      </c>
      <c r="F843" t="inlineStr">
        <is>
          <t>Number in Class</t>
        </is>
      </c>
      <c r="G843" t="inlineStr">
        <is>
          <t>Undergraduate</t>
        </is>
      </c>
      <c r="H843" t="inlineStr">
        <is>
          <t>First-time, first-year</t>
        </is>
      </c>
      <c r="I843" t="inlineStr">
        <is>
          <t>All</t>
        </is>
      </c>
      <c r="J843" t="inlineStr">
        <is>
          <t>All</t>
        </is>
      </c>
      <c r="K843" t="inlineStr">
        <is>
          <t>All</t>
        </is>
      </c>
      <c r="L843" t="inlineStr">
        <is>
          <t>Number</t>
        </is>
      </c>
    </row>
    <row r="844">
      <c r="A844" t="inlineStr">
        <is>
          <t>H504</t>
        </is>
      </c>
      <c r="B844" t="inlineStr">
        <is>
          <t>D. State loan programs.</t>
        </is>
      </c>
      <c r="C844">
        <f>IFERROR(IF(VLOOKUP($A844,'CDS-H'!$A:$L,3,FALSE)="","",(VLOOKUP($A844,'CDS-H'!$A:$L,3,FALSE))),"")</f>
        <v/>
      </c>
      <c r="D844" t="inlineStr">
        <is>
          <t>Financial Aid</t>
        </is>
      </c>
      <c r="E844" t="inlineStr">
        <is>
          <t>Source Type Loan</t>
        </is>
      </c>
      <c r="F844" t="inlineStr">
        <is>
          <t>Number in Class</t>
        </is>
      </c>
      <c r="G844" t="inlineStr">
        <is>
          <t>Undergraduate</t>
        </is>
      </c>
      <c r="H844" t="inlineStr">
        <is>
          <t>First-time, first-year</t>
        </is>
      </c>
      <c r="I844" t="inlineStr">
        <is>
          <t>All</t>
        </is>
      </c>
      <c r="J844" t="inlineStr">
        <is>
          <t>All</t>
        </is>
      </c>
      <c r="K844" t="inlineStr">
        <is>
          <t>All</t>
        </is>
      </c>
      <c r="L844" t="inlineStr">
        <is>
          <t>Number</t>
        </is>
      </c>
    </row>
    <row r="845">
      <c r="A845" t="inlineStr">
        <is>
          <t>H505</t>
        </is>
      </c>
      <c r="B845" t="inlineStr">
        <is>
          <t>E. Private student loans made by a bank or lender.</t>
        </is>
      </c>
      <c r="C845">
        <f>IFERROR(IF(VLOOKUP($A845,'CDS-H'!$A:$L,3,FALSE)="","",(VLOOKUP($A845,'CDS-H'!$A:$L,3,FALSE))),"")</f>
        <v/>
      </c>
      <c r="D845" t="inlineStr">
        <is>
          <t>Financial Aid</t>
        </is>
      </c>
      <c r="E845" t="inlineStr">
        <is>
          <t>Source Type Loan</t>
        </is>
      </c>
      <c r="F845" t="inlineStr">
        <is>
          <t>Number in Class</t>
        </is>
      </c>
      <c r="G845" t="inlineStr">
        <is>
          <t>Undergraduate</t>
        </is>
      </c>
      <c r="H845" t="inlineStr">
        <is>
          <t>First-time, first-year</t>
        </is>
      </c>
      <c r="I845" t="inlineStr">
        <is>
          <t>All</t>
        </is>
      </c>
      <c r="J845" t="inlineStr">
        <is>
          <t>All</t>
        </is>
      </c>
      <c r="K845" t="inlineStr">
        <is>
          <t>All</t>
        </is>
      </c>
      <c r="L845" t="inlineStr">
        <is>
          <t>Number</t>
        </is>
      </c>
    </row>
    <row r="846">
      <c r="A846" t="inlineStr">
        <is>
          <t>H506</t>
        </is>
      </c>
      <c r="B846" t="inlineStr">
        <is>
          <t>A. Any loan program: Federal Perkins, Federal Stafford Subsidized and Unsubsidized, institutional, state, private loans that your institution is aware of, etc. Include both Federal Direct Student Loans and Federal Family Education Loans.</t>
        </is>
      </c>
      <c r="C846">
        <f>IFERROR(IF(VLOOKUP($A846,'CDS-H'!$A:$L,3,FALSE)="","",(VLOOKUP($A846,'CDS-H'!$A:$L,3,FALSE))),"")</f>
        <v/>
      </c>
      <c r="D846" t="inlineStr">
        <is>
          <t>Financial Aid</t>
        </is>
      </c>
      <c r="E846" t="inlineStr">
        <is>
          <t>Source Type Loan</t>
        </is>
      </c>
      <c r="F846" t="inlineStr">
        <is>
          <t>Percent of Class</t>
        </is>
      </c>
      <c r="G846" t="inlineStr">
        <is>
          <t>Undergraduate</t>
        </is>
      </c>
      <c r="H846" t="inlineStr">
        <is>
          <t>First-time, first-year</t>
        </is>
      </c>
      <c r="I846" t="inlineStr">
        <is>
          <t>All</t>
        </is>
      </c>
      <c r="J846" t="inlineStr">
        <is>
          <t>All</t>
        </is>
      </c>
      <c r="K846" t="inlineStr">
        <is>
          <t>All</t>
        </is>
      </c>
      <c r="L846" t="inlineStr">
        <is>
          <t>Nearest 1%</t>
        </is>
      </c>
    </row>
    <row r="847">
      <c r="A847" t="inlineStr">
        <is>
          <t>H507</t>
        </is>
      </c>
      <c r="B847" t="inlineStr">
        <is>
          <t>B. Federal loan programs: Federal Perkins, Federal Stafford Subsidized and Unsubsidized. Include both Federal Direct Student Loans and Federal Family Education Loans.</t>
        </is>
      </c>
      <c r="C847">
        <f>IFERROR(IF(VLOOKUP($A847,'CDS-H'!$A:$L,3,FALSE)="","",(VLOOKUP($A847,'CDS-H'!$A:$L,3,FALSE))),"")</f>
        <v/>
      </c>
      <c r="D847" t="inlineStr">
        <is>
          <t>Financial Aid</t>
        </is>
      </c>
      <c r="E847" t="inlineStr">
        <is>
          <t>Source Type Loan</t>
        </is>
      </c>
      <c r="F847" t="inlineStr">
        <is>
          <t>Percent of Class</t>
        </is>
      </c>
      <c r="G847" t="inlineStr">
        <is>
          <t>Undergraduate</t>
        </is>
      </c>
      <c r="H847" t="inlineStr">
        <is>
          <t>First-time, first-year</t>
        </is>
      </c>
      <c r="I847" t="inlineStr">
        <is>
          <t>All</t>
        </is>
      </c>
      <c r="J847" t="inlineStr">
        <is>
          <t>All</t>
        </is>
      </c>
      <c r="K847" t="inlineStr">
        <is>
          <t>All</t>
        </is>
      </c>
      <c r="L847" t="inlineStr">
        <is>
          <t>Nearest 1%</t>
        </is>
      </c>
    </row>
    <row r="848">
      <c r="A848" t="inlineStr">
        <is>
          <t>H508</t>
        </is>
      </c>
      <c r="B848" t="inlineStr">
        <is>
          <t>C. Institutional loan programs.</t>
        </is>
      </c>
      <c r="C848">
        <f>IFERROR(IF(VLOOKUP($A848,'CDS-H'!$A:$L,3,FALSE)="","",(VLOOKUP($A848,'CDS-H'!$A:$L,3,FALSE))),"")</f>
        <v/>
      </c>
      <c r="D848" t="inlineStr">
        <is>
          <t>Financial Aid</t>
        </is>
      </c>
      <c r="E848" t="inlineStr">
        <is>
          <t>Source Type Loan</t>
        </is>
      </c>
      <c r="F848" t="inlineStr">
        <is>
          <t>Percent of Class</t>
        </is>
      </c>
      <c r="G848" t="inlineStr">
        <is>
          <t>Undergraduate</t>
        </is>
      </c>
      <c r="H848" t="inlineStr">
        <is>
          <t>First-time, first-year</t>
        </is>
      </c>
      <c r="I848" t="inlineStr">
        <is>
          <t>All</t>
        </is>
      </c>
      <c r="J848" t="inlineStr">
        <is>
          <t>All</t>
        </is>
      </c>
      <c r="K848" t="inlineStr">
        <is>
          <t>All</t>
        </is>
      </c>
      <c r="L848" t="inlineStr">
        <is>
          <t>Nearest 1%</t>
        </is>
      </c>
    </row>
    <row r="849">
      <c r="A849" t="inlineStr">
        <is>
          <t>H509</t>
        </is>
      </c>
      <c r="B849" t="inlineStr">
        <is>
          <t>D. State loan programs.</t>
        </is>
      </c>
      <c r="C849">
        <f>IFERROR(IF(VLOOKUP($A849,'CDS-H'!$A:$L,3,FALSE)="","",(VLOOKUP($A849,'CDS-H'!$A:$L,3,FALSE))),"")</f>
        <v/>
      </c>
      <c r="D849" t="inlineStr">
        <is>
          <t>Financial Aid</t>
        </is>
      </c>
      <c r="E849" t="inlineStr">
        <is>
          <t>Source Type Loan</t>
        </is>
      </c>
      <c r="F849" t="inlineStr">
        <is>
          <t>Percent of Class</t>
        </is>
      </c>
      <c r="G849" t="inlineStr">
        <is>
          <t>Undergraduate</t>
        </is>
      </c>
      <c r="H849" t="inlineStr">
        <is>
          <t>First-time, first-year</t>
        </is>
      </c>
      <c r="I849" t="inlineStr">
        <is>
          <t>All</t>
        </is>
      </c>
      <c r="J849" t="inlineStr">
        <is>
          <t>All</t>
        </is>
      </c>
      <c r="K849" t="inlineStr">
        <is>
          <t>All</t>
        </is>
      </c>
      <c r="L849" t="inlineStr">
        <is>
          <t>Nearest 1%</t>
        </is>
      </c>
    </row>
    <row r="850">
      <c r="A850" t="inlineStr">
        <is>
          <t>H510</t>
        </is>
      </c>
      <c r="B850" t="inlineStr">
        <is>
          <t>E. Private student loans made by a bank or lender.</t>
        </is>
      </c>
      <c r="C850">
        <f>IFERROR(IF(VLOOKUP($A850,'CDS-H'!$A:$L,3,FALSE)="","",(VLOOKUP($A850,'CDS-H'!$A:$L,3,FALSE))),"")</f>
        <v/>
      </c>
      <c r="D850" t="inlineStr">
        <is>
          <t>Financial Aid</t>
        </is>
      </c>
      <c r="E850" t="inlineStr">
        <is>
          <t>Source Type Loan</t>
        </is>
      </c>
      <c r="F850" t="inlineStr">
        <is>
          <t>Percent of Class</t>
        </is>
      </c>
      <c r="G850" t="inlineStr">
        <is>
          <t>Undergraduate</t>
        </is>
      </c>
      <c r="H850" t="inlineStr">
        <is>
          <t>First-time, first-year</t>
        </is>
      </c>
      <c r="I850" t="inlineStr">
        <is>
          <t>All</t>
        </is>
      </c>
      <c r="J850" t="inlineStr">
        <is>
          <t>All</t>
        </is>
      </c>
      <c r="K850" t="inlineStr">
        <is>
          <t>All</t>
        </is>
      </c>
      <c r="L850" t="inlineStr">
        <is>
          <t>Nearest 1%</t>
        </is>
      </c>
    </row>
    <row r="851">
      <c r="A851" t="inlineStr">
        <is>
          <t>H511</t>
        </is>
      </c>
      <c r="B851" t="inlineStr">
        <is>
          <t>A. Any loan program: Federal Perkins, Federal Stafford Subsidized and Unsubsidized, institutional, state, private loans that your institution is aware of, etc. Include both Federal Direct Student Loans and Federal Family Education Loans.</t>
        </is>
      </c>
      <c r="C851">
        <f>IFERROR(IF(VLOOKUP($A851,'CDS-H'!$A:$L,3,FALSE)="","",(VLOOKUP($A851,'CDS-H'!$A:$L,3,FALSE))),"")</f>
        <v/>
      </c>
      <c r="D851" t="inlineStr">
        <is>
          <t>Financial Aid</t>
        </is>
      </c>
      <c r="E851" t="inlineStr">
        <is>
          <t>Source Type Loan</t>
        </is>
      </c>
      <c r="F851" t="inlineStr">
        <is>
          <t>Average per Borrower</t>
        </is>
      </c>
      <c r="G851" t="inlineStr">
        <is>
          <t>Undergraduate</t>
        </is>
      </c>
      <c r="H851" t="inlineStr">
        <is>
          <t>First-time, first-year</t>
        </is>
      </c>
      <c r="I851" t="inlineStr">
        <is>
          <t>All</t>
        </is>
      </c>
      <c r="J851" t="inlineStr">
        <is>
          <t>All</t>
        </is>
      </c>
      <c r="K851" t="inlineStr">
        <is>
          <t>All</t>
        </is>
      </c>
      <c r="L851" t="inlineStr">
        <is>
          <t>Nearest $1</t>
        </is>
      </c>
    </row>
    <row r="852">
      <c r="A852" t="inlineStr">
        <is>
          <t>H512</t>
        </is>
      </c>
      <c r="B852" t="inlineStr">
        <is>
          <t>B. Federal loan programs: Federal Perkins, Federal Stafford Subsidized and Unsubsidized. Include both Federal Direct Student Loans and Federal Family Education Loans.</t>
        </is>
      </c>
      <c r="C852">
        <f>IFERROR(IF(VLOOKUP($A852,'CDS-H'!$A:$L,3,FALSE)="","",(VLOOKUP($A852,'CDS-H'!$A:$L,3,FALSE))),"")</f>
        <v/>
      </c>
      <c r="D852" t="inlineStr">
        <is>
          <t>Financial Aid</t>
        </is>
      </c>
      <c r="E852" t="inlineStr">
        <is>
          <t>Source Type Loan</t>
        </is>
      </c>
      <c r="F852" t="inlineStr">
        <is>
          <t>Average per Borrower</t>
        </is>
      </c>
      <c r="G852" t="inlineStr">
        <is>
          <t>Undergraduate</t>
        </is>
      </c>
      <c r="H852" t="inlineStr">
        <is>
          <t>First-time, first-year</t>
        </is>
      </c>
      <c r="I852" t="inlineStr">
        <is>
          <t>All</t>
        </is>
      </c>
      <c r="J852" t="inlineStr">
        <is>
          <t>All</t>
        </is>
      </c>
      <c r="K852" t="inlineStr">
        <is>
          <t>All</t>
        </is>
      </c>
      <c r="L852" t="inlineStr">
        <is>
          <t>Nearest $1</t>
        </is>
      </c>
    </row>
    <row r="853">
      <c r="A853" t="inlineStr">
        <is>
          <t>H513</t>
        </is>
      </c>
      <c r="B853" t="inlineStr">
        <is>
          <t>C. Institutional loan programs.</t>
        </is>
      </c>
      <c r="C853">
        <f>IFERROR(IF(VLOOKUP($A853,'CDS-H'!$A:$L,3,FALSE)="","",(VLOOKUP($A853,'CDS-H'!$A:$L,3,FALSE))),"")</f>
        <v/>
      </c>
      <c r="D853" t="inlineStr">
        <is>
          <t>Financial Aid</t>
        </is>
      </c>
      <c r="E853" t="inlineStr">
        <is>
          <t>Source Type Loan</t>
        </is>
      </c>
      <c r="F853" t="inlineStr">
        <is>
          <t>Average per Borrower</t>
        </is>
      </c>
      <c r="G853" t="inlineStr">
        <is>
          <t>Undergraduate</t>
        </is>
      </c>
      <c r="H853" t="inlineStr">
        <is>
          <t>First-time, first-year</t>
        </is>
      </c>
      <c r="I853" t="inlineStr">
        <is>
          <t>All</t>
        </is>
      </c>
      <c r="J853" t="inlineStr">
        <is>
          <t>All</t>
        </is>
      </c>
      <c r="K853" t="inlineStr">
        <is>
          <t>All</t>
        </is>
      </c>
      <c r="L853" t="inlineStr">
        <is>
          <t>Nearest $1</t>
        </is>
      </c>
    </row>
    <row r="854">
      <c r="A854" t="inlineStr">
        <is>
          <t>H514</t>
        </is>
      </c>
      <c r="B854" t="inlineStr">
        <is>
          <t>D. State loan programs.</t>
        </is>
      </c>
      <c r="C854">
        <f>IFERROR(IF(VLOOKUP($A854,'CDS-H'!$A:$L,3,FALSE)="","",(VLOOKUP($A854,'CDS-H'!$A:$L,3,FALSE))),"")</f>
        <v/>
      </c>
      <c r="D854" t="inlineStr">
        <is>
          <t>Financial Aid</t>
        </is>
      </c>
      <c r="E854" t="inlineStr">
        <is>
          <t>Source Type Loan</t>
        </is>
      </c>
      <c r="F854" t="inlineStr">
        <is>
          <t>Average per Borrower</t>
        </is>
      </c>
      <c r="G854" t="inlineStr">
        <is>
          <t>Undergraduate</t>
        </is>
      </c>
      <c r="H854" t="inlineStr">
        <is>
          <t>First-time, first-year</t>
        </is>
      </c>
      <c r="I854" t="inlineStr">
        <is>
          <t>All</t>
        </is>
      </c>
      <c r="J854" t="inlineStr">
        <is>
          <t>All</t>
        </is>
      </c>
      <c r="K854" t="inlineStr">
        <is>
          <t>All</t>
        </is>
      </c>
      <c r="L854" t="inlineStr">
        <is>
          <t>Nearest $1</t>
        </is>
      </c>
    </row>
    <row r="855">
      <c r="A855" t="inlineStr">
        <is>
          <t>H515</t>
        </is>
      </c>
      <c r="B855" t="inlineStr">
        <is>
          <t>E. Private student loans made by a bank or lender.</t>
        </is>
      </c>
      <c r="C855">
        <f>IFERROR(IF(VLOOKUP($A855,'CDS-H'!$A:$L,3,FALSE)="","",(VLOOKUP($A855,'CDS-H'!$A:$L,3,FALSE))),"")</f>
        <v/>
      </c>
      <c r="D855" t="inlineStr">
        <is>
          <t>Financial Aid</t>
        </is>
      </c>
      <c r="E855" t="inlineStr">
        <is>
          <t>Source Type Loan</t>
        </is>
      </c>
      <c r="F855" t="inlineStr">
        <is>
          <t>Average per Borrower</t>
        </is>
      </c>
      <c r="G855" t="inlineStr">
        <is>
          <t>Undergraduate</t>
        </is>
      </c>
      <c r="H855" t="inlineStr">
        <is>
          <t>First-time, first-year</t>
        </is>
      </c>
      <c r="I855" t="inlineStr">
        <is>
          <t>All</t>
        </is>
      </c>
      <c r="J855" t="inlineStr">
        <is>
          <t>All</t>
        </is>
      </c>
      <c r="K855" t="inlineStr">
        <is>
          <t>All</t>
        </is>
      </c>
      <c r="L855" t="inlineStr">
        <is>
          <t>Nearest $1</t>
        </is>
      </c>
    </row>
    <row r="856">
      <c r="A856" t="inlineStr">
        <is>
          <t>H601</t>
        </is>
      </c>
      <c r="B856" t="inlineStr">
        <is>
          <t>Institutional need-based scholarship or grant aid is available</t>
        </is>
      </c>
      <c r="C856">
        <f>IFERROR(IF(VLOOKUP($A856,'CDS-H'!$A:$L,3,FALSE)="","",(VLOOKUP($A856,'CDS-H'!$A:$L,3,FALSE))),"")</f>
        <v/>
      </c>
      <c r="D856" t="inlineStr">
        <is>
          <t>Financial Aid</t>
        </is>
      </c>
      <c r="E856" t="inlineStr">
        <is>
          <t>Aid to Nonresidents</t>
        </is>
      </c>
      <c r="F856" t="inlineStr">
        <is>
          <t>Aid Policy</t>
        </is>
      </c>
      <c r="G856" t="inlineStr">
        <is>
          <t>Undergraduate</t>
        </is>
      </c>
      <c r="H856" t="inlineStr">
        <is>
          <t>All</t>
        </is>
      </c>
      <c r="I856" t="inlineStr">
        <is>
          <t>All</t>
        </is>
      </c>
      <c r="J856" t="inlineStr">
        <is>
          <t>All</t>
        </is>
      </c>
      <c r="K856" t="inlineStr">
        <is>
          <t>All</t>
        </is>
      </c>
      <c r="L856" t="inlineStr">
        <is>
          <t>x</t>
        </is>
      </c>
    </row>
    <row r="857">
      <c r="A857" t="inlineStr">
        <is>
          <t>H602</t>
        </is>
      </c>
      <c r="B857" t="inlineStr">
        <is>
          <t>Institutional non-need-based scholarship or grant aid is available</t>
        </is>
      </c>
      <c r="C857">
        <f>IFERROR(IF(VLOOKUP($A857,'CDS-H'!$A:$L,3,FALSE)="","",(VLOOKUP($A857,'CDS-H'!$A:$L,3,FALSE))),"")</f>
        <v/>
      </c>
      <c r="D857" t="inlineStr">
        <is>
          <t>Financial Aid</t>
        </is>
      </c>
      <c r="E857" t="inlineStr">
        <is>
          <t>Aid to Nonresidents</t>
        </is>
      </c>
      <c r="F857" t="inlineStr">
        <is>
          <t>Aid Policy</t>
        </is>
      </c>
      <c r="G857" t="inlineStr">
        <is>
          <t>Undergraduate</t>
        </is>
      </c>
      <c r="H857" t="inlineStr">
        <is>
          <t>All</t>
        </is>
      </c>
      <c r="I857" t="inlineStr">
        <is>
          <t>All</t>
        </is>
      </c>
      <c r="J857" t="inlineStr">
        <is>
          <t>All</t>
        </is>
      </c>
      <c r="K857" t="inlineStr">
        <is>
          <t>All</t>
        </is>
      </c>
      <c r="L857" t="inlineStr">
        <is>
          <t>x</t>
        </is>
      </c>
    </row>
    <row r="858">
      <c r="A858" t="inlineStr">
        <is>
          <t>H603</t>
        </is>
      </c>
      <c r="B858" t="inlineStr">
        <is>
          <t>Institutional scholarship or grant aid is not available</t>
        </is>
      </c>
      <c r="C858">
        <f>IFERROR(IF(VLOOKUP($A858,'CDS-H'!$A:$L,3,FALSE)="","",(VLOOKUP($A858,'CDS-H'!$A:$L,3,FALSE))),"")</f>
        <v/>
      </c>
      <c r="D858" t="inlineStr">
        <is>
          <t>Financial Aid</t>
        </is>
      </c>
      <c r="E858" t="inlineStr">
        <is>
          <t>Aid to Nonresidents</t>
        </is>
      </c>
      <c r="F858" t="inlineStr">
        <is>
          <t>Aid Policy</t>
        </is>
      </c>
      <c r="G858" t="inlineStr">
        <is>
          <t>Undergraduate</t>
        </is>
      </c>
      <c r="H858" t="inlineStr">
        <is>
          <t>All</t>
        </is>
      </c>
      <c r="I858" t="inlineStr">
        <is>
          <t>All</t>
        </is>
      </c>
      <c r="J858" t="inlineStr">
        <is>
          <t>All</t>
        </is>
      </c>
      <c r="K858" t="inlineStr">
        <is>
          <t>All</t>
        </is>
      </c>
      <c r="L858" t="inlineStr">
        <is>
          <t>x</t>
        </is>
      </c>
    </row>
    <row r="859">
      <c r="A859" t="inlineStr">
        <is>
          <t>H604</t>
        </is>
      </c>
      <c r="B859" t="inlineStr">
        <is>
          <t>If institutional financial aid is available for undergraduate degree-seeking nonresidents, provide the number of undergraduate degree-seeking nonresidents who were awarded need-based or non-need-based aid:</t>
        </is>
      </c>
      <c r="C859">
        <f>IFERROR(IF(VLOOKUP($A859,'CDS-H'!$A:$L,3,FALSE)="","",(VLOOKUP($A859,'CDS-H'!$A:$L,3,FALSE))),"")</f>
        <v/>
      </c>
      <c r="D859" t="inlineStr">
        <is>
          <t>Financial Aid</t>
        </is>
      </c>
      <c r="E859" t="inlineStr">
        <is>
          <t>Aid to Nonresidents</t>
        </is>
      </c>
      <c r="F859" t="inlineStr">
        <is>
          <t>Awardees</t>
        </is>
      </c>
      <c r="G859" t="inlineStr">
        <is>
          <t>Undergraduate</t>
        </is>
      </c>
      <c r="H859" t="inlineStr">
        <is>
          <t>All</t>
        </is>
      </c>
      <c r="I859" t="inlineStr">
        <is>
          <t>All</t>
        </is>
      </c>
      <c r="J859" t="inlineStr">
        <is>
          <t>All</t>
        </is>
      </c>
      <c r="K859" t="inlineStr">
        <is>
          <t>All</t>
        </is>
      </c>
      <c r="L859" t="inlineStr">
        <is>
          <t>Number</t>
        </is>
      </c>
    </row>
    <row r="860">
      <c r="A860" t="inlineStr">
        <is>
          <t>H605</t>
        </is>
      </c>
      <c r="B860" t="inlineStr">
        <is>
          <t>Average dollar amount of institutional financial aid awarded to undergraduate degree-seeking nonresidents:</t>
        </is>
      </c>
      <c r="C860">
        <f>IFERROR(IF(VLOOKUP($A860,'CDS-H'!$A:$L,3,FALSE)="","",(VLOOKUP($A860,'CDS-H'!$A:$L,3,FALSE))),"")</f>
        <v/>
      </c>
      <c r="D860" t="inlineStr">
        <is>
          <t>Financial Aid</t>
        </is>
      </c>
      <c r="E860" t="inlineStr">
        <is>
          <t>Aid to Nonresidents</t>
        </is>
      </c>
      <c r="F860" t="inlineStr">
        <is>
          <t>Average Award</t>
        </is>
      </c>
      <c r="G860" t="inlineStr">
        <is>
          <t>Undergraduate</t>
        </is>
      </c>
      <c r="H860" t="inlineStr">
        <is>
          <t>All</t>
        </is>
      </c>
      <c r="I860" t="inlineStr">
        <is>
          <t>All</t>
        </is>
      </c>
      <c r="J860" t="inlineStr">
        <is>
          <t>All</t>
        </is>
      </c>
      <c r="K860" t="inlineStr">
        <is>
          <t>All</t>
        </is>
      </c>
      <c r="L860" t="inlineStr">
        <is>
          <t>Nearest $1</t>
        </is>
      </c>
    </row>
    <row r="861">
      <c r="A861" t="inlineStr">
        <is>
          <t>H606</t>
        </is>
      </c>
      <c r="B861" t="inlineStr">
        <is>
          <t>Total dollar amount of institutional financial aid awarded to undergraduate degree-seeking nonresidents:</t>
        </is>
      </c>
      <c r="C861">
        <f>IFERROR(IF(VLOOKUP($A861,'CDS-H'!$A:$L,3,FALSE)="","",(VLOOKUP($A861,'CDS-H'!$A:$L,3,FALSE))),"")</f>
        <v/>
      </c>
      <c r="D861" t="inlineStr">
        <is>
          <t>Financial Aid</t>
        </is>
      </c>
      <c r="E861" t="inlineStr">
        <is>
          <t>Aid to Nonresidents</t>
        </is>
      </c>
      <c r="F861" t="inlineStr">
        <is>
          <t>Total Amount</t>
        </is>
      </c>
      <c r="G861" t="inlineStr">
        <is>
          <t>Undergraduate</t>
        </is>
      </c>
      <c r="H861" t="inlineStr">
        <is>
          <t>All</t>
        </is>
      </c>
      <c r="I861" t="inlineStr">
        <is>
          <t>All</t>
        </is>
      </c>
      <c r="J861" t="inlineStr">
        <is>
          <t>All</t>
        </is>
      </c>
      <c r="K861" t="inlineStr">
        <is>
          <t>All</t>
        </is>
      </c>
      <c r="L861" t="inlineStr">
        <is>
          <t>Nearest $1</t>
        </is>
      </c>
    </row>
    <row r="862">
      <c r="A862" t="inlineStr">
        <is>
          <t>H7101</t>
        </is>
      </c>
      <c r="B862" t="inlineStr">
        <is>
          <t>Institution’s own financial aid form</t>
        </is>
      </c>
      <c r="C862">
        <f>IFERROR(IF(VLOOKUP($A862,'CDS-H'!$A:$L,3,FALSE)="","",(VLOOKUP($A862,'CDS-H'!$A:$L,3,FALSE))),"")</f>
        <v/>
      </c>
      <c r="D862" t="inlineStr">
        <is>
          <t>Financial Aid</t>
        </is>
      </c>
      <c r="E862" t="inlineStr">
        <is>
          <t>Financial Aid Forms</t>
        </is>
      </c>
      <c r="F862" t="inlineStr">
        <is>
          <t>Applicants</t>
        </is>
      </c>
      <c r="G862" t="inlineStr">
        <is>
          <t>Undergraduate</t>
        </is>
      </c>
      <c r="H862" t="inlineStr">
        <is>
          <t>First-year</t>
        </is>
      </c>
      <c r="I862" t="inlineStr">
        <is>
          <t>Nonresidents</t>
        </is>
      </c>
      <c r="J862" t="inlineStr">
        <is>
          <t>All</t>
        </is>
      </c>
      <c r="K862" t="inlineStr">
        <is>
          <t>All</t>
        </is>
      </c>
      <c r="L862" t="inlineStr">
        <is>
          <t>x</t>
        </is>
      </c>
    </row>
    <row r="863">
      <c r="A863" t="inlineStr">
        <is>
          <t>H7102</t>
        </is>
      </c>
      <c r="B863" t="inlineStr">
        <is>
          <t>CSS/Financial Aid PROFILE</t>
        </is>
      </c>
      <c r="C863">
        <f>IFERROR(IF(VLOOKUP($A863,'CDS-H'!$A:$L,3,FALSE)="","",(VLOOKUP($A863,'CDS-H'!$A:$L,3,FALSE))),"")</f>
        <v/>
      </c>
      <c r="D863" t="inlineStr">
        <is>
          <t>Financial Aid</t>
        </is>
      </c>
      <c r="E863" t="inlineStr">
        <is>
          <t>Financial Aid Forms</t>
        </is>
      </c>
      <c r="F863" t="inlineStr">
        <is>
          <t>Applicants</t>
        </is>
      </c>
      <c r="G863" t="inlineStr">
        <is>
          <t>Undergraduate</t>
        </is>
      </c>
      <c r="H863" t="inlineStr">
        <is>
          <t>First-year</t>
        </is>
      </c>
      <c r="I863" t="inlineStr">
        <is>
          <t>Nonresidents</t>
        </is>
      </c>
      <c r="J863" t="inlineStr">
        <is>
          <t>All</t>
        </is>
      </c>
      <c r="K863" t="inlineStr">
        <is>
          <t>All</t>
        </is>
      </c>
      <c r="L863" t="inlineStr">
        <is>
          <t>x</t>
        </is>
      </c>
    </row>
    <row r="864">
      <c r="A864" t="inlineStr">
        <is>
          <t>H7103</t>
        </is>
      </c>
      <c r="B864" t="inlineStr">
        <is>
          <t>Other (specify):</t>
        </is>
      </c>
      <c r="C864">
        <f>IFERROR(IF(VLOOKUP($A864,'CDS-H'!$A:$L,3,FALSE)="","",(VLOOKUP($A864,'CDS-H'!$A:$L,3,FALSE))),"")</f>
        <v/>
      </c>
      <c r="D864" t="inlineStr">
        <is>
          <t>Financial Aid</t>
        </is>
      </c>
      <c r="E864" t="inlineStr">
        <is>
          <t>Financial Aid Forms</t>
        </is>
      </c>
      <c r="F864" t="inlineStr">
        <is>
          <t>Applicants</t>
        </is>
      </c>
      <c r="G864" t="inlineStr">
        <is>
          <t>Undergraduate</t>
        </is>
      </c>
      <c r="H864" t="inlineStr">
        <is>
          <t>First-year</t>
        </is>
      </c>
      <c r="I864" t="inlineStr">
        <is>
          <t>Nonresidents</t>
        </is>
      </c>
      <c r="J864" t="inlineStr">
        <is>
          <t>All</t>
        </is>
      </c>
      <c r="K864" t="inlineStr">
        <is>
          <t>All</t>
        </is>
      </c>
      <c r="L864" t="inlineStr">
        <is>
          <t>Text</t>
        </is>
      </c>
    </row>
    <row r="865">
      <c r="A865" t="inlineStr">
        <is>
          <t>H801</t>
        </is>
      </c>
      <c r="B865" t="inlineStr">
        <is>
          <t>FAFSA</t>
        </is>
      </c>
      <c r="C865">
        <f>IFERROR(IF(VLOOKUP($A865,'CDS-H'!$A:$L,3,FALSE)="","",(VLOOKUP($A865,'CDS-H'!$A:$L,3,FALSE))),"")</f>
        <v/>
      </c>
      <c r="D865" t="inlineStr">
        <is>
          <t>Financial Aid</t>
        </is>
      </c>
      <c r="E865" t="inlineStr">
        <is>
          <t>Financial Aid Forms</t>
        </is>
      </c>
      <c r="F865" t="inlineStr">
        <is>
          <t>Applicants</t>
        </is>
      </c>
      <c r="G865" t="inlineStr">
        <is>
          <t>Undergraduate</t>
        </is>
      </c>
      <c r="H865" t="inlineStr">
        <is>
          <t>First-year</t>
        </is>
      </c>
      <c r="I865" t="inlineStr">
        <is>
          <t>Domestic</t>
        </is>
      </c>
      <c r="J865" t="inlineStr">
        <is>
          <t>All</t>
        </is>
      </c>
      <c r="K865" t="inlineStr">
        <is>
          <t>All</t>
        </is>
      </c>
      <c r="L865" t="inlineStr">
        <is>
          <t>x</t>
        </is>
      </c>
    </row>
    <row r="866">
      <c r="A866" t="inlineStr">
        <is>
          <t>H802</t>
        </is>
      </c>
      <c r="B866" t="inlineStr">
        <is>
          <t>Institution's own financial aid form</t>
        </is>
      </c>
      <c r="C866">
        <f>IFERROR(IF(VLOOKUP($A866,'CDS-H'!$A:$L,3,FALSE)="","",(VLOOKUP($A866,'CDS-H'!$A:$L,3,FALSE))),"")</f>
        <v/>
      </c>
      <c r="D866" t="inlineStr">
        <is>
          <t>Financial Aid</t>
        </is>
      </c>
      <c r="E866" t="inlineStr">
        <is>
          <t>Financial Aid Forms</t>
        </is>
      </c>
      <c r="F866" t="inlineStr">
        <is>
          <t>Applicants</t>
        </is>
      </c>
      <c r="G866" t="inlineStr">
        <is>
          <t>Undergraduate</t>
        </is>
      </c>
      <c r="H866" t="inlineStr">
        <is>
          <t>First-year</t>
        </is>
      </c>
      <c r="I866" t="inlineStr">
        <is>
          <t>Domestic</t>
        </is>
      </c>
      <c r="J866" t="inlineStr">
        <is>
          <t>All</t>
        </is>
      </c>
      <c r="K866" t="inlineStr">
        <is>
          <t>All</t>
        </is>
      </c>
      <c r="L866" t="inlineStr">
        <is>
          <t>x</t>
        </is>
      </c>
    </row>
    <row r="867">
      <c r="A867" t="inlineStr">
        <is>
          <t>H803</t>
        </is>
      </c>
      <c r="B867" t="inlineStr">
        <is>
          <t>CSS PROFILE</t>
        </is>
      </c>
      <c r="C867">
        <f>IFERROR(IF(VLOOKUP($A867,'CDS-H'!$A:$L,3,FALSE)="","",(VLOOKUP($A867,'CDS-H'!$A:$L,3,FALSE))),"")</f>
        <v/>
      </c>
      <c r="D867" t="inlineStr">
        <is>
          <t>Financial Aid</t>
        </is>
      </c>
      <c r="E867" t="inlineStr">
        <is>
          <t>Financial Aid Forms</t>
        </is>
      </c>
      <c r="F867" t="inlineStr">
        <is>
          <t>Applicants</t>
        </is>
      </c>
      <c r="G867" t="inlineStr">
        <is>
          <t>Undergraduate</t>
        </is>
      </c>
      <c r="H867" t="inlineStr">
        <is>
          <t>First-year</t>
        </is>
      </c>
      <c r="I867" t="inlineStr">
        <is>
          <t>Domestic</t>
        </is>
      </c>
      <c r="J867" t="inlineStr">
        <is>
          <t>All</t>
        </is>
      </c>
      <c r="K867" t="inlineStr">
        <is>
          <t>All</t>
        </is>
      </c>
      <c r="L867" t="inlineStr">
        <is>
          <t>x</t>
        </is>
      </c>
    </row>
    <row r="868">
      <c r="A868" t="inlineStr">
        <is>
          <t>H804</t>
        </is>
      </c>
      <c r="B868" t="inlineStr">
        <is>
          <t>State aid form</t>
        </is>
      </c>
      <c r="C868">
        <f>IFERROR(IF(VLOOKUP($A868,'CDS-H'!$A:$L,3,FALSE)="","",(VLOOKUP($A868,'CDS-H'!$A:$L,3,FALSE))),"")</f>
        <v/>
      </c>
      <c r="D868" t="inlineStr">
        <is>
          <t>Financial Aid</t>
        </is>
      </c>
      <c r="E868" t="inlineStr">
        <is>
          <t>Financial Aid Forms</t>
        </is>
      </c>
      <c r="F868" t="inlineStr">
        <is>
          <t>Applicants</t>
        </is>
      </c>
      <c r="G868" t="inlineStr">
        <is>
          <t>Undergraduate</t>
        </is>
      </c>
      <c r="H868" t="inlineStr">
        <is>
          <t>First-year</t>
        </is>
      </c>
      <c r="I868" t="inlineStr">
        <is>
          <t>Domestic</t>
        </is>
      </c>
      <c r="J868" t="inlineStr">
        <is>
          <t>All</t>
        </is>
      </c>
      <c r="K868" t="inlineStr">
        <is>
          <t>All</t>
        </is>
      </c>
      <c r="L868" t="inlineStr">
        <is>
          <t>x</t>
        </is>
      </c>
    </row>
    <row r="869">
      <c r="A869" t="inlineStr">
        <is>
          <t>H805</t>
        </is>
      </c>
      <c r="B869" s="33" t="inlineStr">
        <is>
          <t>Noncustodial PROFILE</t>
        </is>
      </c>
      <c r="C869">
        <f>IFERROR(IF(VLOOKUP($A869,'CDS-H'!$A:$L,3,FALSE)="","",(VLOOKUP($A869,'CDS-H'!$A:$L,3,FALSE))),"")</f>
        <v/>
      </c>
      <c r="D869" t="inlineStr">
        <is>
          <t>Financial Aid</t>
        </is>
      </c>
      <c r="E869" t="inlineStr">
        <is>
          <t>Financial Aid Forms</t>
        </is>
      </c>
      <c r="F869" t="inlineStr">
        <is>
          <t>Applicants</t>
        </is>
      </c>
      <c r="G869" t="inlineStr">
        <is>
          <t>Undergraduate</t>
        </is>
      </c>
      <c r="H869" t="inlineStr">
        <is>
          <t>First-year</t>
        </is>
      </c>
      <c r="I869" t="inlineStr">
        <is>
          <t>Domestic</t>
        </is>
      </c>
      <c r="J869" t="inlineStr">
        <is>
          <t>All</t>
        </is>
      </c>
      <c r="K869" t="inlineStr">
        <is>
          <t>All</t>
        </is>
      </c>
      <c r="L869" t="inlineStr">
        <is>
          <t>x</t>
        </is>
      </c>
    </row>
    <row r="870">
      <c r="A870" t="inlineStr">
        <is>
          <t>H806</t>
        </is>
      </c>
      <c r="B870" t="inlineStr">
        <is>
          <t>Business/Farm Supplement</t>
        </is>
      </c>
      <c r="C870">
        <f>IFERROR(IF(VLOOKUP($A870,'CDS-H'!$A:$L,3,FALSE)="","",(VLOOKUP($A870,'CDS-H'!$A:$L,3,FALSE))),"")</f>
        <v/>
      </c>
      <c r="D870" t="inlineStr">
        <is>
          <t>Financial Aid</t>
        </is>
      </c>
      <c r="E870" t="inlineStr">
        <is>
          <t>Financial Aid Forms</t>
        </is>
      </c>
      <c r="F870" t="inlineStr">
        <is>
          <t>Applicants</t>
        </is>
      </c>
      <c r="G870" t="inlineStr">
        <is>
          <t>Undergraduate</t>
        </is>
      </c>
      <c r="H870" t="inlineStr">
        <is>
          <t>First-year</t>
        </is>
      </c>
      <c r="I870" t="inlineStr">
        <is>
          <t>Domestic</t>
        </is>
      </c>
      <c r="J870" t="inlineStr">
        <is>
          <t>All</t>
        </is>
      </c>
      <c r="K870" t="inlineStr">
        <is>
          <t>All</t>
        </is>
      </c>
      <c r="L870" t="inlineStr">
        <is>
          <t>x</t>
        </is>
      </c>
    </row>
    <row r="871">
      <c r="A871" t="inlineStr">
        <is>
          <t>H807</t>
        </is>
      </c>
      <c r="B871" t="inlineStr">
        <is>
          <t>Other (specify):</t>
        </is>
      </c>
      <c r="C871">
        <f>IFERROR(IF(VLOOKUP($A871,'CDS-H'!$A:$L,3,FALSE)="","",(VLOOKUP($A871,'CDS-H'!$A:$L,3,FALSE))),"")</f>
        <v/>
      </c>
      <c r="D871" t="inlineStr">
        <is>
          <t>Financial Aid</t>
        </is>
      </c>
      <c r="E871" t="inlineStr">
        <is>
          <t>Financial Aid Forms</t>
        </is>
      </c>
      <c r="F871" t="inlineStr">
        <is>
          <t>Applicants</t>
        </is>
      </c>
      <c r="G871" t="inlineStr">
        <is>
          <t>Undergraduate</t>
        </is>
      </c>
      <c r="H871" t="inlineStr">
        <is>
          <t>First-year</t>
        </is>
      </c>
      <c r="I871" t="inlineStr">
        <is>
          <t>Domestic</t>
        </is>
      </c>
      <c r="J871" t="inlineStr">
        <is>
          <t>All</t>
        </is>
      </c>
      <c r="K871" t="inlineStr">
        <is>
          <t>All</t>
        </is>
      </c>
      <c r="L871" t="inlineStr">
        <is>
          <t>Text</t>
        </is>
      </c>
    </row>
    <row r="872">
      <c r="A872" t="inlineStr">
        <is>
          <t>H901</t>
        </is>
      </c>
      <c r="B872" t="inlineStr">
        <is>
          <t>Priority date for filing required financial aid forms:</t>
        </is>
      </c>
      <c r="C872">
        <f>IFERROR(IF(VLOOKUP($A872,'CDS-H'!$A:$L,3,FALSE)="","",(VLOOKUP($A872,'CDS-H'!$A:$L,3,FALSE))),"")</f>
        <v/>
      </c>
      <c r="D872" t="inlineStr">
        <is>
          <t>Financial Aid</t>
        </is>
      </c>
      <c r="E872" t="inlineStr">
        <is>
          <t>Financial Aid Deadlines</t>
        </is>
      </c>
      <c r="F872" t="inlineStr">
        <is>
          <t>All</t>
        </is>
      </c>
      <c r="G872" t="inlineStr">
        <is>
          <t>Undergraduate</t>
        </is>
      </c>
      <c r="H872" t="inlineStr">
        <is>
          <t>First-year</t>
        </is>
      </c>
      <c r="I872" t="inlineStr">
        <is>
          <t>All</t>
        </is>
      </c>
      <c r="J872" t="inlineStr">
        <is>
          <t>All</t>
        </is>
      </c>
      <c r="K872" t="inlineStr">
        <is>
          <t>All</t>
        </is>
      </c>
      <c r="L872" t="inlineStr">
        <is>
          <t>MM-DD</t>
        </is>
      </c>
    </row>
    <row r="873">
      <c r="A873" t="inlineStr">
        <is>
          <t>H902</t>
        </is>
      </c>
      <c r="B873" t="inlineStr">
        <is>
          <t>Deadline for filing required financial aid forms:</t>
        </is>
      </c>
      <c r="C873">
        <f>IFERROR(IF(VLOOKUP($A873,'CDS-H'!$A:$L,3,FALSE)="","",(VLOOKUP($A873,'CDS-H'!$A:$L,3,FALSE))),"")</f>
        <v/>
      </c>
      <c r="D873" t="inlineStr">
        <is>
          <t>Financial Aid</t>
        </is>
      </c>
      <c r="E873" t="inlineStr">
        <is>
          <t>Financial Aid Deadlines</t>
        </is>
      </c>
      <c r="F873" t="inlineStr">
        <is>
          <t>All</t>
        </is>
      </c>
      <c r="G873" t="inlineStr">
        <is>
          <t>Undergraduate</t>
        </is>
      </c>
      <c r="H873" t="inlineStr">
        <is>
          <t>First-year</t>
        </is>
      </c>
      <c r="I873" t="inlineStr">
        <is>
          <t>All</t>
        </is>
      </c>
      <c r="J873" t="inlineStr">
        <is>
          <t>All</t>
        </is>
      </c>
      <c r="K873" t="inlineStr">
        <is>
          <t>All</t>
        </is>
      </c>
      <c r="L873" t="inlineStr">
        <is>
          <t>MM-DD</t>
        </is>
      </c>
    </row>
    <row r="874">
      <c r="A874" t="inlineStr">
        <is>
          <t>H903</t>
        </is>
      </c>
      <c r="B874" t="inlineStr">
        <is>
          <t>No deadline for filing required forms (applications processed on a rolling basis)</t>
        </is>
      </c>
      <c r="C874">
        <f>IFERROR(IF(VLOOKUP($A874,'CDS-H'!$A:$L,3,FALSE)="","",(VLOOKUP($A874,'CDS-H'!$A:$L,3,FALSE))),"")</f>
        <v/>
      </c>
      <c r="D874" t="inlineStr">
        <is>
          <t>Financial Aid</t>
        </is>
      </c>
      <c r="E874" t="inlineStr">
        <is>
          <t>Financial Aid Deadlines</t>
        </is>
      </c>
      <c r="F874" t="inlineStr">
        <is>
          <t>All</t>
        </is>
      </c>
      <c r="G874" t="inlineStr">
        <is>
          <t>Undergraduate</t>
        </is>
      </c>
      <c r="H874" t="inlineStr">
        <is>
          <t>First-year</t>
        </is>
      </c>
      <c r="I874" t="inlineStr">
        <is>
          <t>All</t>
        </is>
      </c>
      <c r="J874" t="inlineStr">
        <is>
          <t>All</t>
        </is>
      </c>
      <c r="K874" t="inlineStr">
        <is>
          <t>All</t>
        </is>
      </c>
      <c r="L874" t="inlineStr">
        <is>
          <t>x</t>
        </is>
      </c>
    </row>
    <row r="875">
      <c r="A875" t="inlineStr">
        <is>
          <t>H1001</t>
        </is>
      </c>
      <c r="B875" t="inlineStr">
        <is>
          <t xml:space="preserve">a) Students notified on or about (date): </t>
        </is>
      </c>
      <c r="C875">
        <f>IFERROR(IF(VLOOKUP($A875,'CDS-H'!$A:$L,3,FALSE)="","",(VLOOKUP($A875,'CDS-H'!$A:$L,3,FALSE))),"")</f>
        <v/>
      </c>
      <c r="D875" t="inlineStr">
        <is>
          <t>Financial Aid</t>
        </is>
      </c>
      <c r="E875" t="inlineStr">
        <is>
          <t>Financial Aid Notification</t>
        </is>
      </c>
      <c r="F875" t="inlineStr">
        <is>
          <t>All</t>
        </is>
      </c>
      <c r="G875" t="inlineStr">
        <is>
          <t>Undergraduate</t>
        </is>
      </c>
      <c r="H875" t="inlineStr">
        <is>
          <t>First-year</t>
        </is>
      </c>
      <c r="I875" t="inlineStr">
        <is>
          <t>All</t>
        </is>
      </c>
      <c r="J875" t="inlineStr">
        <is>
          <t>All</t>
        </is>
      </c>
      <c r="K875" t="inlineStr">
        <is>
          <t>All</t>
        </is>
      </c>
      <c r="L875" t="inlineStr">
        <is>
          <t>MM-DD</t>
        </is>
      </c>
    </row>
    <row r="876">
      <c r="A876" t="inlineStr">
        <is>
          <t>H1002</t>
        </is>
      </c>
      <c r="B876" t="inlineStr">
        <is>
          <t>b) Students notified on a rolling basis:</t>
        </is>
      </c>
      <c r="C876">
        <f>IFERROR(IF(VLOOKUP($A876,'CDS-H'!$A:$L,3,FALSE)="","",(VLOOKUP($A876,'CDS-H'!$A:$L,3,FALSE))),"")</f>
        <v/>
      </c>
      <c r="D876" t="inlineStr">
        <is>
          <t>Financial Aid</t>
        </is>
      </c>
      <c r="E876" t="inlineStr">
        <is>
          <t>Financial Aid Notification</t>
        </is>
      </c>
      <c r="F876" t="inlineStr">
        <is>
          <t>All</t>
        </is>
      </c>
      <c r="G876" t="inlineStr">
        <is>
          <t>Undergraduate</t>
        </is>
      </c>
      <c r="H876" t="inlineStr">
        <is>
          <t>First-year</t>
        </is>
      </c>
      <c r="I876" t="inlineStr">
        <is>
          <t>All</t>
        </is>
      </c>
      <c r="J876" t="inlineStr">
        <is>
          <t>All</t>
        </is>
      </c>
      <c r="K876" t="inlineStr">
        <is>
          <t>All</t>
        </is>
      </c>
      <c r="L876" t="inlineStr">
        <is>
          <t>YN</t>
        </is>
      </c>
    </row>
    <row r="877">
      <c r="A877" t="inlineStr">
        <is>
          <t>H1003</t>
        </is>
      </c>
      <c r="B877" t="inlineStr">
        <is>
          <t>If yes, starting date:</t>
        </is>
      </c>
      <c r="C877">
        <f>IFERROR(IF(VLOOKUP($A877,'CDS-H'!$A:$L,3,FALSE)="","",(VLOOKUP($A877,'CDS-H'!$A:$L,3,FALSE))),"")</f>
        <v/>
      </c>
      <c r="D877" t="inlineStr">
        <is>
          <t>Financial Aid</t>
        </is>
      </c>
      <c r="E877" t="inlineStr">
        <is>
          <t>Financial Aid Notification</t>
        </is>
      </c>
      <c r="F877" t="inlineStr">
        <is>
          <t>All</t>
        </is>
      </c>
      <c r="G877" t="inlineStr">
        <is>
          <t>Undergraduate</t>
        </is>
      </c>
      <c r="H877" t="inlineStr">
        <is>
          <t>First-year</t>
        </is>
      </c>
      <c r="I877" t="inlineStr">
        <is>
          <t>All</t>
        </is>
      </c>
      <c r="J877" t="inlineStr">
        <is>
          <t>All</t>
        </is>
      </c>
      <c r="K877" t="inlineStr">
        <is>
          <t>All</t>
        </is>
      </c>
      <c r="L877" t="inlineStr">
        <is>
          <t>MM-DD</t>
        </is>
      </c>
    </row>
    <row r="878">
      <c r="A878" t="inlineStr">
        <is>
          <t>H1101</t>
        </is>
      </c>
      <c r="B878" t="inlineStr">
        <is>
          <t xml:space="preserve">Students must reply by (date): </t>
        </is>
      </c>
      <c r="C878">
        <f>IFERROR(IF(VLOOKUP($A878,'CDS-H'!$A:$L,3,FALSE)="","",(VLOOKUP($A878,'CDS-H'!$A:$L,3,FALSE))),"")</f>
        <v/>
      </c>
      <c r="D878" t="inlineStr">
        <is>
          <t>Financial Aid</t>
        </is>
      </c>
      <c r="E878" t="inlineStr">
        <is>
          <t>Financial Aid Reply</t>
        </is>
      </c>
      <c r="F878" t="inlineStr">
        <is>
          <t>All</t>
        </is>
      </c>
      <c r="G878" t="inlineStr">
        <is>
          <t>Undergraduate</t>
        </is>
      </c>
      <c r="H878" t="inlineStr">
        <is>
          <t>First-year</t>
        </is>
      </c>
      <c r="I878" t="inlineStr">
        <is>
          <t>All</t>
        </is>
      </c>
      <c r="J878" t="inlineStr">
        <is>
          <t>All</t>
        </is>
      </c>
      <c r="K878" t="inlineStr">
        <is>
          <t>All</t>
        </is>
      </c>
      <c r="L878" t="inlineStr">
        <is>
          <t>MM-DD</t>
        </is>
      </c>
    </row>
    <row r="879">
      <c r="A879" t="inlineStr">
        <is>
          <t>H1102</t>
        </is>
      </c>
      <c r="B879" t="inlineStr">
        <is>
          <t>or within____weeks of notification.</t>
        </is>
      </c>
      <c r="C879">
        <f>IFERROR(IF(VLOOKUP($A879,'CDS-H'!$A:$L,3,FALSE)="","",(VLOOKUP($A879,'CDS-H'!$A:$L,3,FALSE))),"")</f>
        <v/>
      </c>
      <c r="D879" t="inlineStr">
        <is>
          <t>Financial Aid</t>
        </is>
      </c>
      <c r="E879" t="inlineStr">
        <is>
          <t>Financial Aid Reply</t>
        </is>
      </c>
      <c r="F879" t="inlineStr">
        <is>
          <t>All</t>
        </is>
      </c>
      <c r="G879" t="inlineStr">
        <is>
          <t>Undergraduate</t>
        </is>
      </c>
      <c r="H879" t="inlineStr">
        <is>
          <t>First-year</t>
        </is>
      </c>
      <c r="I879" t="inlineStr">
        <is>
          <t>All</t>
        </is>
      </c>
      <c r="J879" t="inlineStr">
        <is>
          <t>All</t>
        </is>
      </c>
      <c r="K879" t="inlineStr">
        <is>
          <t>All</t>
        </is>
      </c>
      <c r="L879" t="inlineStr">
        <is>
          <t>Number</t>
        </is>
      </c>
    </row>
    <row r="880">
      <c r="A880" t="inlineStr">
        <is>
          <t>H1201</t>
        </is>
      </c>
      <c r="B880" t="inlineStr">
        <is>
          <t>Federal Direct Subsidized Stafford Loans</t>
        </is>
      </c>
      <c r="C880">
        <f>IFERROR(IF(VLOOKUP($A880,'CDS-H'!$A:$L,3,FALSE)="","",(VLOOKUP($A880,'CDS-H'!$A:$L,3,FALSE))),"")</f>
        <v/>
      </c>
      <c r="D880" t="inlineStr">
        <is>
          <t>Financial Aid</t>
        </is>
      </c>
      <c r="E880" t="inlineStr">
        <is>
          <t>Aid Available</t>
        </is>
      </c>
      <c r="F880" t="inlineStr">
        <is>
          <t>Loans</t>
        </is>
      </c>
      <c r="G880" t="inlineStr">
        <is>
          <t>Undergraduate</t>
        </is>
      </c>
      <c r="H880" t="inlineStr">
        <is>
          <t>Undergraduates</t>
        </is>
      </c>
      <c r="I880" t="inlineStr">
        <is>
          <t>All</t>
        </is>
      </c>
      <c r="J880" t="inlineStr">
        <is>
          <t>All</t>
        </is>
      </c>
      <c r="K880" t="inlineStr">
        <is>
          <t>All</t>
        </is>
      </c>
      <c r="L880" t="inlineStr">
        <is>
          <t>x</t>
        </is>
      </c>
    </row>
    <row r="881">
      <c r="A881" t="inlineStr">
        <is>
          <t>H1202</t>
        </is>
      </c>
      <c r="B881" t="inlineStr">
        <is>
          <t>Federal Direct Unsubsidized Stafford Loans</t>
        </is>
      </c>
      <c r="C881">
        <f>IFERROR(IF(VLOOKUP($A881,'CDS-H'!$A:$L,3,FALSE)="","",(VLOOKUP($A881,'CDS-H'!$A:$L,3,FALSE))),"")</f>
        <v/>
      </c>
      <c r="D881" t="inlineStr">
        <is>
          <t>Financial Aid</t>
        </is>
      </c>
      <c r="E881" t="inlineStr">
        <is>
          <t>Aid Available</t>
        </is>
      </c>
      <c r="F881" t="inlineStr">
        <is>
          <t>Loans</t>
        </is>
      </c>
      <c r="G881" t="inlineStr">
        <is>
          <t>Undergraduate</t>
        </is>
      </c>
      <c r="H881" t="inlineStr">
        <is>
          <t>Undergraduates</t>
        </is>
      </c>
      <c r="I881" t="inlineStr">
        <is>
          <t>All</t>
        </is>
      </c>
      <c r="J881" t="inlineStr">
        <is>
          <t>All</t>
        </is>
      </c>
      <c r="K881" t="inlineStr">
        <is>
          <t>All</t>
        </is>
      </c>
      <c r="L881" t="inlineStr">
        <is>
          <t>x</t>
        </is>
      </c>
    </row>
    <row r="882">
      <c r="A882" t="inlineStr">
        <is>
          <t>H1203</t>
        </is>
      </c>
      <c r="B882" t="inlineStr">
        <is>
          <t>Federal Direct PLUS Loans</t>
        </is>
      </c>
      <c r="C882">
        <f>IFERROR(IF(VLOOKUP($A882,'CDS-H'!$A:$L,3,FALSE)="","",(VLOOKUP($A882,'CDS-H'!$A:$L,3,FALSE))),"")</f>
        <v/>
      </c>
      <c r="D882" t="inlineStr">
        <is>
          <t>Financial Aid</t>
        </is>
      </c>
      <c r="E882" t="inlineStr">
        <is>
          <t>Aid Available</t>
        </is>
      </c>
      <c r="F882" t="inlineStr">
        <is>
          <t>Loans</t>
        </is>
      </c>
      <c r="G882" t="inlineStr">
        <is>
          <t>Undergraduate</t>
        </is>
      </c>
      <c r="H882" t="inlineStr">
        <is>
          <t>Undergraduates</t>
        </is>
      </c>
      <c r="I882" t="inlineStr">
        <is>
          <t>All</t>
        </is>
      </c>
      <c r="J882" t="inlineStr">
        <is>
          <t>All</t>
        </is>
      </c>
      <c r="K882" t="inlineStr">
        <is>
          <t>All</t>
        </is>
      </c>
      <c r="L882" t="inlineStr">
        <is>
          <t>x</t>
        </is>
      </c>
    </row>
    <row r="883">
      <c r="A883" t="inlineStr">
        <is>
          <t>H1204</t>
        </is>
      </c>
      <c r="B883" t="inlineStr">
        <is>
          <t>Federal Nursing Loans</t>
        </is>
      </c>
      <c r="C883">
        <f>IFERROR(IF(VLOOKUP($A883,'CDS-H'!$A:$L,3,FALSE)="","",(VLOOKUP($A883,'CDS-H'!$A:$L,3,FALSE))),"")</f>
        <v/>
      </c>
      <c r="D883" t="inlineStr">
        <is>
          <t>Financial Aid</t>
        </is>
      </c>
      <c r="E883" t="inlineStr">
        <is>
          <t>Aid Available</t>
        </is>
      </c>
      <c r="F883" t="inlineStr">
        <is>
          <t>Loans</t>
        </is>
      </c>
      <c r="G883" t="inlineStr">
        <is>
          <t>Undergraduate</t>
        </is>
      </c>
      <c r="H883" t="inlineStr">
        <is>
          <t>Undergraduates</t>
        </is>
      </c>
      <c r="I883" t="inlineStr">
        <is>
          <t>All</t>
        </is>
      </c>
      <c r="J883" t="inlineStr">
        <is>
          <t>All</t>
        </is>
      </c>
      <c r="K883" t="inlineStr">
        <is>
          <t>All</t>
        </is>
      </c>
      <c r="L883" t="inlineStr">
        <is>
          <t>x</t>
        </is>
      </c>
    </row>
    <row r="884">
      <c r="A884" t="inlineStr">
        <is>
          <t>H1205</t>
        </is>
      </c>
      <c r="B884" t="inlineStr">
        <is>
          <t>State Loans</t>
        </is>
      </c>
      <c r="C884">
        <f>IFERROR(IF(VLOOKUP($A884,'CDS-H'!$A:$L,3,FALSE)="","",(VLOOKUP($A884,'CDS-H'!$A:$L,3,FALSE))),"")</f>
        <v/>
      </c>
      <c r="D884" t="inlineStr">
        <is>
          <t>Financial Aid</t>
        </is>
      </c>
      <c r="E884" t="inlineStr">
        <is>
          <t>Aid Available</t>
        </is>
      </c>
      <c r="F884" t="inlineStr">
        <is>
          <t>Loans</t>
        </is>
      </c>
      <c r="G884" t="inlineStr">
        <is>
          <t>Undergraduate</t>
        </is>
      </c>
      <c r="H884" t="inlineStr">
        <is>
          <t>Undergraduates</t>
        </is>
      </c>
      <c r="I884" t="inlineStr">
        <is>
          <t>All</t>
        </is>
      </c>
      <c r="J884" t="inlineStr">
        <is>
          <t>All</t>
        </is>
      </c>
      <c r="K884" t="inlineStr">
        <is>
          <t>All</t>
        </is>
      </c>
      <c r="L884" t="inlineStr">
        <is>
          <t>x</t>
        </is>
      </c>
    </row>
    <row r="885">
      <c r="A885" t="inlineStr">
        <is>
          <t>H1206</t>
        </is>
      </c>
      <c r="B885" t="inlineStr">
        <is>
          <t>College/university loans from institutional funds</t>
        </is>
      </c>
      <c r="C885">
        <f>IFERROR(IF(VLOOKUP($A885,'CDS-H'!$A:$L,3,FALSE)="","",(VLOOKUP($A885,'CDS-H'!$A:$L,3,FALSE))),"")</f>
        <v/>
      </c>
      <c r="D885" t="inlineStr">
        <is>
          <t>Financial Aid</t>
        </is>
      </c>
      <c r="E885" t="inlineStr">
        <is>
          <t>Aid Available</t>
        </is>
      </c>
      <c r="F885" t="inlineStr">
        <is>
          <t>Loans</t>
        </is>
      </c>
      <c r="G885" t="inlineStr">
        <is>
          <t>Undergraduate</t>
        </is>
      </c>
      <c r="H885" t="inlineStr">
        <is>
          <t>Undergraduates</t>
        </is>
      </c>
      <c r="I885" t="inlineStr">
        <is>
          <t>All</t>
        </is>
      </c>
      <c r="J885" t="inlineStr">
        <is>
          <t>All</t>
        </is>
      </c>
      <c r="K885" t="inlineStr">
        <is>
          <t>All</t>
        </is>
      </c>
      <c r="L885" t="inlineStr">
        <is>
          <t>x</t>
        </is>
      </c>
    </row>
    <row r="886">
      <c r="A886" t="inlineStr">
        <is>
          <t>H1207</t>
        </is>
      </c>
      <c r="B886" t="inlineStr">
        <is>
          <t>Other (specify):</t>
        </is>
      </c>
      <c r="C886">
        <f>IFERROR(IF(VLOOKUP($A886,'CDS-H'!$A:$L,3,FALSE)="","",(VLOOKUP($A886,'CDS-H'!$A:$L,3,FALSE))),"")</f>
        <v/>
      </c>
      <c r="D886" t="inlineStr">
        <is>
          <t>Financial Aid</t>
        </is>
      </c>
      <c r="E886" t="inlineStr">
        <is>
          <t>Aid Available</t>
        </is>
      </c>
      <c r="F886" t="inlineStr">
        <is>
          <t>Loans</t>
        </is>
      </c>
      <c r="G886" t="inlineStr">
        <is>
          <t>Undergraduate</t>
        </is>
      </c>
      <c r="H886" t="inlineStr">
        <is>
          <t>Undergraduates</t>
        </is>
      </c>
      <c r="I886" t="inlineStr">
        <is>
          <t>All</t>
        </is>
      </c>
      <c r="J886" t="inlineStr">
        <is>
          <t>All</t>
        </is>
      </c>
      <c r="K886" t="inlineStr">
        <is>
          <t>All</t>
        </is>
      </c>
      <c r="L886" t="inlineStr">
        <is>
          <t>Text</t>
        </is>
      </c>
    </row>
    <row r="887">
      <c r="A887" t="inlineStr">
        <is>
          <t>H1301</t>
        </is>
      </c>
      <c r="B887" t="inlineStr">
        <is>
          <t>Federal Pell Grants</t>
        </is>
      </c>
      <c r="C887">
        <f>IFERROR(IF(VLOOKUP($A887,'CDS-H'!$A:$L,3,FALSE)="","",(VLOOKUP($A887,'CDS-H'!$A:$L,3,FALSE))),"")</f>
        <v/>
      </c>
      <c r="D887" t="inlineStr">
        <is>
          <t>Financial Aid</t>
        </is>
      </c>
      <c r="E887" t="inlineStr">
        <is>
          <t>Aid Available</t>
        </is>
      </c>
      <c r="F887" t="inlineStr">
        <is>
          <t>Need Based Schl Grt</t>
        </is>
      </c>
      <c r="G887" t="inlineStr">
        <is>
          <t>Undergraduate</t>
        </is>
      </c>
      <c r="H887" t="inlineStr">
        <is>
          <t>Undergraduates</t>
        </is>
      </c>
      <c r="I887" t="inlineStr">
        <is>
          <t>All</t>
        </is>
      </c>
      <c r="J887" t="inlineStr">
        <is>
          <t>All</t>
        </is>
      </c>
      <c r="K887" t="inlineStr">
        <is>
          <t>All</t>
        </is>
      </c>
      <c r="L887" t="inlineStr">
        <is>
          <t>x</t>
        </is>
      </c>
    </row>
    <row r="888">
      <c r="A888" t="inlineStr">
        <is>
          <t>H1302</t>
        </is>
      </c>
      <c r="B888" t="inlineStr">
        <is>
          <t>Federal SEOG</t>
        </is>
      </c>
      <c r="C888">
        <f>IFERROR(IF(VLOOKUP($A888,'CDS-H'!$A:$L,3,FALSE)="","",(VLOOKUP($A888,'CDS-H'!$A:$L,3,FALSE))),"")</f>
        <v/>
      </c>
      <c r="D888" t="inlineStr">
        <is>
          <t>Financial Aid</t>
        </is>
      </c>
      <c r="E888" t="inlineStr">
        <is>
          <t>Aid Available</t>
        </is>
      </c>
      <c r="F888" t="inlineStr">
        <is>
          <t>Need Based Schl Grt</t>
        </is>
      </c>
      <c r="G888" t="inlineStr">
        <is>
          <t>Undergraduate</t>
        </is>
      </c>
      <c r="H888" t="inlineStr">
        <is>
          <t>Undergraduates</t>
        </is>
      </c>
      <c r="I888" t="inlineStr">
        <is>
          <t>All</t>
        </is>
      </c>
      <c r="J888" t="inlineStr">
        <is>
          <t>All</t>
        </is>
      </c>
      <c r="K888" t="inlineStr">
        <is>
          <t>All</t>
        </is>
      </c>
      <c r="L888" t="inlineStr">
        <is>
          <t>x</t>
        </is>
      </c>
    </row>
    <row r="889">
      <c r="A889" t="inlineStr">
        <is>
          <t>H1303</t>
        </is>
      </c>
      <c r="B889" t="inlineStr">
        <is>
          <t>State scholarships/grants</t>
        </is>
      </c>
      <c r="C889">
        <f>IFERROR(IF(VLOOKUP($A889,'CDS-H'!$A:$L,3,FALSE)="","",(VLOOKUP($A889,'CDS-H'!$A:$L,3,FALSE))),"")</f>
        <v/>
      </c>
      <c r="D889" t="inlineStr">
        <is>
          <t>Financial Aid</t>
        </is>
      </c>
      <c r="E889" t="inlineStr">
        <is>
          <t>Aid Available</t>
        </is>
      </c>
      <c r="F889" t="inlineStr">
        <is>
          <t>Need Based Schl Grt</t>
        </is>
      </c>
      <c r="G889" t="inlineStr">
        <is>
          <t>Undergraduate</t>
        </is>
      </c>
      <c r="H889" t="inlineStr">
        <is>
          <t>Undergraduates</t>
        </is>
      </c>
      <c r="I889" t="inlineStr">
        <is>
          <t>All</t>
        </is>
      </c>
      <c r="J889" t="inlineStr">
        <is>
          <t>All</t>
        </is>
      </c>
      <c r="K889" t="inlineStr">
        <is>
          <t>All</t>
        </is>
      </c>
      <c r="L889" t="inlineStr">
        <is>
          <t>x</t>
        </is>
      </c>
    </row>
    <row r="890">
      <c r="A890" t="inlineStr">
        <is>
          <t>H1304</t>
        </is>
      </c>
      <c r="B890" t="inlineStr">
        <is>
          <t>Private scholarships</t>
        </is>
      </c>
      <c r="C890">
        <f>IFERROR(IF(VLOOKUP($A890,'CDS-H'!$A:$L,3,FALSE)="","",(VLOOKUP($A890,'CDS-H'!$A:$L,3,FALSE))),"")</f>
        <v/>
      </c>
      <c r="D890" t="inlineStr">
        <is>
          <t>Financial Aid</t>
        </is>
      </c>
      <c r="E890" t="inlineStr">
        <is>
          <t>Aid Available</t>
        </is>
      </c>
      <c r="F890" t="inlineStr">
        <is>
          <t>Need Based Schl Grt</t>
        </is>
      </c>
      <c r="G890" t="inlineStr">
        <is>
          <t>Undergraduate</t>
        </is>
      </c>
      <c r="H890" t="inlineStr">
        <is>
          <t>Undergraduates</t>
        </is>
      </c>
      <c r="I890" t="inlineStr">
        <is>
          <t>All</t>
        </is>
      </c>
      <c r="J890" t="inlineStr">
        <is>
          <t>All</t>
        </is>
      </c>
      <c r="K890" t="inlineStr">
        <is>
          <t>All</t>
        </is>
      </c>
      <c r="L890" t="inlineStr">
        <is>
          <t>x</t>
        </is>
      </c>
    </row>
    <row r="891">
      <c r="A891" t="inlineStr">
        <is>
          <t>H1305</t>
        </is>
      </c>
      <c r="B891" t="inlineStr">
        <is>
          <t>College/university scholarship or grant aid from institutional funds</t>
        </is>
      </c>
      <c r="C891">
        <f>IFERROR(IF(VLOOKUP($A891,'CDS-H'!$A:$L,3,FALSE)="","",(VLOOKUP($A891,'CDS-H'!$A:$L,3,FALSE))),"")</f>
        <v/>
      </c>
      <c r="D891" t="inlineStr">
        <is>
          <t>Financial Aid</t>
        </is>
      </c>
      <c r="E891" t="inlineStr">
        <is>
          <t>Aid Available</t>
        </is>
      </c>
      <c r="F891" t="inlineStr">
        <is>
          <t>Need Based Schl Grt</t>
        </is>
      </c>
      <c r="G891" t="inlineStr">
        <is>
          <t>Undergraduate</t>
        </is>
      </c>
      <c r="H891" t="inlineStr">
        <is>
          <t>Undergraduates</t>
        </is>
      </c>
      <c r="I891" t="inlineStr">
        <is>
          <t>All</t>
        </is>
      </c>
      <c r="J891" t="inlineStr">
        <is>
          <t>All</t>
        </is>
      </c>
      <c r="K891" t="inlineStr">
        <is>
          <t>All</t>
        </is>
      </c>
      <c r="L891" t="inlineStr">
        <is>
          <t>x</t>
        </is>
      </c>
    </row>
    <row r="892">
      <c r="A892" t="inlineStr">
        <is>
          <t>H1306</t>
        </is>
      </c>
      <c r="B892" t="inlineStr">
        <is>
          <t>United Negro College Fund</t>
        </is>
      </c>
      <c r="C892">
        <f>IFERROR(IF(VLOOKUP($A892,'CDS-H'!$A:$L,3,FALSE)="","",(VLOOKUP($A892,'CDS-H'!$A:$L,3,FALSE))),"")</f>
        <v/>
      </c>
      <c r="D892" t="inlineStr">
        <is>
          <t>Financial Aid</t>
        </is>
      </c>
      <c r="E892" t="inlineStr">
        <is>
          <t>Aid Available</t>
        </is>
      </c>
      <c r="F892" t="inlineStr">
        <is>
          <t>Need Based Schl Grt</t>
        </is>
      </c>
      <c r="G892" t="inlineStr">
        <is>
          <t>Undergraduate</t>
        </is>
      </c>
      <c r="H892" t="inlineStr">
        <is>
          <t>Undergraduates</t>
        </is>
      </c>
      <c r="I892" t="inlineStr">
        <is>
          <t>All</t>
        </is>
      </c>
      <c r="J892" t="inlineStr">
        <is>
          <t>All</t>
        </is>
      </c>
      <c r="K892" t="inlineStr">
        <is>
          <t>All</t>
        </is>
      </c>
      <c r="L892" t="inlineStr">
        <is>
          <t>x</t>
        </is>
      </c>
    </row>
    <row r="893">
      <c r="A893" t="inlineStr">
        <is>
          <t>H1307</t>
        </is>
      </c>
      <c r="B893" t="inlineStr">
        <is>
          <t>Federal Nursing Scholarship</t>
        </is>
      </c>
      <c r="C893">
        <f>IFERROR(IF(VLOOKUP($A893,'CDS-H'!$A:$L,3,FALSE)="","",(VLOOKUP($A893,'CDS-H'!$A:$L,3,FALSE))),"")</f>
        <v/>
      </c>
      <c r="D893" t="inlineStr">
        <is>
          <t>Financial Aid</t>
        </is>
      </c>
      <c r="E893" t="inlineStr">
        <is>
          <t>Aid Available</t>
        </is>
      </c>
      <c r="F893" t="inlineStr">
        <is>
          <t>Need Based Schl Grt</t>
        </is>
      </c>
      <c r="G893" t="inlineStr">
        <is>
          <t>Undergraduate</t>
        </is>
      </c>
      <c r="H893" t="inlineStr">
        <is>
          <t>Undergraduates</t>
        </is>
      </c>
      <c r="I893" t="inlineStr">
        <is>
          <t>All</t>
        </is>
      </c>
      <c r="J893" t="inlineStr">
        <is>
          <t>All</t>
        </is>
      </c>
      <c r="K893" t="inlineStr">
        <is>
          <t>All</t>
        </is>
      </c>
      <c r="L893" t="inlineStr">
        <is>
          <t>x</t>
        </is>
      </c>
    </row>
    <row r="894">
      <c r="A894" t="inlineStr">
        <is>
          <t>H1308</t>
        </is>
      </c>
      <c r="B894" t="inlineStr">
        <is>
          <t>Other (specify):</t>
        </is>
      </c>
      <c r="C894">
        <f>IFERROR(IF(VLOOKUP($A894,'CDS-H'!$A:$L,3,FALSE)="","",(VLOOKUP($A894,'CDS-H'!$A:$L,3,FALSE))),"")</f>
        <v/>
      </c>
      <c r="D894" t="inlineStr">
        <is>
          <t>Financial Aid</t>
        </is>
      </c>
      <c r="E894" t="inlineStr">
        <is>
          <t>Aid Available</t>
        </is>
      </c>
      <c r="F894" t="inlineStr">
        <is>
          <t>Need Based Schl Grt</t>
        </is>
      </c>
      <c r="G894" t="inlineStr">
        <is>
          <t>Undergraduate</t>
        </is>
      </c>
      <c r="H894" t="inlineStr">
        <is>
          <t>Undergraduates</t>
        </is>
      </c>
      <c r="I894" t="inlineStr">
        <is>
          <t>All</t>
        </is>
      </c>
      <c r="J894" t="inlineStr">
        <is>
          <t>All</t>
        </is>
      </c>
      <c r="K894" t="inlineStr">
        <is>
          <t>All</t>
        </is>
      </c>
      <c r="L894" t="inlineStr">
        <is>
          <t>Text</t>
        </is>
      </c>
    </row>
    <row r="895">
      <c r="A895" t="inlineStr">
        <is>
          <t>H1401</t>
        </is>
      </c>
      <c r="B895" t="inlineStr">
        <is>
          <t>Academics</t>
        </is>
      </c>
      <c r="C895">
        <f>IFERROR(IF(VLOOKUP($A895,'CDS-H'!$A:$L,3,FALSE)="","",(VLOOKUP($A895,'CDS-H'!$A:$L,3,FALSE))),"")</f>
        <v/>
      </c>
      <c r="D895" t="inlineStr">
        <is>
          <t>Financial Aid</t>
        </is>
      </c>
      <c r="E895" t="inlineStr">
        <is>
          <t>Institutional Aid</t>
        </is>
      </c>
      <c r="F895" t="inlineStr">
        <is>
          <t>Non-Need Based Criteria</t>
        </is>
      </c>
      <c r="G895" t="inlineStr">
        <is>
          <t>Undergraduate</t>
        </is>
      </c>
      <c r="H895" t="inlineStr">
        <is>
          <t>Undergraduates</t>
        </is>
      </c>
      <c r="I895" t="inlineStr">
        <is>
          <t>All</t>
        </is>
      </c>
      <c r="J895" t="inlineStr">
        <is>
          <t>All</t>
        </is>
      </c>
      <c r="K895" t="inlineStr">
        <is>
          <t>All</t>
        </is>
      </c>
      <c r="L895" t="inlineStr">
        <is>
          <t>x</t>
        </is>
      </c>
    </row>
    <row r="896">
      <c r="A896" t="inlineStr">
        <is>
          <t>H1402</t>
        </is>
      </c>
      <c r="B896" t="inlineStr">
        <is>
          <t>Alumni affiliation</t>
        </is>
      </c>
      <c r="C896">
        <f>IFERROR(IF(VLOOKUP($A896,'CDS-H'!$A:$L,3,FALSE)="","",(VLOOKUP($A896,'CDS-H'!$A:$L,3,FALSE))),"")</f>
        <v/>
      </c>
      <c r="D896" t="inlineStr">
        <is>
          <t>Financial Aid</t>
        </is>
      </c>
      <c r="E896" t="inlineStr">
        <is>
          <t>Institutional Aid</t>
        </is>
      </c>
      <c r="F896" t="inlineStr">
        <is>
          <t>Non-Need Based Criteria</t>
        </is>
      </c>
      <c r="G896" t="inlineStr">
        <is>
          <t>Undergraduate</t>
        </is>
      </c>
      <c r="H896" t="inlineStr">
        <is>
          <t>Undergraduates</t>
        </is>
      </c>
      <c r="I896" t="inlineStr">
        <is>
          <t>All</t>
        </is>
      </c>
      <c r="J896" t="inlineStr">
        <is>
          <t>All</t>
        </is>
      </c>
      <c r="K896" t="inlineStr">
        <is>
          <t>All</t>
        </is>
      </c>
      <c r="L896" t="inlineStr">
        <is>
          <t>x</t>
        </is>
      </c>
    </row>
    <row r="897">
      <c r="A897" t="inlineStr">
        <is>
          <t>H1403</t>
        </is>
      </c>
      <c r="B897" t="inlineStr">
        <is>
          <t>Art</t>
        </is>
      </c>
      <c r="C897">
        <f>IFERROR(IF(VLOOKUP($A897,'CDS-H'!$A:$L,3,FALSE)="","",(VLOOKUP($A897,'CDS-H'!$A:$L,3,FALSE))),"")</f>
        <v/>
      </c>
      <c r="D897" t="inlineStr">
        <is>
          <t>Financial Aid</t>
        </is>
      </c>
      <c r="E897" t="inlineStr">
        <is>
          <t>Institutional Aid</t>
        </is>
      </c>
      <c r="F897" t="inlineStr">
        <is>
          <t>Non-Need Based Criteria</t>
        </is>
      </c>
      <c r="G897" t="inlineStr">
        <is>
          <t>Undergraduate</t>
        </is>
      </c>
      <c r="H897" t="inlineStr">
        <is>
          <t>Undergraduates</t>
        </is>
      </c>
      <c r="I897" t="inlineStr">
        <is>
          <t>All</t>
        </is>
      </c>
      <c r="J897" t="inlineStr">
        <is>
          <t>All</t>
        </is>
      </c>
      <c r="K897" t="inlineStr">
        <is>
          <t>All</t>
        </is>
      </c>
      <c r="L897" t="inlineStr">
        <is>
          <t>x</t>
        </is>
      </c>
    </row>
    <row r="898">
      <c r="A898" t="inlineStr">
        <is>
          <t>H1404</t>
        </is>
      </c>
      <c r="B898" t="inlineStr">
        <is>
          <t>Athletics</t>
        </is>
      </c>
      <c r="C898">
        <f>IFERROR(IF(VLOOKUP($A898,'CDS-H'!$A:$L,3,FALSE)="","",(VLOOKUP($A898,'CDS-H'!$A:$L,3,FALSE))),"")</f>
        <v/>
      </c>
      <c r="D898" t="inlineStr">
        <is>
          <t>Financial Aid</t>
        </is>
      </c>
      <c r="E898" t="inlineStr">
        <is>
          <t>Institutional Aid</t>
        </is>
      </c>
      <c r="F898" t="inlineStr">
        <is>
          <t>Non-Need Based Criteria</t>
        </is>
      </c>
      <c r="G898" t="inlineStr">
        <is>
          <t>Undergraduate</t>
        </is>
      </c>
      <c r="H898" t="inlineStr">
        <is>
          <t>Undergraduates</t>
        </is>
      </c>
      <c r="I898" t="inlineStr">
        <is>
          <t>All</t>
        </is>
      </c>
      <c r="J898" t="inlineStr">
        <is>
          <t>All</t>
        </is>
      </c>
      <c r="K898" t="inlineStr">
        <is>
          <t>All</t>
        </is>
      </c>
      <c r="L898" t="inlineStr">
        <is>
          <t>x</t>
        </is>
      </c>
    </row>
    <row r="899">
      <c r="A899" t="inlineStr">
        <is>
          <t>H1405</t>
        </is>
      </c>
      <c r="B899" t="inlineStr">
        <is>
          <t>Job skills</t>
        </is>
      </c>
      <c r="C899">
        <f>IFERROR(IF(VLOOKUP($A899,'CDS-H'!$A:$L,3,FALSE)="","",(VLOOKUP($A899,'CDS-H'!$A:$L,3,FALSE))),"")</f>
        <v/>
      </c>
      <c r="D899" t="inlineStr">
        <is>
          <t>Financial Aid</t>
        </is>
      </c>
      <c r="E899" t="inlineStr">
        <is>
          <t>Institutional Aid</t>
        </is>
      </c>
      <c r="F899" t="inlineStr">
        <is>
          <t>Non-Need Based Criteria</t>
        </is>
      </c>
      <c r="G899" t="inlineStr">
        <is>
          <t>Undergraduate</t>
        </is>
      </c>
      <c r="H899" t="inlineStr">
        <is>
          <t>Undergraduates</t>
        </is>
      </c>
      <c r="I899" t="inlineStr">
        <is>
          <t>All</t>
        </is>
      </c>
      <c r="J899" t="inlineStr">
        <is>
          <t>All</t>
        </is>
      </c>
      <c r="K899" t="inlineStr">
        <is>
          <t>All</t>
        </is>
      </c>
      <c r="L899" t="inlineStr">
        <is>
          <t>x</t>
        </is>
      </c>
    </row>
    <row r="900">
      <c r="A900" t="inlineStr">
        <is>
          <t>H1406</t>
        </is>
      </c>
      <c r="B900" t="inlineStr">
        <is>
          <t>ROTC</t>
        </is>
      </c>
      <c r="C900">
        <f>IFERROR(IF(VLOOKUP($A900,'CDS-H'!$A:$L,3,FALSE)="","",(VLOOKUP($A900,'CDS-H'!$A:$L,3,FALSE))),"")</f>
        <v/>
      </c>
      <c r="D900" t="inlineStr">
        <is>
          <t>Financial Aid</t>
        </is>
      </c>
      <c r="E900" t="inlineStr">
        <is>
          <t>Institutional Aid</t>
        </is>
      </c>
      <c r="F900" t="inlineStr">
        <is>
          <t>Non-Need Based Criteria</t>
        </is>
      </c>
      <c r="G900" t="inlineStr">
        <is>
          <t>Undergraduate</t>
        </is>
      </c>
      <c r="H900" t="inlineStr">
        <is>
          <t>Undergraduates</t>
        </is>
      </c>
      <c r="I900" t="inlineStr">
        <is>
          <t>All</t>
        </is>
      </c>
      <c r="J900" t="inlineStr">
        <is>
          <t>All</t>
        </is>
      </c>
      <c r="K900" t="inlineStr">
        <is>
          <t>All</t>
        </is>
      </c>
      <c r="L900" t="inlineStr">
        <is>
          <t>x</t>
        </is>
      </c>
    </row>
    <row r="901">
      <c r="A901" t="inlineStr">
        <is>
          <t>H1407</t>
        </is>
      </c>
      <c r="B901" t="inlineStr">
        <is>
          <t>Leadership</t>
        </is>
      </c>
      <c r="C901">
        <f>IFERROR(IF(VLOOKUP($A901,'CDS-H'!$A:$L,3,FALSE)="","",(VLOOKUP($A901,'CDS-H'!$A:$L,3,FALSE))),"")</f>
        <v/>
      </c>
      <c r="D901" t="inlineStr">
        <is>
          <t>Financial Aid</t>
        </is>
      </c>
      <c r="E901" t="inlineStr">
        <is>
          <t>Institutional Aid</t>
        </is>
      </c>
      <c r="F901" t="inlineStr">
        <is>
          <t>Non-Need Based Criteria</t>
        </is>
      </c>
      <c r="G901" t="inlineStr">
        <is>
          <t>Undergraduate</t>
        </is>
      </c>
      <c r="H901" t="inlineStr">
        <is>
          <t>Undergraduates</t>
        </is>
      </c>
      <c r="I901" t="inlineStr">
        <is>
          <t>All</t>
        </is>
      </c>
      <c r="J901" t="inlineStr">
        <is>
          <t>All</t>
        </is>
      </c>
      <c r="K901" t="inlineStr">
        <is>
          <t>All</t>
        </is>
      </c>
      <c r="L901" t="inlineStr">
        <is>
          <t>x</t>
        </is>
      </c>
    </row>
    <row r="902">
      <c r="A902" t="inlineStr">
        <is>
          <t>H1408</t>
        </is>
      </c>
      <c r="B902" t="inlineStr">
        <is>
          <t>Music/drama</t>
        </is>
      </c>
      <c r="C902">
        <f>IFERROR(IF(VLOOKUP($A902,'CDS-H'!$A:$L,3,FALSE)="","",(VLOOKUP($A902,'CDS-H'!$A:$L,3,FALSE))),"")</f>
        <v/>
      </c>
      <c r="D902" t="inlineStr">
        <is>
          <t>Financial Aid</t>
        </is>
      </c>
      <c r="E902" t="inlineStr">
        <is>
          <t>Institutional Aid</t>
        </is>
      </c>
      <c r="F902" t="inlineStr">
        <is>
          <t>Non-Need Based Criteria</t>
        </is>
      </c>
      <c r="G902" t="inlineStr">
        <is>
          <t>Undergraduate</t>
        </is>
      </c>
      <c r="H902" t="inlineStr">
        <is>
          <t>Undergraduates</t>
        </is>
      </c>
      <c r="I902" t="inlineStr">
        <is>
          <t>All</t>
        </is>
      </c>
      <c r="J902" t="inlineStr">
        <is>
          <t>All</t>
        </is>
      </c>
      <c r="K902" t="inlineStr">
        <is>
          <t>All</t>
        </is>
      </c>
      <c r="L902" t="inlineStr">
        <is>
          <t>x</t>
        </is>
      </c>
    </row>
    <row r="903">
      <c r="A903" t="inlineStr">
        <is>
          <t>H1409</t>
        </is>
      </c>
      <c r="B903" t="inlineStr">
        <is>
          <t>Religious affiliation</t>
        </is>
      </c>
      <c r="C903">
        <f>IFERROR(IF(VLOOKUP($A903,'CDS-H'!$A:$L,3,FALSE)="","",(VLOOKUP($A903,'CDS-H'!$A:$L,3,FALSE))),"")</f>
        <v/>
      </c>
      <c r="D903" t="inlineStr">
        <is>
          <t>Financial Aid</t>
        </is>
      </c>
      <c r="E903" t="inlineStr">
        <is>
          <t>Institutional Aid</t>
        </is>
      </c>
      <c r="F903" t="inlineStr">
        <is>
          <t>Non-Need Based Criteria</t>
        </is>
      </c>
      <c r="G903" t="inlineStr">
        <is>
          <t>Undergraduate</t>
        </is>
      </c>
      <c r="H903" t="inlineStr">
        <is>
          <t>Undergraduates</t>
        </is>
      </c>
      <c r="I903" t="inlineStr">
        <is>
          <t>All</t>
        </is>
      </c>
      <c r="J903" t="inlineStr">
        <is>
          <t>All</t>
        </is>
      </c>
      <c r="K903" t="inlineStr">
        <is>
          <t>All</t>
        </is>
      </c>
      <c r="L903" t="inlineStr">
        <is>
          <t>x</t>
        </is>
      </c>
    </row>
    <row r="904">
      <c r="A904" t="inlineStr">
        <is>
          <t>H1410</t>
        </is>
      </c>
      <c r="B904" t="inlineStr">
        <is>
          <t>State/district residency</t>
        </is>
      </c>
      <c r="C904">
        <f>IFERROR(IF(VLOOKUP($A904,'CDS-H'!$A:$L,3,FALSE)="","",(VLOOKUP($A904,'CDS-H'!$A:$L,3,FALSE))),"")</f>
        <v/>
      </c>
      <c r="D904" t="inlineStr">
        <is>
          <t>Financial Aid</t>
        </is>
      </c>
      <c r="E904" t="inlineStr">
        <is>
          <t>Institutional Aid</t>
        </is>
      </c>
      <c r="F904" t="inlineStr">
        <is>
          <t>Non-Need Based Criteria</t>
        </is>
      </c>
      <c r="G904" t="inlineStr">
        <is>
          <t>Undergraduate</t>
        </is>
      </c>
      <c r="H904" t="inlineStr">
        <is>
          <t>Undergraduates</t>
        </is>
      </c>
      <c r="I904" t="inlineStr">
        <is>
          <t>All</t>
        </is>
      </c>
      <c r="J904" t="inlineStr">
        <is>
          <t>All</t>
        </is>
      </c>
      <c r="K904" t="inlineStr">
        <is>
          <t>All</t>
        </is>
      </c>
      <c r="L904" t="inlineStr">
        <is>
          <t>x</t>
        </is>
      </c>
    </row>
    <row r="905">
      <c r="A905" t="inlineStr">
        <is>
          <t>H1411</t>
        </is>
      </c>
      <c r="B905" t="inlineStr">
        <is>
          <t>Academics</t>
        </is>
      </c>
      <c r="C905">
        <f>IFERROR(IF(VLOOKUP($A905,'CDS-H'!$A:$L,3,FALSE)="","",(VLOOKUP($A905,'CDS-H'!$A:$L,3,FALSE))),"")</f>
        <v/>
      </c>
      <c r="D905" t="inlineStr">
        <is>
          <t>Financial Aid</t>
        </is>
      </c>
      <c r="E905" t="inlineStr">
        <is>
          <t>Institutional Aid</t>
        </is>
      </c>
      <c r="F905" t="inlineStr">
        <is>
          <t>Need Based Criteria</t>
        </is>
      </c>
      <c r="G905" t="inlineStr">
        <is>
          <t>Undergraduate</t>
        </is>
      </c>
      <c r="H905" t="inlineStr">
        <is>
          <t>Undergraduates</t>
        </is>
      </c>
      <c r="I905" t="inlineStr">
        <is>
          <t>All</t>
        </is>
      </c>
      <c r="J905" t="inlineStr">
        <is>
          <t>All</t>
        </is>
      </c>
      <c r="K905" t="inlineStr">
        <is>
          <t>All</t>
        </is>
      </c>
      <c r="L905" t="inlineStr">
        <is>
          <t>x</t>
        </is>
      </c>
    </row>
    <row r="906">
      <c r="A906" t="inlineStr">
        <is>
          <t>H1412</t>
        </is>
      </c>
      <c r="B906" t="inlineStr">
        <is>
          <t>Alumni affiliation</t>
        </is>
      </c>
      <c r="C906">
        <f>IFERROR(IF(VLOOKUP($A906,'CDS-H'!$A:$L,3,FALSE)="","",(VLOOKUP($A906,'CDS-H'!$A:$L,3,FALSE))),"")</f>
        <v/>
      </c>
      <c r="D906" t="inlineStr">
        <is>
          <t>Financial Aid</t>
        </is>
      </c>
      <c r="E906" t="inlineStr">
        <is>
          <t>Institutional Aid</t>
        </is>
      </c>
      <c r="F906" t="inlineStr">
        <is>
          <t>Need Based Criteria</t>
        </is>
      </c>
      <c r="G906" t="inlineStr">
        <is>
          <t>Undergraduate</t>
        </is>
      </c>
      <c r="H906" t="inlineStr">
        <is>
          <t>Undergraduates</t>
        </is>
      </c>
      <c r="I906" t="inlineStr">
        <is>
          <t>All</t>
        </is>
      </c>
      <c r="J906" t="inlineStr">
        <is>
          <t>All</t>
        </is>
      </c>
      <c r="K906" t="inlineStr">
        <is>
          <t>All</t>
        </is>
      </c>
      <c r="L906" t="inlineStr">
        <is>
          <t>x</t>
        </is>
      </c>
    </row>
    <row r="907">
      <c r="A907" t="inlineStr">
        <is>
          <t>H1413</t>
        </is>
      </c>
      <c r="B907" t="inlineStr">
        <is>
          <t>Art</t>
        </is>
      </c>
      <c r="C907">
        <f>IFERROR(IF(VLOOKUP($A907,'CDS-H'!$A:$L,3,FALSE)="","",(VLOOKUP($A907,'CDS-H'!$A:$L,3,FALSE))),"")</f>
        <v/>
      </c>
      <c r="D907" t="inlineStr">
        <is>
          <t>Financial Aid</t>
        </is>
      </c>
      <c r="E907" t="inlineStr">
        <is>
          <t>Institutional Aid</t>
        </is>
      </c>
      <c r="F907" t="inlineStr">
        <is>
          <t>Need Based Criteria</t>
        </is>
      </c>
      <c r="G907" t="inlineStr">
        <is>
          <t>Undergraduate</t>
        </is>
      </c>
      <c r="H907" t="inlineStr">
        <is>
          <t>Undergraduates</t>
        </is>
      </c>
      <c r="I907" t="inlineStr">
        <is>
          <t>All</t>
        </is>
      </c>
      <c r="J907" t="inlineStr">
        <is>
          <t>All</t>
        </is>
      </c>
      <c r="K907" t="inlineStr">
        <is>
          <t>All</t>
        </is>
      </c>
      <c r="L907" t="inlineStr">
        <is>
          <t>x</t>
        </is>
      </c>
    </row>
    <row r="908">
      <c r="A908" t="inlineStr">
        <is>
          <t>H1414</t>
        </is>
      </c>
      <c r="B908" t="inlineStr">
        <is>
          <t>Athletics</t>
        </is>
      </c>
      <c r="C908">
        <f>IFERROR(IF(VLOOKUP($A908,'CDS-H'!$A:$L,3,FALSE)="","",(VLOOKUP($A908,'CDS-H'!$A:$L,3,FALSE))),"")</f>
        <v/>
      </c>
      <c r="D908" t="inlineStr">
        <is>
          <t>Financial Aid</t>
        </is>
      </c>
      <c r="E908" t="inlineStr">
        <is>
          <t>Institutional Aid</t>
        </is>
      </c>
      <c r="F908" t="inlineStr">
        <is>
          <t>Need Based Criteria</t>
        </is>
      </c>
      <c r="G908" t="inlineStr">
        <is>
          <t>Undergraduate</t>
        </is>
      </c>
      <c r="H908" t="inlineStr">
        <is>
          <t>Undergraduates</t>
        </is>
      </c>
      <c r="I908" t="inlineStr">
        <is>
          <t>All</t>
        </is>
      </c>
      <c r="J908" t="inlineStr">
        <is>
          <t>All</t>
        </is>
      </c>
      <c r="K908" t="inlineStr">
        <is>
          <t>All</t>
        </is>
      </c>
      <c r="L908" t="inlineStr">
        <is>
          <t>x</t>
        </is>
      </c>
    </row>
    <row r="909">
      <c r="A909" t="inlineStr">
        <is>
          <t>H1415</t>
        </is>
      </c>
      <c r="B909" t="inlineStr">
        <is>
          <t>Job skills</t>
        </is>
      </c>
      <c r="C909">
        <f>IFERROR(IF(VLOOKUP($A909,'CDS-H'!$A:$L,3,FALSE)="","",(VLOOKUP($A909,'CDS-H'!$A:$L,3,FALSE))),"")</f>
        <v/>
      </c>
      <c r="D909" t="inlineStr">
        <is>
          <t>Financial Aid</t>
        </is>
      </c>
      <c r="E909" t="inlineStr">
        <is>
          <t>Institutional Aid</t>
        </is>
      </c>
      <c r="F909" t="inlineStr">
        <is>
          <t>Need Based Criteria</t>
        </is>
      </c>
      <c r="G909" t="inlineStr">
        <is>
          <t>Undergraduate</t>
        </is>
      </c>
      <c r="H909" t="inlineStr">
        <is>
          <t>Undergraduates</t>
        </is>
      </c>
      <c r="I909" t="inlineStr">
        <is>
          <t>All</t>
        </is>
      </c>
      <c r="J909" t="inlineStr">
        <is>
          <t>All</t>
        </is>
      </c>
      <c r="K909" t="inlineStr">
        <is>
          <t>All</t>
        </is>
      </c>
      <c r="L909" t="inlineStr">
        <is>
          <t>x</t>
        </is>
      </c>
    </row>
    <row r="910">
      <c r="A910" t="inlineStr">
        <is>
          <t>H1416</t>
        </is>
      </c>
      <c r="B910" t="inlineStr">
        <is>
          <t>Leadership</t>
        </is>
      </c>
      <c r="C910">
        <f>IFERROR(IF(VLOOKUP($A910,'CDS-H'!$A:$L,3,FALSE)="","",(VLOOKUP($A910,'CDS-H'!$A:$L,3,FALSE))),"")</f>
        <v/>
      </c>
      <c r="D910" t="inlineStr">
        <is>
          <t>Financial Aid</t>
        </is>
      </c>
      <c r="E910" t="inlineStr">
        <is>
          <t>Institutional Aid</t>
        </is>
      </c>
      <c r="F910" t="inlineStr">
        <is>
          <t>Need Based Criteria</t>
        </is>
      </c>
      <c r="G910" t="inlineStr">
        <is>
          <t>Undergraduate</t>
        </is>
      </c>
      <c r="H910" t="inlineStr">
        <is>
          <t>Undergraduates</t>
        </is>
      </c>
      <c r="I910" t="inlineStr">
        <is>
          <t>All</t>
        </is>
      </c>
      <c r="J910" t="inlineStr">
        <is>
          <t>All</t>
        </is>
      </c>
      <c r="K910" t="inlineStr">
        <is>
          <t>All</t>
        </is>
      </c>
      <c r="L910" t="inlineStr">
        <is>
          <t>x</t>
        </is>
      </c>
    </row>
    <row r="911">
      <c r="A911" t="inlineStr">
        <is>
          <t>H1417</t>
        </is>
      </c>
      <c r="B911" t="inlineStr">
        <is>
          <t>Music/drama</t>
        </is>
      </c>
      <c r="C911">
        <f>IFERROR(IF(VLOOKUP($A911,'CDS-H'!$A:$L,3,FALSE)="","",(VLOOKUP($A911,'CDS-H'!$A:$L,3,FALSE))),"")</f>
        <v/>
      </c>
      <c r="D911" t="inlineStr">
        <is>
          <t>Financial Aid</t>
        </is>
      </c>
      <c r="E911" t="inlineStr">
        <is>
          <t>Institutional Aid</t>
        </is>
      </c>
      <c r="F911" t="inlineStr">
        <is>
          <t>Need Based Criteria</t>
        </is>
      </c>
      <c r="G911" t="inlineStr">
        <is>
          <t>Undergraduate</t>
        </is>
      </c>
      <c r="H911" t="inlineStr">
        <is>
          <t>Undergraduates</t>
        </is>
      </c>
      <c r="I911" t="inlineStr">
        <is>
          <t>All</t>
        </is>
      </c>
      <c r="J911" t="inlineStr">
        <is>
          <t>All</t>
        </is>
      </c>
      <c r="K911" t="inlineStr">
        <is>
          <t>All</t>
        </is>
      </c>
      <c r="L911" t="inlineStr">
        <is>
          <t>x</t>
        </is>
      </c>
    </row>
    <row r="912">
      <c r="A912" t="inlineStr">
        <is>
          <t>H1418</t>
        </is>
      </c>
      <c r="B912" t="inlineStr">
        <is>
          <t>Religious affiliation</t>
        </is>
      </c>
      <c r="C912">
        <f>IFERROR(IF(VLOOKUP($A912,'CDS-H'!$A:$L,3,FALSE)="","",(VLOOKUP($A912,'CDS-H'!$A:$L,3,FALSE))),"")</f>
        <v/>
      </c>
      <c r="D912" t="inlineStr">
        <is>
          <t>Financial Aid</t>
        </is>
      </c>
      <c r="E912" t="inlineStr">
        <is>
          <t>Institutional Aid</t>
        </is>
      </c>
      <c r="F912" t="inlineStr">
        <is>
          <t>Need Based Criteria</t>
        </is>
      </c>
      <c r="G912" t="inlineStr">
        <is>
          <t>Undergraduate</t>
        </is>
      </c>
      <c r="H912" t="inlineStr">
        <is>
          <t>Undergraduates</t>
        </is>
      </c>
      <c r="I912" t="inlineStr">
        <is>
          <t>All</t>
        </is>
      </c>
      <c r="J912" t="inlineStr">
        <is>
          <t>All</t>
        </is>
      </c>
      <c r="K912" t="inlineStr">
        <is>
          <t>All</t>
        </is>
      </c>
      <c r="L912" t="inlineStr">
        <is>
          <t>x</t>
        </is>
      </c>
    </row>
    <row r="913">
      <c r="A913" t="inlineStr">
        <is>
          <t>H1419</t>
        </is>
      </c>
      <c r="B913" t="inlineStr">
        <is>
          <t>State/district residency</t>
        </is>
      </c>
      <c r="C913">
        <f>IFERROR(IF(VLOOKUP($A913,'CDS-H'!$A:$L,3,FALSE)="","",(VLOOKUP($A913,'CDS-H'!$A:$L,3,FALSE))),"")</f>
        <v/>
      </c>
      <c r="D913" t="inlineStr">
        <is>
          <t>Financial Aid</t>
        </is>
      </c>
      <c r="E913" t="inlineStr">
        <is>
          <t>Institutional Aid</t>
        </is>
      </c>
      <c r="F913" t="inlineStr">
        <is>
          <t>Need Based Criteria</t>
        </is>
      </c>
      <c r="G913" t="inlineStr">
        <is>
          <t>Undergraduate</t>
        </is>
      </c>
      <c r="H913" t="inlineStr">
        <is>
          <t>Undergraduates</t>
        </is>
      </c>
      <c r="I913" t="inlineStr">
        <is>
          <t>All</t>
        </is>
      </c>
      <c r="J913" t="inlineStr">
        <is>
          <t>All</t>
        </is>
      </c>
      <c r="K913" t="inlineStr">
        <is>
          <t>All</t>
        </is>
      </c>
      <c r="L913" t="inlineStr">
        <is>
          <t>x</t>
        </is>
      </c>
    </row>
    <row r="914">
      <c r="A914" t="inlineStr">
        <is>
          <t>H1501</t>
        </is>
      </c>
      <c r="B914" t="inlineStr">
        <is>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t>
        </is>
      </c>
      <c r="C914">
        <f>IFERROR(IF(VLOOKUP($A914,'CDS-H'!$A:$L,3,FALSE)="","",(VLOOKUP($A914,'CDS-H'!$A:$L,3,FALSE))),"")</f>
        <v/>
      </c>
      <c r="D914" t="inlineStr">
        <is>
          <t>Financial Aid</t>
        </is>
      </c>
      <c r="E914" t="inlineStr">
        <is>
          <t>Institutional Aid</t>
        </is>
      </c>
      <c r="F914" t="inlineStr">
        <is>
          <t>Policy</t>
        </is>
      </c>
      <c r="G914" t="inlineStr">
        <is>
          <t>Undergraduate</t>
        </is>
      </c>
      <c r="H914" t="inlineStr">
        <is>
          <t>Undergraduates</t>
        </is>
      </c>
      <c r="I914" t="inlineStr">
        <is>
          <t>All</t>
        </is>
      </c>
      <c r="J914" t="inlineStr">
        <is>
          <t>All</t>
        </is>
      </c>
      <c r="K914" t="inlineStr">
        <is>
          <t>All</t>
        </is>
      </c>
      <c r="L914" t="inlineStr">
        <is>
          <t>Text</t>
        </is>
      </c>
    </row>
    <row r="915">
      <c r="A915" t="inlineStr">
        <is>
          <t>I101</t>
        </is>
      </c>
      <c r="B915" t="inlineStr">
        <is>
          <t>A. Total number of instructional faculty</t>
        </is>
      </c>
      <c r="C915">
        <f>IFERROR(IF(VLOOKUP($A915,'CDS-I'!$A:$L,3,FALSE)="","",(VLOOKUP($A915,'CDS-I'!$A:$L,3,FALSE))),"")</f>
        <v/>
      </c>
      <c r="D915" t="inlineStr">
        <is>
          <t>Instructional Faculty And Class Size</t>
        </is>
      </c>
      <c r="E915" t="inlineStr">
        <is>
          <t>Instructional Faculty</t>
        </is>
      </c>
      <c r="F915" t="inlineStr">
        <is>
          <t>Full-Time</t>
        </is>
      </c>
      <c r="G915" t="inlineStr">
        <is>
          <t>Undergraduates</t>
        </is>
      </c>
      <c r="H915" t="inlineStr">
        <is>
          <t>Faculty</t>
        </is>
      </c>
      <c r="I915" t="inlineStr">
        <is>
          <t>All</t>
        </is>
      </c>
      <c r="J915" t="inlineStr">
        <is>
          <t>All</t>
        </is>
      </c>
      <c r="K915" t="inlineStr">
        <is>
          <t>All</t>
        </is>
      </c>
      <c r="L915" t="inlineStr">
        <is>
          <t>Number</t>
        </is>
      </c>
    </row>
    <row r="916">
      <c r="A916" t="inlineStr">
        <is>
          <t>I102</t>
        </is>
      </c>
      <c r="B916" t="inlineStr">
        <is>
          <t>B. Total number who are members of minority groups</t>
        </is>
      </c>
      <c r="C916">
        <f>IFERROR(IF(VLOOKUP($A916,'CDS-I'!$A:$L,3,FALSE)="","",(VLOOKUP($A916,'CDS-I'!$A:$L,3,FALSE))),"")</f>
        <v/>
      </c>
      <c r="D916" t="inlineStr">
        <is>
          <t>Instructional Faculty And Class Size</t>
        </is>
      </c>
      <c r="E916" t="inlineStr">
        <is>
          <t>Instructional Faculty</t>
        </is>
      </c>
      <c r="F916" t="inlineStr">
        <is>
          <t>Full-Time</t>
        </is>
      </c>
      <c r="G916" t="inlineStr">
        <is>
          <t>Undergraduates</t>
        </is>
      </c>
      <c r="H916" t="inlineStr">
        <is>
          <t>Faculty</t>
        </is>
      </c>
      <c r="I916" t="inlineStr">
        <is>
          <t>All</t>
        </is>
      </c>
      <c r="J916" t="inlineStr">
        <is>
          <t>All</t>
        </is>
      </c>
      <c r="K916" t="inlineStr">
        <is>
          <t>All</t>
        </is>
      </c>
      <c r="L916" t="inlineStr">
        <is>
          <t>Number</t>
        </is>
      </c>
    </row>
    <row r="917">
      <c r="A917" t="inlineStr">
        <is>
          <t>I103</t>
        </is>
      </c>
      <c r="B917" t="inlineStr">
        <is>
          <t>C. Total number who are women</t>
        </is>
      </c>
      <c r="C917">
        <f>IFERROR(IF(VLOOKUP($A917,'CDS-I'!$A:$L,3,FALSE)="","",(VLOOKUP($A917,'CDS-I'!$A:$L,3,FALSE))),"")</f>
        <v/>
      </c>
      <c r="D917" t="inlineStr">
        <is>
          <t>Instructional Faculty And Class Size</t>
        </is>
      </c>
      <c r="E917" t="inlineStr">
        <is>
          <t>Instructional Faculty</t>
        </is>
      </c>
      <c r="F917" t="inlineStr">
        <is>
          <t>Full-Time</t>
        </is>
      </c>
      <c r="G917" t="inlineStr">
        <is>
          <t>Undergraduates</t>
        </is>
      </c>
      <c r="H917" t="inlineStr">
        <is>
          <t>Faculty</t>
        </is>
      </c>
      <c r="I917" t="inlineStr">
        <is>
          <t>All</t>
        </is>
      </c>
      <c r="J917" t="inlineStr">
        <is>
          <t>All</t>
        </is>
      </c>
      <c r="K917" t="inlineStr">
        <is>
          <t>All</t>
        </is>
      </c>
      <c r="L917" t="inlineStr">
        <is>
          <t>Number</t>
        </is>
      </c>
    </row>
    <row r="918">
      <c r="A918" t="inlineStr">
        <is>
          <t>I104</t>
        </is>
      </c>
      <c r="B918" t="inlineStr">
        <is>
          <t>D. Total number who are men</t>
        </is>
      </c>
      <c r="C918">
        <f>IFERROR(IF(VLOOKUP($A918,'CDS-I'!$A:$L,3,FALSE)="","",(VLOOKUP($A918,'CDS-I'!$A:$L,3,FALSE))),"")</f>
        <v/>
      </c>
      <c r="D918" t="inlineStr">
        <is>
          <t>Instructional Faculty And Class Size</t>
        </is>
      </c>
      <c r="E918" t="inlineStr">
        <is>
          <t>Instructional Faculty</t>
        </is>
      </c>
      <c r="F918" t="inlineStr">
        <is>
          <t>Full-Time</t>
        </is>
      </c>
      <c r="G918" t="inlineStr">
        <is>
          <t>Undergraduates</t>
        </is>
      </c>
      <c r="H918" t="inlineStr">
        <is>
          <t>Faculty</t>
        </is>
      </c>
      <c r="I918" t="inlineStr">
        <is>
          <t>All</t>
        </is>
      </c>
      <c r="J918" t="inlineStr">
        <is>
          <t>All</t>
        </is>
      </c>
      <c r="K918" t="inlineStr">
        <is>
          <t>All</t>
        </is>
      </c>
      <c r="L918" t="inlineStr">
        <is>
          <t>Number</t>
        </is>
      </c>
    </row>
    <row r="919">
      <c r="A919" t="inlineStr">
        <is>
          <t>I105</t>
        </is>
      </c>
      <c r="B919" t="inlineStr">
        <is>
          <t>E. Total number who are nonresidents (international)</t>
        </is>
      </c>
      <c r="C919">
        <f>IFERROR(IF(VLOOKUP($A919,'CDS-I'!$A:$L,3,FALSE)="","",(VLOOKUP($A919,'CDS-I'!$A:$L,3,FALSE))),"")</f>
        <v/>
      </c>
      <c r="D919" t="inlineStr">
        <is>
          <t>Instructional Faculty And Class Size</t>
        </is>
      </c>
      <c r="E919" t="inlineStr">
        <is>
          <t>Instructional Faculty</t>
        </is>
      </c>
      <c r="F919" t="inlineStr">
        <is>
          <t>Full-Time</t>
        </is>
      </c>
      <c r="G919" t="inlineStr">
        <is>
          <t>Undergraduates</t>
        </is>
      </c>
      <c r="H919" t="inlineStr">
        <is>
          <t>Faculty</t>
        </is>
      </c>
      <c r="I919" t="inlineStr">
        <is>
          <t>All</t>
        </is>
      </c>
      <c r="J919" t="inlineStr">
        <is>
          <t>All</t>
        </is>
      </c>
      <c r="K919" t="inlineStr">
        <is>
          <t>All</t>
        </is>
      </c>
      <c r="L919" t="inlineStr">
        <is>
          <t>Number</t>
        </is>
      </c>
    </row>
    <row r="920">
      <c r="A920" t="inlineStr">
        <is>
          <t>I106</t>
        </is>
      </c>
      <c r="B920" t="inlineStr">
        <is>
          <t>F. Total number with doctorate, or other terminal degree</t>
        </is>
      </c>
      <c r="C920">
        <f>IFERROR(IF(VLOOKUP($A920,'CDS-I'!$A:$L,3,FALSE)="","",(VLOOKUP($A920,'CDS-I'!$A:$L,3,FALSE))),"")</f>
        <v/>
      </c>
      <c r="D920" t="inlineStr">
        <is>
          <t>Instructional Faculty And Class Size</t>
        </is>
      </c>
      <c r="E920" t="inlineStr">
        <is>
          <t>Instructional Faculty</t>
        </is>
      </c>
      <c r="F920" t="inlineStr">
        <is>
          <t>Full-Time</t>
        </is>
      </c>
      <c r="G920" t="inlineStr">
        <is>
          <t>Undergraduates</t>
        </is>
      </c>
      <c r="H920" t="inlineStr">
        <is>
          <t>Faculty</t>
        </is>
      </c>
      <c r="I920" t="inlineStr">
        <is>
          <t>All</t>
        </is>
      </c>
      <c r="J920" t="inlineStr">
        <is>
          <t>All</t>
        </is>
      </c>
      <c r="K920" t="inlineStr">
        <is>
          <t>All</t>
        </is>
      </c>
      <c r="L920" t="inlineStr">
        <is>
          <t>Number</t>
        </is>
      </c>
    </row>
    <row r="921">
      <c r="A921" t="inlineStr">
        <is>
          <t>I107</t>
        </is>
      </c>
      <c r="B921" t="inlineStr">
        <is>
          <t>G. Total number whose highest degree is a master’s but not a terminal master’s</t>
        </is>
      </c>
      <c r="C921">
        <f>IFERROR(IF(VLOOKUP($A921,'CDS-I'!$A:$L,3,FALSE)="","",(VLOOKUP($A921,'CDS-I'!$A:$L,3,FALSE))),"")</f>
        <v/>
      </c>
      <c r="D921" t="inlineStr">
        <is>
          <t>Instructional Faculty And Class Size</t>
        </is>
      </c>
      <c r="E921" t="inlineStr">
        <is>
          <t>Instructional Faculty</t>
        </is>
      </c>
      <c r="F921" t="inlineStr">
        <is>
          <t>Full-Time</t>
        </is>
      </c>
      <c r="G921" t="inlineStr">
        <is>
          <t>Undergraduates</t>
        </is>
      </c>
      <c r="H921" t="inlineStr">
        <is>
          <t>Faculty</t>
        </is>
      </c>
      <c r="I921" t="inlineStr">
        <is>
          <t>All</t>
        </is>
      </c>
      <c r="J921" t="inlineStr">
        <is>
          <t>All</t>
        </is>
      </c>
      <c r="K921" t="inlineStr">
        <is>
          <t>All</t>
        </is>
      </c>
      <c r="L921" t="inlineStr">
        <is>
          <t>Number</t>
        </is>
      </c>
    </row>
    <row r="922">
      <c r="A922" t="inlineStr">
        <is>
          <t>I108</t>
        </is>
      </c>
      <c r="B922" t="inlineStr">
        <is>
          <t>H. Total number whose highest degree is a bachelor’s</t>
        </is>
      </c>
      <c r="C922">
        <f>IFERROR(IF(VLOOKUP($A922,'CDS-I'!$A:$L,3,FALSE)="","",(VLOOKUP($A922,'CDS-I'!$A:$L,3,FALSE))),"")</f>
        <v/>
      </c>
      <c r="D922" t="inlineStr">
        <is>
          <t>Instructional Faculty And Class Size</t>
        </is>
      </c>
      <c r="E922" t="inlineStr">
        <is>
          <t>Instructional Faculty</t>
        </is>
      </c>
      <c r="F922" t="inlineStr">
        <is>
          <t>Full-Time</t>
        </is>
      </c>
      <c r="G922" t="inlineStr">
        <is>
          <t>Undergraduates</t>
        </is>
      </c>
      <c r="H922" t="inlineStr">
        <is>
          <t>Faculty</t>
        </is>
      </c>
      <c r="I922" t="inlineStr">
        <is>
          <t>All</t>
        </is>
      </c>
      <c r="J922" t="inlineStr">
        <is>
          <t>All</t>
        </is>
      </c>
      <c r="K922" t="inlineStr">
        <is>
          <t>All</t>
        </is>
      </c>
      <c r="L922" t="inlineStr">
        <is>
          <t>Number</t>
        </is>
      </c>
    </row>
    <row r="923">
      <c r="A923" t="inlineStr">
        <is>
          <t>I109</t>
        </is>
      </c>
      <c r="B923" t="inlineStr">
        <is>
          <t>I. Total number whose highest degree is unknown or other (Note: Items f, g, h, and i must sum up to item a.)</t>
        </is>
      </c>
      <c r="C923">
        <f>IFERROR(IF(VLOOKUP($A923,'CDS-I'!$A:$L,3,FALSE)="","",(VLOOKUP($A923,'CDS-I'!$A:$L,3,FALSE))),"")</f>
        <v/>
      </c>
      <c r="D923" t="inlineStr">
        <is>
          <t>Instructional Faculty And Class Size</t>
        </is>
      </c>
      <c r="E923" t="inlineStr">
        <is>
          <t>Instructional Faculty</t>
        </is>
      </c>
      <c r="F923" t="inlineStr">
        <is>
          <t>Full-Time</t>
        </is>
      </c>
      <c r="G923" t="inlineStr">
        <is>
          <t>Undergraduates</t>
        </is>
      </c>
      <c r="H923" t="inlineStr">
        <is>
          <t>Faculty</t>
        </is>
      </c>
      <c r="I923" t="inlineStr">
        <is>
          <t>All</t>
        </is>
      </c>
      <c r="J923" t="inlineStr">
        <is>
          <t>All</t>
        </is>
      </c>
      <c r="K923" t="inlineStr">
        <is>
          <t>All</t>
        </is>
      </c>
      <c r="L923" t="inlineStr">
        <is>
          <t>Number</t>
        </is>
      </c>
    </row>
    <row r="924">
      <c r="A924" t="inlineStr">
        <is>
          <t>I110</t>
        </is>
      </c>
      <c r="B924" t="inlineStr">
        <is>
          <t>J. Total number in stand-alone graduate/professional programs in which faculty teach virtually only graduate-level students</t>
        </is>
      </c>
      <c r="C924">
        <f>IFERROR(IF(VLOOKUP($A924,'CDS-I'!$A:$L,3,FALSE)="","",(VLOOKUP($A924,'CDS-I'!$A:$L,3,FALSE))),"")</f>
        <v/>
      </c>
      <c r="D924" t="inlineStr">
        <is>
          <t>Instructional Faculty And Class Size</t>
        </is>
      </c>
      <c r="E924" t="inlineStr">
        <is>
          <t>Instructional Faculty</t>
        </is>
      </c>
      <c r="F924" t="inlineStr">
        <is>
          <t>Full-Time</t>
        </is>
      </c>
      <c r="G924" t="inlineStr">
        <is>
          <t>Undergraduates</t>
        </is>
      </c>
      <c r="H924" t="inlineStr">
        <is>
          <t>Faculty</t>
        </is>
      </c>
      <c r="I924" t="inlineStr">
        <is>
          <t>All</t>
        </is>
      </c>
      <c r="J924" t="inlineStr">
        <is>
          <t>All</t>
        </is>
      </c>
      <c r="K924" t="inlineStr">
        <is>
          <t>All</t>
        </is>
      </c>
      <c r="L924" t="inlineStr">
        <is>
          <t>Number</t>
        </is>
      </c>
    </row>
    <row r="925">
      <c r="A925" t="inlineStr">
        <is>
          <t>I111</t>
        </is>
      </c>
      <c r="B925" t="inlineStr">
        <is>
          <t>A. Total number of instructional faculty</t>
        </is>
      </c>
      <c r="C925">
        <f>IFERROR(IF(VLOOKUP($A925,'CDS-I'!$A:$L,3,FALSE)="","",(VLOOKUP($A925,'CDS-I'!$A:$L,3,FALSE))),"")</f>
        <v/>
      </c>
      <c r="D925" t="inlineStr">
        <is>
          <t>Instructional Faculty And Class Size</t>
        </is>
      </c>
      <c r="E925" t="inlineStr">
        <is>
          <t>Instructional Faculty</t>
        </is>
      </c>
      <c r="F925" t="inlineStr">
        <is>
          <t>Part-Time</t>
        </is>
      </c>
      <c r="G925" t="inlineStr">
        <is>
          <t>Undergraduates</t>
        </is>
      </c>
      <c r="H925" t="inlineStr">
        <is>
          <t>Faculty</t>
        </is>
      </c>
      <c r="I925" t="inlineStr">
        <is>
          <t>All</t>
        </is>
      </c>
      <c r="J925" t="inlineStr">
        <is>
          <t>All</t>
        </is>
      </c>
      <c r="K925" t="inlineStr">
        <is>
          <t>All</t>
        </is>
      </c>
      <c r="L925" t="inlineStr">
        <is>
          <t>Number</t>
        </is>
      </c>
    </row>
    <row r="926">
      <c r="A926" t="inlineStr">
        <is>
          <t>I112</t>
        </is>
      </c>
      <c r="B926" t="inlineStr">
        <is>
          <t>B. Total number who are members of minority groups</t>
        </is>
      </c>
      <c r="C926">
        <f>IFERROR(IF(VLOOKUP($A926,'CDS-I'!$A:$L,3,FALSE)="","",(VLOOKUP($A926,'CDS-I'!$A:$L,3,FALSE))),"")</f>
        <v/>
      </c>
      <c r="D926" t="inlineStr">
        <is>
          <t>Instructional Faculty And Class Size</t>
        </is>
      </c>
      <c r="E926" t="inlineStr">
        <is>
          <t>Instructional Faculty</t>
        </is>
      </c>
      <c r="F926" t="inlineStr">
        <is>
          <t>Part-Time</t>
        </is>
      </c>
      <c r="G926" t="inlineStr">
        <is>
          <t>Undergraduates</t>
        </is>
      </c>
      <c r="H926" t="inlineStr">
        <is>
          <t>Faculty</t>
        </is>
      </c>
      <c r="I926" t="inlineStr">
        <is>
          <t>All</t>
        </is>
      </c>
      <c r="J926" t="inlineStr">
        <is>
          <t>All</t>
        </is>
      </c>
      <c r="K926" t="inlineStr">
        <is>
          <t>All</t>
        </is>
      </c>
      <c r="L926" t="inlineStr">
        <is>
          <t>Number</t>
        </is>
      </c>
    </row>
    <row r="927">
      <c r="A927" t="inlineStr">
        <is>
          <t>I113</t>
        </is>
      </c>
      <c r="B927" t="inlineStr">
        <is>
          <t>C. Total number who are women</t>
        </is>
      </c>
      <c r="C927">
        <f>IFERROR(IF(VLOOKUP($A927,'CDS-I'!$A:$L,3,FALSE)="","",(VLOOKUP($A927,'CDS-I'!$A:$L,3,FALSE))),"")</f>
        <v/>
      </c>
      <c r="D927" t="inlineStr">
        <is>
          <t>Instructional Faculty And Class Size</t>
        </is>
      </c>
      <c r="E927" t="inlineStr">
        <is>
          <t>Instructional Faculty</t>
        </is>
      </c>
      <c r="F927" t="inlineStr">
        <is>
          <t>Part-Time</t>
        </is>
      </c>
      <c r="G927" t="inlineStr">
        <is>
          <t>Undergraduates</t>
        </is>
      </c>
      <c r="H927" t="inlineStr">
        <is>
          <t>Faculty</t>
        </is>
      </c>
      <c r="I927" t="inlineStr">
        <is>
          <t>All</t>
        </is>
      </c>
      <c r="J927" t="inlineStr">
        <is>
          <t>All</t>
        </is>
      </c>
      <c r="K927" t="inlineStr">
        <is>
          <t>All</t>
        </is>
      </c>
      <c r="L927" t="inlineStr">
        <is>
          <t>Number</t>
        </is>
      </c>
    </row>
    <row r="928">
      <c r="A928" t="inlineStr">
        <is>
          <t>I114</t>
        </is>
      </c>
      <c r="B928" t="inlineStr">
        <is>
          <t>D. Total number who are men</t>
        </is>
      </c>
      <c r="C928">
        <f>IFERROR(IF(VLOOKUP($A928,'CDS-I'!$A:$L,3,FALSE)="","",(VLOOKUP($A928,'CDS-I'!$A:$L,3,FALSE))),"")</f>
        <v/>
      </c>
      <c r="D928" t="inlineStr">
        <is>
          <t>Instructional Faculty And Class Size</t>
        </is>
      </c>
      <c r="E928" t="inlineStr">
        <is>
          <t>Instructional Faculty</t>
        </is>
      </c>
      <c r="F928" t="inlineStr">
        <is>
          <t>Part-Time</t>
        </is>
      </c>
      <c r="G928" t="inlineStr">
        <is>
          <t>Undergraduates</t>
        </is>
      </c>
      <c r="H928" t="inlineStr">
        <is>
          <t>Faculty</t>
        </is>
      </c>
      <c r="I928" t="inlineStr">
        <is>
          <t>All</t>
        </is>
      </c>
      <c r="J928" t="inlineStr">
        <is>
          <t>All</t>
        </is>
      </c>
      <c r="K928" t="inlineStr">
        <is>
          <t>All</t>
        </is>
      </c>
      <c r="L928" t="inlineStr">
        <is>
          <t>Number</t>
        </is>
      </c>
    </row>
    <row r="929">
      <c r="A929" t="inlineStr">
        <is>
          <t>I115</t>
        </is>
      </c>
      <c r="B929" t="inlineStr">
        <is>
          <t>E. Total number who are nonresidents (international)</t>
        </is>
      </c>
      <c r="C929">
        <f>IFERROR(IF(VLOOKUP($A929,'CDS-I'!$A:$L,3,FALSE)="","",(VLOOKUP($A929,'CDS-I'!$A:$L,3,FALSE))),"")</f>
        <v/>
      </c>
      <c r="D929" t="inlineStr">
        <is>
          <t>Instructional Faculty And Class Size</t>
        </is>
      </c>
      <c r="E929" t="inlineStr">
        <is>
          <t>Instructional Faculty</t>
        </is>
      </c>
      <c r="F929" t="inlineStr">
        <is>
          <t>Part-Time</t>
        </is>
      </c>
      <c r="G929" t="inlineStr">
        <is>
          <t>Undergraduates</t>
        </is>
      </c>
      <c r="H929" t="inlineStr">
        <is>
          <t>Faculty</t>
        </is>
      </c>
      <c r="I929" t="inlineStr">
        <is>
          <t>All</t>
        </is>
      </c>
      <c r="J929" t="inlineStr">
        <is>
          <t>All</t>
        </is>
      </c>
      <c r="K929" t="inlineStr">
        <is>
          <t>All</t>
        </is>
      </c>
      <c r="L929" t="inlineStr">
        <is>
          <t>Number</t>
        </is>
      </c>
    </row>
    <row r="930">
      <c r="A930" t="inlineStr">
        <is>
          <t>I116</t>
        </is>
      </c>
      <c r="B930" t="inlineStr">
        <is>
          <t>F. Total number with doctorate, or other terminal degree</t>
        </is>
      </c>
      <c r="C930">
        <f>IFERROR(IF(VLOOKUP($A930,'CDS-I'!$A:$L,3,FALSE)="","",(VLOOKUP($A930,'CDS-I'!$A:$L,3,FALSE))),"")</f>
        <v/>
      </c>
      <c r="D930" t="inlineStr">
        <is>
          <t>Instructional Faculty And Class Size</t>
        </is>
      </c>
      <c r="E930" t="inlineStr">
        <is>
          <t>Instructional Faculty</t>
        </is>
      </c>
      <c r="F930" t="inlineStr">
        <is>
          <t>Part-Time</t>
        </is>
      </c>
      <c r="G930" t="inlineStr">
        <is>
          <t>Undergraduates</t>
        </is>
      </c>
      <c r="H930" t="inlineStr">
        <is>
          <t>Faculty</t>
        </is>
      </c>
      <c r="I930" t="inlineStr">
        <is>
          <t>All</t>
        </is>
      </c>
      <c r="J930" t="inlineStr">
        <is>
          <t>All</t>
        </is>
      </c>
      <c r="K930" t="inlineStr">
        <is>
          <t>All</t>
        </is>
      </c>
      <c r="L930" t="inlineStr">
        <is>
          <t>Number</t>
        </is>
      </c>
    </row>
    <row r="931">
      <c r="A931" t="inlineStr">
        <is>
          <t>I117</t>
        </is>
      </c>
      <c r="B931" t="inlineStr">
        <is>
          <t>G. Total number whose highest degree is a master’s but not a terminal master’s</t>
        </is>
      </c>
      <c r="C931">
        <f>IFERROR(IF(VLOOKUP($A931,'CDS-I'!$A:$L,3,FALSE)="","",(VLOOKUP($A931,'CDS-I'!$A:$L,3,FALSE))),"")</f>
        <v/>
      </c>
      <c r="D931" t="inlineStr">
        <is>
          <t>Instructional Faculty And Class Size</t>
        </is>
      </c>
      <c r="E931" t="inlineStr">
        <is>
          <t>Instructional Faculty</t>
        </is>
      </c>
      <c r="F931" t="inlineStr">
        <is>
          <t>Part-Time</t>
        </is>
      </c>
      <c r="G931" t="inlineStr">
        <is>
          <t>Undergraduates</t>
        </is>
      </c>
      <c r="H931" t="inlineStr">
        <is>
          <t>Faculty</t>
        </is>
      </c>
      <c r="I931" t="inlineStr">
        <is>
          <t>All</t>
        </is>
      </c>
      <c r="J931" t="inlineStr">
        <is>
          <t>All</t>
        </is>
      </c>
      <c r="K931" t="inlineStr">
        <is>
          <t>All</t>
        </is>
      </c>
      <c r="L931" t="inlineStr">
        <is>
          <t>Number</t>
        </is>
      </c>
    </row>
    <row r="932">
      <c r="A932" t="inlineStr">
        <is>
          <t>I118</t>
        </is>
      </c>
      <c r="B932" t="inlineStr">
        <is>
          <t>H. Total number whose highest degree is a bachelor’s</t>
        </is>
      </c>
      <c r="C932">
        <f>IFERROR(IF(VLOOKUP($A932,'CDS-I'!$A:$L,3,FALSE)="","",(VLOOKUP($A932,'CDS-I'!$A:$L,3,FALSE))),"")</f>
        <v/>
      </c>
      <c r="D932" t="inlineStr">
        <is>
          <t>Instructional Faculty And Class Size</t>
        </is>
      </c>
      <c r="E932" t="inlineStr">
        <is>
          <t>Instructional Faculty</t>
        </is>
      </c>
      <c r="F932" t="inlineStr">
        <is>
          <t>Part-Time</t>
        </is>
      </c>
      <c r="G932" t="inlineStr">
        <is>
          <t>Undergraduates</t>
        </is>
      </c>
      <c r="H932" t="inlineStr">
        <is>
          <t>Faculty</t>
        </is>
      </c>
      <c r="I932" t="inlineStr">
        <is>
          <t>All</t>
        </is>
      </c>
      <c r="J932" t="inlineStr">
        <is>
          <t>All</t>
        </is>
      </c>
      <c r="K932" t="inlineStr">
        <is>
          <t>All</t>
        </is>
      </c>
      <c r="L932" t="inlineStr">
        <is>
          <t>Number</t>
        </is>
      </c>
    </row>
    <row r="933">
      <c r="A933" t="inlineStr">
        <is>
          <t>I119</t>
        </is>
      </c>
      <c r="B933" t="inlineStr">
        <is>
          <t>I. Total number whose highest degree is unknown or other (Note: Items f, g, h, and i must sum up to item a.)</t>
        </is>
      </c>
      <c r="C933">
        <f>IFERROR(IF(VLOOKUP($A933,'CDS-I'!$A:$L,3,FALSE)="","",(VLOOKUP($A933,'CDS-I'!$A:$L,3,FALSE))),"")</f>
        <v/>
      </c>
      <c r="D933" t="inlineStr">
        <is>
          <t>Instructional Faculty And Class Size</t>
        </is>
      </c>
      <c r="E933" t="inlineStr">
        <is>
          <t>Instructional Faculty</t>
        </is>
      </c>
      <c r="F933" t="inlineStr">
        <is>
          <t>Part-Time</t>
        </is>
      </c>
      <c r="G933" t="inlineStr">
        <is>
          <t>Undergraduates</t>
        </is>
      </c>
      <c r="H933" t="inlineStr">
        <is>
          <t>Faculty</t>
        </is>
      </c>
      <c r="I933" t="inlineStr">
        <is>
          <t>All</t>
        </is>
      </c>
      <c r="J933" t="inlineStr">
        <is>
          <t>All</t>
        </is>
      </c>
      <c r="K933" t="inlineStr">
        <is>
          <t>All</t>
        </is>
      </c>
      <c r="L933" t="inlineStr">
        <is>
          <t>Number</t>
        </is>
      </c>
    </row>
    <row r="934">
      <c r="A934" t="inlineStr">
        <is>
          <t>I120</t>
        </is>
      </c>
      <c r="B934" t="inlineStr">
        <is>
          <t>J. Total number in stand-alone graduate/professional programs in which faculty teach virtually only graduate-level students</t>
        </is>
      </c>
      <c r="C934">
        <f>IFERROR(IF(VLOOKUP($A934,'CDS-I'!$A:$L,3,FALSE)="","",(VLOOKUP($A934,'CDS-I'!$A:$L,3,FALSE))),"")</f>
        <v/>
      </c>
      <c r="D934" t="inlineStr">
        <is>
          <t>Instructional Faculty And Class Size</t>
        </is>
      </c>
      <c r="E934" t="inlineStr">
        <is>
          <t>Instructional Faculty</t>
        </is>
      </c>
      <c r="F934" t="inlineStr">
        <is>
          <t>Part-Time</t>
        </is>
      </c>
      <c r="G934" t="inlineStr">
        <is>
          <t>Undergraduates</t>
        </is>
      </c>
      <c r="H934" t="inlineStr">
        <is>
          <t>Faculty</t>
        </is>
      </c>
      <c r="I934" t="inlineStr">
        <is>
          <t>All</t>
        </is>
      </c>
      <c r="J934" t="inlineStr">
        <is>
          <t>All</t>
        </is>
      </c>
      <c r="K934" t="inlineStr">
        <is>
          <t>All</t>
        </is>
      </c>
      <c r="L934" t="inlineStr">
        <is>
          <t>Number</t>
        </is>
      </c>
    </row>
    <row r="935">
      <c r="A935" t="inlineStr">
        <is>
          <t>I121</t>
        </is>
      </c>
      <c r="B935" t="inlineStr">
        <is>
          <t>A. Total number of instructional faculty</t>
        </is>
      </c>
      <c r="C935">
        <f>IFERROR(IF(VLOOKUP($A935,'CDS-I'!$A:$L,3,FALSE)="","",(VLOOKUP($A935,'CDS-I'!$A:$L,3,FALSE))),"")</f>
        <v/>
      </c>
      <c r="D935" t="inlineStr">
        <is>
          <t>Instructional Faculty And Class Size</t>
        </is>
      </c>
      <c r="E935" t="inlineStr">
        <is>
          <t>Instructional Faculty</t>
        </is>
      </c>
      <c r="F935" t="inlineStr">
        <is>
          <t>Total</t>
        </is>
      </c>
      <c r="G935" t="inlineStr">
        <is>
          <t>Undergraduates</t>
        </is>
      </c>
      <c r="H935" t="inlineStr">
        <is>
          <t>Faculty</t>
        </is>
      </c>
      <c r="I935" t="inlineStr">
        <is>
          <t>All</t>
        </is>
      </c>
      <c r="J935" t="inlineStr">
        <is>
          <t>All</t>
        </is>
      </c>
      <c r="K935" t="inlineStr">
        <is>
          <t>All</t>
        </is>
      </c>
      <c r="L935" t="inlineStr">
        <is>
          <t>Number</t>
        </is>
      </c>
    </row>
    <row r="936">
      <c r="A936" t="inlineStr">
        <is>
          <t>I122</t>
        </is>
      </c>
      <c r="B936" t="inlineStr">
        <is>
          <t>B. Total number who are members of minority groups</t>
        </is>
      </c>
      <c r="C936">
        <f>IFERROR(IF(VLOOKUP($A936,'CDS-I'!$A:$L,3,FALSE)="","",(VLOOKUP($A936,'CDS-I'!$A:$L,3,FALSE))),"")</f>
        <v/>
      </c>
      <c r="D936" t="inlineStr">
        <is>
          <t>Instructional Faculty And Class Size</t>
        </is>
      </c>
      <c r="E936" t="inlineStr">
        <is>
          <t>Instructional Faculty</t>
        </is>
      </c>
      <c r="F936" t="inlineStr">
        <is>
          <t>Total</t>
        </is>
      </c>
      <c r="G936" t="inlineStr">
        <is>
          <t>Undergraduates</t>
        </is>
      </c>
      <c r="H936" t="inlineStr">
        <is>
          <t>Faculty</t>
        </is>
      </c>
      <c r="I936" t="inlineStr">
        <is>
          <t>All</t>
        </is>
      </c>
      <c r="J936" t="inlineStr">
        <is>
          <t>All</t>
        </is>
      </c>
      <c r="K936" t="inlineStr">
        <is>
          <t>All</t>
        </is>
      </c>
      <c r="L936" t="inlineStr">
        <is>
          <t>Number</t>
        </is>
      </c>
    </row>
    <row r="937">
      <c r="A937" t="inlineStr">
        <is>
          <t>I123</t>
        </is>
      </c>
      <c r="B937" t="inlineStr">
        <is>
          <t>C. Total number who are women</t>
        </is>
      </c>
      <c r="C937">
        <f>IFERROR(IF(VLOOKUP($A937,'CDS-I'!$A:$L,3,FALSE)="","",(VLOOKUP($A937,'CDS-I'!$A:$L,3,FALSE))),"")</f>
        <v/>
      </c>
      <c r="D937" t="inlineStr">
        <is>
          <t>Instructional Faculty And Class Size</t>
        </is>
      </c>
      <c r="E937" t="inlineStr">
        <is>
          <t>Instructional Faculty</t>
        </is>
      </c>
      <c r="F937" t="inlineStr">
        <is>
          <t>Total</t>
        </is>
      </c>
      <c r="G937" t="inlineStr">
        <is>
          <t>Undergraduates</t>
        </is>
      </c>
      <c r="H937" t="inlineStr">
        <is>
          <t>Faculty</t>
        </is>
      </c>
      <c r="I937" t="inlineStr">
        <is>
          <t>All</t>
        </is>
      </c>
      <c r="J937" t="inlineStr">
        <is>
          <t>All</t>
        </is>
      </c>
      <c r="K937" t="inlineStr">
        <is>
          <t>All</t>
        </is>
      </c>
      <c r="L937" t="inlineStr">
        <is>
          <t>Number</t>
        </is>
      </c>
    </row>
    <row r="938">
      <c r="A938" t="inlineStr">
        <is>
          <t>I124</t>
        </is>
      </c>
      <c r="B938" t="inlineStr">
        <is>
          <t>D. Total number who are men</t>
        </is>
      </c>
      <c r="C938">
        <f>IFERROR(IF(VLOOKUP($A938,'CDS-I'!$A:$L,3,FALSE)="","",(VLOOKUP($A938,'CDS-I'!$A:$L,3,FALSE))),"")</f>
        <v/>
      </c>
      <c r="D938" t="inlineStr">
        <is>
          <t>Instructional Faculty And Class Size</t>
        </is>
      </c>
      <c r="E938" t="inlineStr">
        <is>
          <t>Instructional Faculty</t>
        </is>
      </c>
      <c r="F938" t="inlineStr">
        <is>
          <t>Total</t>
        </is>
      </c>
      <c r="G938" t="inlineStr">
        <is>
          <t>Undergraduates</t>
        </is>
      </c>
      <c r="H938" t="inlineStr">
        <is>
          <t>Faculty</t>
        </is>
      </c>
      <c r="I938" t="inlineStr">
        <is>
          <t>All</t>
        </is>
      </c>
      <c r="J938" t="inlineStr">
        <is>
          <t>All</t>
        </is>
      </c>
      <c r="K938" t="inlineStr">
        <is>
          <t>All</t>
        </is>
      </c>
      <c r="L938" t="inlineStr">
        <is>
          <t>Number</t>
        </is>
      </c>
    </row>
    <row r="939">
      <c r="A939" t="inlineStr">
        <is>
          <t>I125</t>
        </is>
      </c>
      <c r="B939" t="inlineStr">
        <is>
          <t>E. Total number who are nonresidents (international)</t>
        </is>
      </c>
      <c r="C939">
        <f>IFERROR(IF(VLOOKUP($A939,'CDS-I'!$A:$L,3,FALSE)="","",(VLOOKUP($A939,'CDS-I'!$A:$L,3,FALSE))),"")</f>
        <v/>
      </c>
      <c r="D939" t="inlineStr">
        <is>
          <t>Instructional Faculty And Class Size</t>
        </is>
      </c>
      <c r="E939" t="inlineStr">
        <is>
          <t>Instructional Faculty</t>
        </is>
      </c>
      <c r="F939" t="inlineStr">
        <is>
          <t>Total</t>
        </is>
      </c>
      <c r="G939" t="inlineStr">
        <is>
          <t>Undergraduates</t>
        </is>
      </c>
      <c r="H939" t="inlineStr">
        <is>
          <t>Faculty</t>
        </is>
      </c>
      <c r="I939" t="inlineStr">
        <is>
          <t>All</t>
        </is>
      </c>
      <c r="J939" t="inlineStr">
        <is>
          <t>All</t>
        </is>
      </c>
      <c r="K939" t="inlineStr">
        <is>
          <t>All</t>
        </is>
      </c>
      <c r="L939" t="inlineStr">
        <is>
          <t>Number</t>
        </is>
      </c>
    </row>
    <row r="940">
      <c r="A940" t="inlineStr">
        <is>
          <t>I126</t>
        </is>
      </c>
      <c r="B940" t="inlineStr">
        <is>
          <t>F. Total number with doctorate, or other terminal degree</t>
        </is>
      </c>
      <c r="C940">
        <f>IFERROR(IF(VLOOKUP($A940,'CDS-I'!$A:$L,3,FALSE)="","",(VLOOKUP($A940,'CDS-I'!$A:$L,3,FALSE))),"")</f>
        <v/>
      </c>
      <c r="D940" t="inlineStr">
        <is>
          <t>Instructional Faculty And Class Size</t>
        </is>
      </c>
      <c r="E940" t="inlineStr">
        <is>
          <t>Instructional Faculty</t>
        </is>
      </c>
      <c r="F940" t="inlineStr">
        <is>
          <t>Total</t>
        </is>
      </c>
      <c r="G940" t="inlineStr">
        <is>
          <t>Undergraduates</t>
        </is>
      </c>
      <c r="H940" t="inlineStr">
        <is>
          <t>Faculty</t>
        </is>
      </c>
      <c r="I940" t="inlineStr">
        <is>
          <t>All</t>
        </is>
      </c>
      <c r="J940" t="inlineStr">
        <is>
          <t>All</t>
        </is>
      </c>
      <c r="K940" t="inlineStr">
        <is>
          <t>All</t>
        </is>
      </c>
      <c r="L940" t="inlineStr">
        <is>
          <t>Number</t>
        </is>
      </c>
    </row>
    <row r="941">
      <c r="A941" t="inlineStr">
        <is>
          <t>I127</t>
        </is>
      </c>
      <c r="B941" t="inlineStr">
        <is>
          <t>G. Total number whose highest degree is a master’s but not a terminal master’s</t>
        </is>
      </c>
      <c r="C941">
        <f>IFERROR(IF(VLOOKUP($A941,'CDS-I'!$A:$L,3,FALSE)="","",(VLOOKUP($A941,'CDS-I'!$A:$L,3,FALSE))),"")</f>
        <v/>
      </c>
      <c r="D941" t="inlineStr">
        <is>
          <t>Instructional Faculty And Class Size</t>
        </is>
      </c>
      <c r="E941" t="inlineStr">
        <is>
          <t>Instructional Faculty</t>
        </is>
      </c>
      <c r="F941" t="inlineStr">
        <is>
          <t>Total</t>
        </is>
      </c>
      <c r="G941" t="inlineStr">
        <is>
          <t>Undergraduates</t>
        </is>
      </c>
      <c r="H941" t="inlineStr">
        <is>
          <t>Faculty</t>
        </is>
      </c>
      <c r="I941" t="inlineStr">
        <is>
          <t>All</t>
        </is>
      </c>
      <c r="J941" t="inlineStr">
        <is>
          <t>All</t>
        </is>
      </c>
      <c r="K941" t="inlineStr">
        <is>
          <t>All</t>
        </is>
      </c>
      <c r="L941" t="inlineStr">
        <is>
          <t>Number</t>
        </is>
      </c>
    </row>
    <row r="942">
      <c r="A942" t="inlineStr">
        <is>
          <t>I128</t>
        </is>
      </c>
      <c r="B942" t="inlineStr">
        <is>
          <t>H. Total number whose highest degree is a bachelor’s</t>
        </is>
      </c>
      <c r="C942">
        <f>IFERROR(IF(VLOOKUP($A942,'CDS-I'!$A:$L,3,FALSE)="","",(VLOOKUP($A942,'CDS-I'!$A:$L,3,FALSE))),"")</f>
        <v/>
      </c>
      <c r="D942" t="inlineStr">
        <is>
          <t>Instructional Faculty And Class Size</t>
        </is>
      </c>
      <c r="E942" t="inlineStr">
        <is>
          <t>Instructional Faculty</t>
        </is>
      </c>
      <c r="F942" t="inlineStr">
        <is>
          <t>Total</t>
        </is>
      </c>
      <c r="G942" t="inlineStr">
        <is>
          <t>Undergraduates</t>
        </is>
      </c>
      <c r="H942" t="inlineStr">
        <is>
          <t>Faculty</t>
        </is>
      </c>
      <c r="I942" t="inlineStr">
        <is>
          <t>All</t>
        </is>
      </c>
      <c r="J942" t="inlineStr">
        <is>
          <t>All</t>
        </is>
      </c>
      <c r="K942" t="inlineStr">
        <is>
          <t>All</t>
        </is>
      </c>
      <c r="L942" t="inlineStr">
        <is>
          <t>Number</t>
        </is>
      </c>
    </row>
    <row r="943">
      <c r="A943" t="inlineStr">
        <is>
          <t>I129</t>
        </is>
      </c>
      <c r="B943" t="inlineStr">
        <is>
          <t>I. Total number whose highest degree is unknown or other (Note: Items f, g, h, and i must sum up to item a.)</t>
        </is>
      </c>
      <c r="C943">
        <f>IFERROR(IF(VLOOKUP($A943,'CDS-I'!$A:$L,3,FALSE)="","",(VLOOKUP($A943,'CDS-I'!$A:$L,3,FALSE))),"")</f>
        <v/>
      </c>
      <c r="D943" t="inlineStr">
        <is>
          <t>Instructional Faculty And Class Size</t>
        </is>
      </c>
      <c r="E943" t="inlineStr">
        <is>
          <t>Instructional Faculty</t>
        </is>
      </c>
      <c r="F943" t="inlineStr">
        <is>
          <t>Total</t>
        </is>
      </c>
      <c r="G943" t="inlineStr">
        <is>
          <t>Undergraduates</t>
        </is>
      </c>
      <c r="H943" t="inlineStr">
        <is>
          <t>Faculty</t>
        </is>
      </c>
      <c r="I943" t="inlineStr">
        <is>
          <t>All</t>
        </is>
      </c>
      <c r="J943" t="inlineStr">
        <is>
          <t>All</t>
        </is>
      </c>
      <c r="K943" t="inlineStr">
        <is>
          <t>All</t>
        </is>
      </c>
      <c r="L943" t="inlineStr">
        <is>
          <t>Number</t>
        </is>
      </c>
    </row>
    <row r="944">
      <c r="A944" t="inlineStr">
        <is>
          <t>I130</t>
        </is>
      </c>
      <c r="B944" t="inlineStr">
        <is>
          <t>J. Total number in stand-alone graduate/professional programs in which faculty teach virtually only graduate-level students</t>
        </is>
      </c>
      <c r="C944">
        <f>IFERROR(IF(VLOOKUP($A944,'CDS-I'!$A:$L,3,FALSE)="","",(VLOOKUP($A944,'CDS-I'!$A:$L,3,FALSE))),"")</f>
        <v/>
      </c>
      <c r="D944" t="inlineStr">
        <is>
          <t>Instructional Faculty And Class Size</t>
        </is>
      </c>
      <c r="E944" t="inlineStr">
        <is>
          <t>Instructional Faculty</t>
        </is>
      </c>
      <c r="F944" t="inlineStr">
        <is>
          <t>Total</t>
        </is>
      </c>
      <c r="G944" t="inlineStr">
        <is>
          <t>Undergraduates</t>
        </is>
      </c>
      <c r="H944" t="inlineStr">
        <is>
          <t>Faculty</t>
        </is>
      </c>
      <c r="I944" t="inlineStr">
        <is>
          <t>All</t>
        </is>
      </c>
      <c r="J944" t="inlineStr">
        <is>
          <t>All</t>
        </is>
      </c>
      <c r="K944" t="inlineStr">
        <is>
          <t>All</t>
        </is>
      </c>
      <c r="L944" t="inlineStr">
        <is>
          <t>Number</t>
        </is>
      </c>
    </row>
    <row r="945">
      <c r="A945" t="inlineStr">
        <is>
          <t>I201</t>
        </is>
      </c>
      <c r="B945" t="inlineStr">
        <is>
          <t>Fall 2024 Student to Faculty ratio</t>
        </is>
      </c>
      <c r="C945">
        <f>IFERROR(IF(VLOOKUP($A945,'CDS-I'!$A:$L,3,FALSE)="","",(VLOOKUP($A945,'CDS-I'!$A:$L,3,FALSE))),"")</f>
        <v/>
      </c>
      <c r="D945" t="inlineStr">
        <is>
          <t>Instructional Faculty And Class Size</t>
        </is>
      </c>
      <c r="E945" t="inlineStr">
        <is>
          <t>Student to Faculty Ratio</t>
        </is>
      </c>
      <c r="F945" t="inlineStr">
        <is>
          <t>Total</t>
        </is>
      </c>
      <c r="G945" t="inlineStr">
        <is>
          <t>Undergraduates</t>
        </is>
      </c>
      <c r="H945" t="inlineStr">
        <is>
          <t>Faculty</t>
        </is>
      </c>
      <c r="I945" t="inlineStr">
        <is>
          <t>All</t>
        </is>
      </c>
      <c r="J945" t="inlineStr">
        <is>
          <t>All</t>
        </is>
      </c>
      <c r="K945" t="inlineStr">
        <is>
          <t>All</t>
        </is>
      </c>
      <c r="L945" t="inlineStr">
        <is>
          <t>Number</t>
        </is>
      </c>
    </row>
    <row r="946">
      <c r="A946" t="inlineStr">
        <is>
          <t>I202</t>
        </is>
      </c>
      <c r="B946" t="inlineStr">
        <is>
          <t>based on ____  students</t>
        </is>
      </c>
      <c r="C946">
        <f>IFERROR(IF(VLOOKUP($A946,'CDS-I'!$A:$L,3,FALSE)="","",(VLOOKUP($A946,'CDS-I'!$A:$L,3,FALSE))),"")</f>
        <v/>
      </c>
      <c r="D946" t="inlineStr">
        <is>
          <t>Instructional Faculty And Class Size</t>
        </is>
      </c>
      <c r="E946" t="inlineStr">
        <is>
          <t>Student to Faculty Ratio</t>
        </is>
      </c>
      <c r="F946" t="inlineStr">
        <is>
          <t>Total</t>
        </is>
      </c>
      <c r="G946" t="inlineStr">
        <is>
          <t>Undergraduates</t>
        </is>
      </c>
      <c r="H946" t="inlineStr">
        <is>
          <t>Faculty</t>
        </is>
      </c>
      <c r="I946" t="inlineStr">
        <is>
          <t>All</t>
        </is>
      </c>
      <c r="J946" t="inlineStr">
        <is>
          <t>All</t>
        </is>
      </c>
      <c r="K946" t="inlineStr">
        <is>
          <t>All</t>
        </is>
      </c>
      <c r="L946" t="inlineStr">
        <is>
          <t>Number</t>
        </is>
      </c>
    </row>
    <row r="947">
      <c r="A947" t="inlineStr">
        <is>
          <t>I203</t>
        </is>
      </c>
      <c r="B947" t="inlineStr">
        <is>
          <t>and ____ faculty</t>
        </is>
      </c>
      <c r="C947">
        <f>IFERROR(IF(VLOOKUP($A947,'CDS-I'!$A:$L,3,FALSE)="","",(VLOOKUP($A947,'CDS-I'!$A:$L,3,FALSE))),"")</f>
        <v/>
      </c>
      <c r="D947" t="inlineStr">
        <is>
          <t>Instructional Faculty And Class Size</t>
        </is>
      </c>
      <c r="E947" t="inlineStr">
        <is>
          <t>Student to Faculty Ratio</t>
        </is>
      </c>
      <c r="F947" t="inlineStr">
        <is>
          <t>Total</t>
        </is>
      </c>
      <c r="G947" t="inlineStr">
        <is>
          <t>Undergraduates</t>
        </is>
      </c>
      <c r="H947" t="inlineStr">
        <is>
          <t>Faculty</t>
        </is>
      </c>
      <c r="I947" t="inlineStr">
        <is>
          <t>All</t>
        </is>
      </c>
      <c r="J947" t="inlineStr">
        <is>
          <t>All</t>
        </is>
      </c>
      <c r="K947" t="inlineStr">
        <is>
          <t>All</t>
        </is>
      </c>
      <c r="L947" t="inlineStr">
        <is>
          <t>Number</t>
        </is>
      </c>
    </row>
    <row r="948">
      <c r="A948" t="inlineStr">
        <is>
          <t>I301</t>
        </is>
      </c>
      <c r="B948" t="inlineStr">
        <is>
          <t>2-9</t>
        </is>
      </c>
      <c r="C948">
        <f>IFERROR(IF(VLOOKUP($A948,'CDS-I'!$A:$L,3,FALSE)="","",(VLOOKUP($A948,'CDS-I'!$A:$L,3,FALSE))),"")</f>
        <v/>
      </c>
      <c r="D948" t="inlineStr">
        <is>
          <t>Instructional Faculty And Class Size</t>
        </is>
      </c>
      <c r="E948" t="inlineStr">
        <is>
          <t>Undergraduate Class Size</t>
        </is>
      </c>
      <c r="F948" t="inlineStr">
        <is>
          <t>Class Sections</t>
        </is>
      </c>
      <c r="G948" t="inlineStr">
        <is>
          <t>Undergraduates</t>
        </is>
      </c>
      <c r="H948" t="inlineStr">
        <is>
          <t>Faculty</t>
        </is>
      </c>
      <c r="I948" t="inlineStr">
        <is>
          <t>All</t>
        </is>
      </c>
      <c r="J948" t="inlineStr">
        <is>
          <t>All</t>
        </is>
      </c>
      <c r="K948" t="inlineStr">
        <is>
          <t>All</t>
        </is>
      </c>
      <c r="L948" t="inlineStr">
        <is>
          <t>Number</t>
        </is>
      </c>
    </row>
    <row r="949">
      <c r="A949" t="inlineStr">
        <is>
          <t>I302</t>
        </is>
      </c>
      <c r="B949" t="inlineStr">
        <is>
          <t>10-19</t>
        </is>
      </c>
      <c r="C949">
        <f>IFERROR(IF(VLOOKUP($A949,'CDS-I'!$A:$L,3,FALSE)="","",(VLOOKUP($A949,'CDS-I'!$A:$L,3,FALSE))),"")</f>
        <v/>
      </c>
      <c r="D949" t="inlineStr">
        <is>
          <t>Instructional Faculty And Class Size</t>
        </is>
      </c>
      <c r="E949" t="inlineStr">
        <is>
          <t>Undergraduate Class Size</t>
        </is>
      </c>
      <c r="F949" t="inlineStr">
        <is>
          <t>Class Sections</t>
        </is>
      </c>
      <c r="G949" t="inlineStr">
        <is>
          <t>Undergraduates</t>
        </is>
      </c>
      <c r="H949" t="inlineStr">
        <is>
          <t>Faculty</t>
        </is>
      </c>
      <c r="I949" t="inlineStr">
        <is>
          <t>All</t>
        </is>
      </c>
      <c r="J949" t="inlineStr">
        <is>
          <t>All</t>
        </is>
      </c>
      <c r="K949" t="inlineStr">
        <is>
          <t>All</t>
        </is>
      </c>
      <c r="L949" t="inlineStr">
        <is>
          <t>Number</t>
        </is>
      </c>
    </row>
    <row r="950">
      <c r="A950" t="inlineStr">
        <is>
          <t>I303</t>
        </is>
      </c>
      <c r="B950" t="inlineStr">
        <is>
          <t>20-29</t>
        </is>
      </c>
      <c r="C950">
        <f>IFERROR(IF(VLOOKUP($A950,'CDS-I'!$A:$L,3,FALSE)="","",(VLOOKUP($A950,'CDS-I'!$A:$L,3,FALSE))),"")</f>
        <v/>
      </c>
      <c r="D950" t="inlineStr">
        <is>
          <t>Instructional Faculty And Class Size</t>
        </is>
      </c>
      <c r="E950" t="inlineStr">
        <is>
          <t>Undergraduate Class Size</t>
        </is>
      </c>
      <c r="F950" t="inlineStr">
        <is>
          <t>Class Sections</t>
        </is>
      </c>
      <c r="G950" t="inlineStr">
        <is>
          <t>Undergraduates</t>
        </is>
      </c>
      <c r="H950" t="inlineStr">
        <is>
          <t>Faculty</t>
        </is>
      </c>
      <c r="I950" t="inlineStr">
        <is>
          <t>All</t>
        </is>
      </c>
      <c r="J950" t="inlineStr">
        <is>
          <t>All</t>
        </is>
      </c>
      <c r="K950" t="inlineStr">
        <is>
          <t>All</t>
        </is>
      </c>
      <c r="L950" t="inlineStr">
        <is>
          <t>Number</t>
        </is>
      </c>
    </row>
    <row r="951">
      <c r="A951" t="inlineStr">
        <is>
          <t>I304</t>
        </is>
      </c>
      <c r="B951" t="inlineStr">
        <is>
          <t>30-39</t>
        </is>
      </c>
      <c r="C951">
        <f>IFERROR(IF(VLOOKUP($A951,'CDS-I'!$A:$L,3,FALSE)="","",(VLOOKUP($A951,'CDS-I'!$A:$L,3,FALSE))),"")</f>
        <v/>
      </c>
      <c r="D951" t="inlineStr">
        <is>
          <t>Instructional Faculty And Class Size</t>
        </is>
      </c>
      <c r="E951" t="inlineStr">
        <is>
          <t>Undergraduate Class Size</t>
        </is>
      </c>
      <c r="F951" t="inlineStr">
        <is>
          <t>Class Sections</t>
        </is>
      </c>
      <c r="G951" t="inlineStr">
        <is>
          <t>Undergraduates</t>
        </is>
      </c>
      <c r="H951" t="inlineStr">
        <is>
          <t>Faculty</t>
        </is>
      </c>
      <c r="I951" t="inlineStr">
        <is>
          <t>All</t>
        </is>
      </c>
      <c r="J951" t="inlineStr">
        <is>
          <t>All</t>
        </is>
      </c>
      <c r="K951" t="inlineStr">
        <is>
          <t>All</t>
        </is>
      </c>
      <c r="L951" t="inlineStr">
        <is>
          <t>Number</t>
        </is>
      </c>
    </row>
    <row r="952">
      <c r="A952" t="inlineStr">
        <is>
          <t>I305</t>
        </is>
      </c>
      <c r="B952" t="inlineStr">
        <is>
          <t>40-49</t>
        </is>
      </c>
      <c r="C952">
        <f>IFERROR(IF(VLOOKUP($A952,'CDS-I'!$A:$L,3,FALSE)="","",(VLOOKUP($A952,'CDS-I'!$A:$L,3,FALSE))),"")</f>
        <v/>
      </c>
      <c r="D952" t="inlineStr">
        <is>
          <t>Instructional Faculty And Class Size</t>
        </is>
      </c>
      <c r="E952" t="inlineStr">
        <is>
          <t>Undergraduate Class Size</t>
        </is>
      </c>
      <c r="F952" t="inlineStr">
        <is>
          <t>Class Sections</t>
        </is>
      </c>
      <c r="G952" t="inlineStr">
        <is>
          <t>Undergraduates</t>
        </is>
      </c>
      <c r="H952" t="inlineStr">
        <is>
          <t>Faculty</t>
        </is>
      </c>
      <c r="I952" t="inlineStr">
        <is>
          <t>All</t>
        </is>
      </c>
      <c r="J952" t="inlineStr">
        <is>
          <t>All</t>
        </is>
      </c>
      <c r="K952" t="inlineStr">
        <is>
          <t>All</t>
        </is>
      </c>
      <c r="L952" t="inlineStr">
        <is>
          <t>Number</t>
        </is>
      </c>
    </row>
    <row r="953">
      <c r="A953" t="inlineStr">
        <is>
          <t>I306</t>
        </is>
      </c>
      <c r="B953" t="inlineStr">
        <is>
          <t>50-99</t>
        </is>
      </c>
      <c r="C953">
        <f>IFERROR(IF(VLOOKUP($A953,'CDS-I'!$A:$L,3,FALSE)="","",(VLOOKUP($A953,'CDS-I'!$A:$L,3,FALSE))),"")</f>
        <v/>
      </c>
      <c r="D953" t="inlineStr">
        <is>
          <t>Instructional Faculty And Class Size</t>
        </is>
      </c>
      <c r="E953" t="inlineStr">
        <is>
          <t>Undergraduate Class Size</t>
        </is>
      </c>
      <c r="F953" t="inlineStr">
        <is>
          <t>Class Sections</t>
        </is>
      </c>
      <c r="G953" t="inlineStr">
        <is>
          <t>Undergraduates</t>
        </is>
      </c>
      <c r="H953" t="inlineStr">
        <is>
          <t>Faculty</t>
        </is>
      </c>
      <c r="I953" t="inlineStr">
        <is>
          <t>All</t>
        </is>
      </c>
      <c r="J953" t="inlineStr">
        <is>
          <t>All</t>
        </is>
      </c>
      <c r="K953" t="inlineStr">
        <is>
          <t>All</t>
        </is>
      </c>
      <c r="L953" t="inlineStr">
        <is>
          <t>Number</t>
        </is>
      </c>
    </row>
    <row r="954">
      <c r="A954" t="inlineStr">
        <is>
          <t>I307</t>
        </is>
      </c>
      <c r="B954" t="inlineStr">
        <is>
          <t>100+</t>
        </is>
      </c>
      <c r="C954">
        <f>IFERROR(IF(VLOOKUP($A954,'CDS-I'!$A:$L,3,FALSE)="","",(VLOOKUP($A954,'CDS-I'!$A:$L,3,FALSE))),"")</f>
        <v/>
      </c>
      <c r="D954" t="inlineStr">
        <is>
          <t>Instructional Faculty And Class Size</t>
        </is>
      </c>
      <c r="E954" t="inlineStr">
        <is>
          <t>Undergraduate Class Size</t>
        </is>
      </c>
      <c r="F954" t="inlineStr">
        <is>
          <t>Class Sections</t>
        </is>
      </c>
      <c r="G954" t="inlineStr">
        <is>
          <t>Undergraduates</t>
        </is>
      </c>
      <c r="H954" t="inlineStr">
        <is>
          <t>Faculty</t>
        </is>
      </c>
      <c r="I954" t="inlineStr">
        <is>
          <t>All</t>
        </is>
      </c>
      <c r="J954" t="inlineStr">
        <is>
          <t>All</t>
        </is>
      </c>
      <c r="K954" t="inlineStr">
        <is>
          <t>All</t>
        </is>
      </c>
      <c r="L954" t="inlineStr">
        <is>
          <t>Number</t>
        </is>
      </c>
    </row>
    <row r="955">
      <c r="A955" t="inlineStr">
        <is>
          <t>I308</t>
        </is>
      </c>
      <c r="B955" t="inlineStr">
        <is>
          <t>Total</t>
        </is>
      </c>
      <c r="C955">
        <f>IFERROR(IF(VLOOKUP($A955,'CDS-I'!$A:$L,3,FALSE)="","",(VLOOKUP($A955,'CDS-I'!$A:$L,3,FALSE))),"")</f>
        <v/>
      </c>
      <c r="D955" t="inlineStr">
        <is>
          <t>Instructional Faculty And Class Size</t>
        </is>
      </c>
      <c r="E955" t="inlineStr">
        <is>
          <t>Undergraduate Class Size</t>
        </is>
      </c>
      <c r="F955" t="inlineStr">
        <is>
          <t>Class Sections</t>
        </is>
      </c>
      <c r="G955" t="inlineStr">
        <is>
          <t>Undergraduates</t>
        </is>
      </c>
      <c r="H955" t="inlineStr">
        <is>
          <t>Faculty</t>
        </is>
      </c>
      <c r="I955" t="inlineStr">
        <is>
          <t>All</t>
        </is>
      </c>
      <c r="J955" t="inlineStr">
        <is>
          <t>All</t>
        </is>
      </c>
      <c r="K955" t="inlineStr">
        <is>
          <t>All</t>
        </is>
      </c>
      <c r="L955" t="inlineStr">
        <is>
          <t>Number</t>
        </is>
      </c>
    </row>
    <row r="956">
      <c r="A956" t="inlineStr">
        <is>
          <t>I309</t>
        </is>
      </c>
      <c r="B956" t="inlineStr">
        <is>
          <t>2-9</t>
        </is>
      </c>
      <c r="C956">
        <f>IFERROR(IF(VLOOKUP($A956,'CDS-I'!$A:$L,3,FALSE)="","",(VLOOKUP($A956,'CDS-I'!$A:$L,3,FALSE))),"")</f>
        <v/>
      </c>
      <c r="D956" t="inlineStr">
        <is>
          <t>Instructional Faculty And Class Size</t>
        </is>
      </c>
      <c r="E956" t="inlineStr">
        <is>
          <t>Undergraduate Class Size</t>
        </is>
      </c>
      <c r="F956" t="inlineStr">
        <is>
          <t>Class Sub-Sections</t>
        </is>
      </c>
      <c r="G956" t="inlineStr">
        <is>
          <t>Undergraduates</t>
        </is>
      </c>
      <c r="H956" t="inlineStr">
        <is>
          <t>Faculty</t>
        </is>
      </c>
      <c r="I956" t="inlineStr">
        <is>
          <t>All</t>
        </is>
      </c>
      <c r="J956" t="inlineStr">
        <is>
          <t>All</t>
        </is>
      </c>
      <c r="K956" t="inlineStr">
        <is>
          <t>All</t>
        </is>
      </c>
      <c r="L956" t="inlineStr">
        <is>
          <t>Number</t>
        </is>
      </c>
    </row>
    <row r="957">
      <c r="A957" t="inlineStr">
        <is>
          <t>I310</t>
        </is>
      </c>
      <c r="B957" t="inlineStr">
        <is>
          <t>10-19</t>
        </is>
      </c>
      <c r="C957">
        <f>IFERROR(IF(VLOOKUP($A957,'CDS-I'!$A:$L,3,FALSE)="","",(VLOOKUP($A957,'CDS-I'!$A:$L,3,FALSE))),"")</f>
        <v/>
      </c>
      <c r="D957" t="inlineStr">
        <is>
          <t>Instructional Faculty And Class Size</t>
        </is>
      </c>
      <c r="E957" t="inlineStr">
        <is>
          <t>Undergraduate Class Size</t>
        </is>
      </c>
      <c r="F957" t="inlineStr">
        <is>
          <t>Class Sub-Sections</t>
        </is>
      </c>
      <c r="G957" t="inlineStr">
        <is>
          <t>Undergraduates</t>
        </is>
      </c>
      <c r="H957" t="inlineStr">
        <is>
          <t>Faculty</t>
        </is>
      </c>
      <c r="I957" t="inlineStr">
        <is>
          <t>All</t>
        </is>
      </c>
      <c r="J957" t="inlineStr">
        <is>
          <t>All</t>
        </is>
      </c>
      <c r="K957" t="inlineStr">
        <is>
          <t>All</t>
        </is>
      </c>
      <c r="L957" t="inlineStr">
        <is>
          <t>Number</t>
        </is>
      </c>
    </row>
    <row r="958">
      <c r="A958" t="inlineStr">
        <is>
          <t>I311</t>
        </is>
      </c>
      <c r="B958" t="inlineStr">
        <is>
          <t>20-29</t>
        </is>
      </c>
      <c r="C958">
        <f>IFERROR(IF(VLOOKUP($A958,'CDS-I'!$A:$L,3,FALSE)="","",(VLOOKUP($A958,'CDS-I'!$A:$L,3,FALSE))),"")</f>
        <v/>
      </c>
      <c r="D958" t="inlineStr">
        <is>
          <t>Instructional Faculty And Class Size</t>
        </is>
      </c>
      <c r="E958" t="inlineStr">
        <is>
          <t>Undergraduate Class Size</t>
        </is>
      </c>
      <c r="F958" t="inlineStr">
        <is>
          <t>Class Sub-Sections</t>
        </is>
      </c>
      <c r="G958" t="inlineStr">
        <is>
          <t>Undergraduates</t>
        </is>
      </c>
      <c r="H958" t="inlineStr">
        <is>
          <t>Faculty</t>
        </is>
      </c>
      <c r="I958" t="inlineStr">
        <is>
          <t>All</t>
        </is>
      </c>
      <c r="J958" t="inlineStr">
        <is>
          <t>All</t>
        </is>
      </c>
      <c r="K958" t="inlineStr">
        <is>
          <t>All</t>
        </is>
      </c>
      <c r="L958" t="inlineStr">
        <is>
          <t>Number</t>
        </is>
      </c>
    </row>
    <row r="959">
      <c r="A959" t="inlineStr">
        <is>
          <t>I312</t>
        </is>
      </c>
      <c r="B959" t="inlineStr">
        <is>
          <t>30-39</t>
        </is>
      </c>
      <c r="C959">
        <f>IFERROR(IF(VLOOKUP($A959,'CDS-I'!$A:$L,3,FALSE)="","",(VLOOKUP($A959,'CDS-I'!$A:$L,3,FALSE))),"")</f>
        <v/>
      </c>
      <c r="D959" t="inlineStr">
        <is>
          <t>Instructional Faculty And Class Size</t>
        </is>
      </c>
      <c r="E959" t="inlineStr">
        <is>
          <t>Undergraduate Class Size</t>
        </is>
      </c>
      <c r="F959" t="inlineStr">
        <is>
          <t>Class Sub-Sections</t>
        </is>
      </c>
      <c r="G959" t="inlineStr">
        <is>
          <t>Undergraduates</t>
        </is>
      </c>
      <c r="H959" t="inlineStr">
        <is>
          <t>Faculty</t>
        </is>
      </c>
      <c r="I959" t="inlineStr">
        <is>
          <t>All</t>
        </is>
      </c>
      <c r="J959" t="inlineStr">
        <is>
          <t>All</t>
        </is>
      </c>
      <c r="K959" t="inlineStr">
        <is>
          <t>All</t>
        </is>
      </c>
      <c r="L959" t="inlineStr">
        <is>
          <t>Number</t>
        </is>
      </c>
    </row>
    <row r="960">
      <c r="A960" t="inlineStr">
        <is>
          <t>I313</t>
        </is>
      </c>
      <c r="B960" t="inlineStr">
        <is>
          <t>40-49</t>
        </is>
      </c>
      <c r="C960">
        <f>IFERROR(IF(VLOOKUP($A960,'CDS-I'!$A:$L,3,FALSE)="","",(VLOOKUP($A960,'CDS-I'!$A:$L,3,FALSE))),"")</f>
        <v/>
      </c>
      <c r="D960" t="inlineStr">
        <is>
          <t>Instructional Faculty And Class Size</t>
        </is>
      </c>
      <c r="E960" t="inlineStr">
        <is>
          <t>Undergraduate Class Size</t>
        </is>
      </c>
      <c r="F960" t="inlineStr">
        <is>
          <t>Class Sub-Sections</t>
        </is>
      </c>
      <c r="G960" t="inlineStr">
        <is>
          <t>Undergraduates</t>
        </is>
      </c>
      <c r="H960" t="inlineStr">
        <is>
          <t>Faculty</t>
        </is>
      </c>
      <c r="I960" t="inlineStr">
        <is>
          <t>All</t>
        </is>
      </c>
      <c r="J960" t="inlineStr">
        <is>
          <t>All</t>
        </is>
      </c>
      <c r="K960" t="inlineStr">
        <is>
          <t>All</t>
        </is>
      </c>
      <c r="L960" t="inlineStr">
        <is>
          <t>Number</t>
        </is>
      </c>
    </row>
    <row r="961">
      <c r="A961" t="inlineStr">
        <is>
          <t>I314</t>
        </is>
      </c>
      <c r="B961" t="inlineStr">
        <is>
          <t>50-99</t>
        </is>
      </c>
      <c r="C961">
        <f>IFERROR(IF(VLOOKUP($A961,'CDS-I'!$A:$L,3,FALSE)="","",(VLOOKUP($A961,'CDS-I'!$A:$L,3,FALSE))),"")</f>
        <v/>
      </c>
      <c r="D961" t="inlineStr">
        <is>
          <t>Instructional Faculty And Class Size</t>
        </is>
      </c>
      <c r="E961" t="inlineStr">
        <is>
          <t>Undergraduate Class Size</t>
        </is>
      </c>
      <c r="F961" t="inlineStr">
        <is>
          <t>Class Sub-Sections</t>
        </is>
      </c>
      <c r="G961" t="inlineStr">
        <is>
          <t>Undergraduates</t>
        </is>
      </c>
      <c r="H961" t="inlineStr">
        <is>
          <t>Faculty</t>
        </is>
      </c>
      <c r="I961" t="inlineStr">
        <is>
          <t>All</t>
        </is>
      </c>
      <c r="J961" t="inlineStr">
        <is>
          <t>All</t>
        </is>
      </c>
      <c r="K961" t="inlineStr">
        <is>
          <t>All</t>
        </is>
      </c>
      <c r="L961" t="inlineStr">
        <is>
          <t>Number</t>
        </is>
      </c>
    </row>
    <row r="962">
      <c r="A962" t="inlineStr">
        <is>
          <t>I315</t>
        </is>
      </c>
      <c r="B962" t="inlineStr">
        <is>
          <t>100+</t>
        </is>
      </c>
      <c r="C962">
        <f>IFERROR(IF(VLOOKUP($A962,'CDS-I'!$A:$L,3,FALSE)="","",(VLOOKUP($A962,'CDS-I'!$A:$L,3,FALSE))),"")</f>
        <v/>
      </c>
      <c r="D962" t="inlineStr">
        <is>
          <t>Instructional Faculty And Class Size</t>
        </is>
      </c>
      <c r="E962" t="inlineStr">
        <is>
          <t>Undergraduate Class Size</t>
        </is>
      </c>
      <c r="F962" t="inlineStr">
        <is>
          <t>Class Sub-Sections</t>
        </is>
      </c>
      <c r="G962" t="inlineStr">
        <is>
          <t>Undergraduates</t>
        </is>
      </c>
      <c r="H962" t="inlineStr">
        <is>
          <t>Faculty</t>
        </is>
      </c>
      <c r="I962" t="inlineStr">
        <is>
          <t>All</t>
        </is>
      </c>
      <c r="J962" t="inlineStr">
        <is>
          <t>All</t>
        </is>
      </c>
      <c r="K962" t="inlineStr">
        <is>
          <t>All</t>
        </is>
      </c>
      <c r="L962" t="inlineStr">
        <is>
          <t>Number</t>
        </is>
      </c>
    </row>
    <row r="963">
      <c r="A963" t="inlineStr">
        <is>
          <t>I316</t>
        </is>
      </c>
      <c r="B963" t="inlineStr">
        <is>
          <t>Total</t>
        </is>
      </c>
      <c r="C963">
        <f>IFERROR(IF(VLOOKUP($A963,'CDS-I'!$A:$L,3,FALSE)="","",(VLOOKUP($A963,'CDS-I'!$A:$L,3,FALSE))),"")</f>
        <v/>
      </c>
      <c r="D963" t="inlineStr">
        <is>
          <t>Instructional Faculty And Class Size</t>
        </is>
      </c>
      <c r="E963" t="inlineStr">
        <is>
          <t>Undergraduate Class Size</t>
        </is>
      </c>
      <c r="F963" t="inlineStr">
        <is>
          <t>Class Sub-Sections</t>
        </is>
      </c>
      <c r="G963" t="inlineStr">
        <is>
          <t>Undergraduates</t>
        </is>
      </c>
      <c r="H963" t="inlineStr">
        <is>
          <t>Faculty</t>
        </is>
      </c>
      <c r="I963" t="inlineStr">
        <is>
          <t>All</t>
        </is>
      </c>
      <c r="J963" t="inlineStr">
        <is>
          <t>All</t>
        </is>
      </c>
      <c r="K963" t="inlineStr">
        <is>
          <t>All</t>
        </is>
      </c>
      <c r="L963" t="inlineStr">
        <is>
          <t>Number</t>
        </is>
      </c>
    </row>
    <row r="964">
      <c r="A964" t="inlineStr">
        <is>
          <t>J101</t>
        </is>
      </c>
      <c r="B964" t="inlineStr">
        <is>
          <t>Agriculture</t>
        </is>
      </c>
      <c r="C964">
        <f>IFERROR(IF(VLOOKUP($A964,'CDS-J'!$A:$L,3,FALSE)="","",(VLOOKUP($A964,'CDS-J'!$A:$L,3,FALSE))),"")</f>
        <v/>
      </c>
      <c r="D964" t="inlineStr">
        <is>
          <t>Disciplinary Areas of Degrees Conferred</t>
        </is>
      </c>
      <c r="E964" t="inlineStr">
        <is>
          <t>Diploma/Certificates</t>
        </is>
      </c>
      <c r="F964" t="inlineStr">
        <is>
          <t>01</t>
        </is>
      </c>
      <c r="G964" t="inlineStr">
        <is>
          <t>Undergraduates</t>
        </is>
      </c>
      <c r="H964" t="inlineStr">
        <is>
          <t>All</t>
        </is>
      </c>
      <c r="I964" t="inlineStr">
        <is>
          <t>All</t>
        </is>
      </c>
      <c r="J964" t="inlineStr">
        <is>
          <t>All</t>
        </is>
      </c>
      <c r="K964" t="inlineStr">
        <is>
          <t>All</t>
        </is>
      </c>
      <c r="L964" t="inlineStr">
        <is>
          <t>Whole Number or Round to Nearest Tenths</t>
        </is>
      </c>
    </row>
    <row r="965">
      <c r="A965" t="inlineStr">
        <is>
          <t>J102</t>
        </is>
      </c>
      <c r="B965" t="inlineStr">
        <is>
          <t>Natural resources and conservation</t>
        </is>
      </c>
      <c r="C965">
        <f>IFERROR(IF(VLOOKUP($A965,'CDS-J'!$A:$L,3,FALSE)="","",(VLOOKUP($A965,'CDS-J'!$A:$L,3,FALSE))),"")</f>
        <v/>
      </c>
      <c r="D965" t="inlineStr">
        <is>
          <t>Disciplinary Areas of Degrees Conferred</t>
        </is>
      </c>
      <c r="E965" t="inlineStr">
        <is>
          <t>Diploma/Certificates</t>
        </is>
      </c>
      <c r="F965" t="inlineStr">
        <is>
          <t>03</t>
        </is>
      </c>
      <c r="G965" t="inlineStr">
        <is>
          <t>Undergraduates</t>
        </is>
      </c>
      <c r="H965" t="inlineStr">
        <is>
          <t>All</t>
        </is>
      </c>
      <c r="I965" t="inlineStr">
        <is>
          <t>All</t>
        </is>
      </c>
      <c r="J965" t="inlineStr">
        <is>
          <t>All</t>
        </is>
      </c>
      <c r="K965" t="inlineStr">
        <is>
          <t>All</t>
        </is>
      </c>
      <c r="L965" t="inlineStr">
        <is>
          <t>Whole Number or Round to Nearest Tenths</t>
        </is>
      </c>
    </row>
    <row r="966">
      <c r="A966" t="inlineStr">
        <is>
          <t>J103</t>
        </is>
      </c>
      <c r="B966" t="inlineStr">
        <is>
          <t>Architecture</t>
        </is>
      </c>
      <c r="C966">
        <f>IFERROR(IF(VLOOKUP($A966,'CDS-J'!$A:$L,3,FALSE)="","",(VLOOKUP($A966,'CDS-J'!$A:$L,3,FALSE))),"")</f>
        <v/>
      </c>
      <c r="D966" t="inlineStr">
        <is>
          <t>Disciplinary Areas of Degrees Conferred</t>
        </is>
      </c>
      <c r="E966" t="inlineStr">
        <is>
          <t>Diploma/Certificates</t>
        </is>
      </c>
      <c r="F966" t="inlineStr">
        <is>
          <t>04</t>
        </is>
      </c>
      <c r="G966" t="inlineStr">
        <is>
          <t>Undergraduates</t>
        </is>
      </c>
      <c r="H966" t="inlineStr">
        <is>
          <t>All</t>
        </is>
      </c>
      <c r="I966" t="inlineStr">
        <is>
          <t>All</t>
        </is>
      </c>
      <c r="J966" t="inlineStr">
        <is>
          <t>All</t>
        </is>
      </c>
      <c r="K966" t="inlineStr">
        <is>
          <t>All</t>
        </is>
      </c>
      <c r="L966" t="inlineStr">
        <is>
          <t>Whole Number or Round to Nearest Tenths</t>
        </is>
      </c>
    </row>
    <row r="967">
      <c r="A967" t="inlineStr">
        <is>
          <t>J104</t>
        </is>
      </c>
      <c r="B967" t="inlineStr">
        <is>
          <t>Area, ethnic, and gender studies</t>
        </is>
      </c>
      <c r="C967">
        <f>IFERROR(IF(VLOOKUP($A967,'CDS-J'!$A:$L,3,FALSE)="","",(VLOOKUP($A967,'CDS-J'!$A:$L,3,FALSE))),"")</f>
        <v/>
      </c>
      <c r="D967" t="inlineStr">
        <is>
          <t>Disciplinary Areas of Degrees Conferred</t>
        </is>
      </c>
      <c r="E967" t="inlineStr">
        <is>
          <t>Diploma/Certificates</t>
        </is>
      </c>
      <c r="F967" t="inlineStr">
        <is>
          <t>05</t>
        </is>
      </c>
      <c r="G967" t="inlineStr">
        <is>
          <t>Undergraduates</t>
        </is>
      </c>
      <c r="H967" t="inlineStr">
        <is>
          <t>All</t>
        </is>
      </c>
      <c r="I967" t="inlineStr">
        <is>
          <t>All</t>
        </is>
      </c>
      <c r="J967" t="inlineStr">
        <is>
          <t>All</t>
        </is>
      </c>
      <c r="K967" t="inlineStr">
        <is>
          <t>All</t>
        </is>
      </c>
      <c r="L967" t="inlineStr">
        <is>
          <t>Whole Number or Round to Nearest Tenths</t>
        </is>
      </c>
    </row>
    <row r="968">
      <c r="A968" t="inlineStr">
        <is>
          <t>J105</t>
        </is>
      </c>
      <c r="B968" t="inlineStr">
        <is>
          <t>Communication/journalism</t>
        </is>
      </c>
      <c r="C968">
        <f>IFERROR(IF(VLOOKUP($A968,'CDS-J'!$A:$L,3,FALSE)="","",(VLOOKUP($A968,'CDS-J'!$A:$L,3,FALSE))),"")</f>
        <v/>
      </c>
      <c r="D968" t="inlineStr">
        <is>
          <t>Disciplinary Areas of Degrees Conferred</t>
        </is>
      </c>
      <c r="E968" t="inlineStr">
        <is>
          <t>Diploma/Certificates</t>
        </is>
      </c>
      <c r="F968" t="inlineStr">
        <is>
          <t>09</t>
        </is>
      </c>
      <c r="G968" t="inlineStr">
        <is>
          <t>Undergraduates</t>
        </is>
      </c>
      <c r="H968" t="inlineStr">
        <is>
          <t>All</t>
        </is>
      </c>
      <c r="I968" t="inlineStr">
        <is>
          <t>All</t>
        </is>
      </c>
      <c r="J968" t="inlineStr">
        <is>
          <t>All</t>
        </is>
      </c>
      <c r="K968" t="inlineStr">
        <is>
          <t>All</t>
        </is>
      </c>
      <c r="L968" t="inlineStr">
        <is>
          <t>Whole Number or Round to Nearest Tenths</t>
        </is>
      </c>
    </row>
    <row r="969">
      <c r="A969" t="inlineStr">
        <is>
          <t>J106</t>
        </is>
      </c>
      <c r="B969" t="inlineStr">
        <is>
          <t>Communication technologies</t>
        </is>
      </c>
      <c r="C969">
        <f>IFERROR(IF(VLOOKUP($A969,'CDS-J'!$A:$L,3,FALSE)="","",(VLOOKUP($A969,'CDS-J'!$A:$L,3,FALSE))),"")</f>
        <v/>
      </c>
      <c r="D969" t="inlineStr">
        <is>
          <t>Disciplinary Areas of Degrees Conferred</t>
        </is>
      </c>
      <c r="E969" t="inlineStr">
        <is>
          <t>Diploma/Certificates</t>
        </is>
      </c>
      <c r="F969" t="n">
        <v>10</v>
      </c>
      <c r="G969" t="inlineStr">
        <is>
          <t>Undergraduates</t>
        </is>
      </c>
      <c r="H969" t="inlineStr">
        <is>
          <t>All</t>
        </is>
      </c>
      <c r="I969" t="inlineStr">
        <is>
          <t>All</t>
        </is>
      </c>
      <c r="J969" t="inlineStr">
        <is>
          <t>All</t>
        </is>
      </c>
      <c r="K969" t="inlineStr">
        <is>
          <t>All</t>
        </is>
      </c>
      <c r="L969" t="inlineStr">
        <is>
          <t>Whole Number or Round to Nearest Tenths</t>
        </is>
      </c>
    </row>
    <row r="970">
      <c r="A970" t="inlineStr">
        <is>
          <t>J107</t>
        </is>
      </c>
      <c r="B970" t="inlineStr">
        <is>
          <t>Computer and information sciences</t>
        </is>
      </c>
      <c r="C970">
        <f>IFERROR(IF(VLOOKUP($A970,'CDS-J'!$A:$L,3,FALSE)="","",(VLOOKUP($A970,'CDS-J'!$A:$L,3,FALSE))),"")</f>
        <v/>
      </c>
      <c r="D970" t="inlineStr">
        <is>
          <t>Disciplinary Areas of Degrees Conferred</t>
        </is>
      </c>
      <c r="E970" t="inlineStr">
        <is>
          <t>Diploma/Certificates</t>
        </is>
      </c>
      <c r="F970" t="n">
        <v>11</v>
      </c>
      <c r="G970" t="inlineStr">
        <is>
          <t>Undergraduates</t>
        </is>
      </c>
      <c r="H970" t="inlineStr">
        <is>
          <t>All</t>
        </is>
      </c>
      <c r="I970" t="inlineStr">
        <is>
          <t>All</t>
        </is>
      </c>
      <c r="J970" t="inlineStr">
        <is>
          <t>All</t>
        </is>
      </c>
      <c r="K970" t="inlineStr">
        <is>
          <t>All</t>
        </is>
      </c>
      <c r="L970" t="inlineStr">
        <is>
          <t>Whole Number or Round to Nearest Tenths</t>
        </is>
      </c>
    </row>
    <row r="971">
      <c r="A971" t="inlineStr">
        <is>
          <t>J108</t>
        </is>
      </c>
      <c r="B971" t="inlineStr">
        <is>
          <t>Personal and culinary services</t>
        </is>
      </c>
      <c r="C971">
        <f>IFERROR(IF(VLOOKUP($A971,'CDS-J'!$A:$L,3,FALSE)="","",(VLOOKUP($A971,'CDS-J'!$A:$L,3,FALSE))),"")</f>
        <v/>
      </c>
      <c r="D971" t="inlineStr">
        <is>
          <t>Disciplinary Areas of Degrees Conferred</t>
        </is>
      </c>
      <c r="E971" t="inlineStr">
        <is>
          <t>Diploma/Certificates</t>
        </is>
      </c>
      <c r="F971" t="n">
        <v>12</v>
      </c>
      <c r="G971" t="inlineStr">
        <is>
          <t>Undergraduates</t>
        </is>
      </c>
      <c r="H971" t="inlineStr">
        <is>
          <t>All</t>
        </is>
      </c>
      <c r="I971" t="inlineStr">
        <is>
          <t>All</t>
        </is>
      </c>
      <c r="J971" t="inlineStr">
        <is>
          <t>All</t>
        </is>
      </c>
      <c r="K971" t="inlineStr">
        <is>
          <t>All</t>
        </is>
      </c>
      <c r="L971" t="inlineStr">
        <is>
          <t>Whole Number or Round to Nearest Tenths</t>
        </is>
      </c>
    </row>
    <row r="972">
      <c r="A972" t="inlineStr">
        <is>
          <t>J109</t>
        </is>
      </c>
      <c r="B972" t="inlineStr">
        <is>
          <t>Education</t>
        </is>
      </c>
      <c r="C972">
        <f>IFERROR(IF(VLOOKUP($A972,'CDS-J'!$A:$L,3,FALSE)="","",(VLOOKUP($A972,'CDS-J'!$A:$L,3,FALSE))),"")</f>
        <v/>
      </c>
      <c r="D972" t="inlineStr">
        <is>
          <t>Disciplinary Areas of Degrees Conferred</t>
        </is>
      </c>
      <c r="E972" t="inlineStr">
        <is>
          <t>Diploma/Certificates</t>
        </is>
      </c>
      <c r="F972" t="n">
        <v>13</v>
      </c>
      <c r="G972" t="inlineStr">
        <is>
          <t>Undergraduates</t>
        </is>
      </c>
      <c r="H972" t="inlineStr">
        <is>
          <t>All</t>
        </is>
      </c>
      <c r="I972" t="inlineStr">
        <is>
          <t>All</t>
        </is>
      </c>
      <c r="J972" t="inlineStr">
        <is>
          <t>All</t>
        </is>
      </c>
      <c r="K972" t="inlineStr">
        <is>
          <t>All</t>
        </is>
      </c>
      <c r="L972" t="inlineStr">
        <is>
          <t>Whole Number or Round to Nearest Tenths</t>
        </is>
      </c>
    </row>
    <row r="973">
      <c r="A973" t="inlineStr">
        <is>
          <t>J110</t>
        </is>
      </c>
      <c r="B973" t="inlineStr">
        <is>
          <t>Engineering</t>
        </is>
      </c>
      <c r="C973">
        <f>IFERROR(IF(VLOOKUP($A973,'CDS-J'!$A:$L,3,FALSE)="","",(VLOOKUP($A973,'CDS-J'!$A:$L,3,FALSE))),"")</f>
        <v/>
      </c>
      <c r="D973" t="inlineStr">
        <is>
          <t>Disciplinary Areas of Degrees Conferred</t>
        </is>
      </c>
      <c r="E973" t="inlineStr">
        <is>
          <t>Diploma/Certificates</t>
        </is>
      </c>
      <c r="F973" t="n">
        <v>14</v>
      </c>
      <c r="G973" t="inlineStr">
        <is>
          <t>Undergraduates</t>
        </is>
      </c>
      <c r="H973" t="inlineStr">
        <is>
          <t>All</t>
        </is>
      </c>
      <c r="I973" t="inlineStr">
        <is>
          <t>All</t>
        </is>
      </c>
      <c r="J973" t="inlineStr">
        <is>
          <t>All</t>
        </is>
      </c>
      <c r="K973" t="inlineStr">
        <is>
          <t>All</t>
        </is>
      </c>
      <c r="L973" t="inlineStr">
        <is>
          <t>Whole Number or Round to Nearest Tenths</t>
        </is>
      </c>
    </row>
    <row r="974">
      <c r="A974" t="inlineStr">
        <is>
          <t>J111</t>
        </is>
      </c>
      <c r="B974" t="inlineStr">
        <is>
          <t>Engineering technologies</t>
        </is>
      </c>
      <c r="C974">
        <f>IFERROR(IF(VLOOKUP($A974,'CDS-J'!$A:$L,3,FALSE)="","",(VLOOKUP($A974,'CDS-J'!$A:$L,3,FALSE))),"")</f>
        <v/>
      </c>
      <c r="D974" t="inlineStr">
        <is>
          <t>Disciplinary Areas of Degrees Conferred</t>
        </is>
      </c>
      <c r="E974" t="inlineStr">
        <is>
          <t>Diploma/Certificates</t>
        </is>
      </c>
      <c r="F974" t="n">
        <v>15</v>
      </c>
      <c r="G974" t="inlineStr">
        <is>
          <t>Undergraduates</t>
        </is>
      </c>
      <c r="H974" t="inlineStr">
        <is>
          <t>All</t>
        </is>
      </c>
      <c r="I974" t="inlineStr">
        <is>
          <t>All</t>
        </is>
      </c>
      <c r="J974" t="inlineStr">
        <is>
          <t>All</t>
        </is>
      </c>
      <c r="K974" t="inlineStr">
        <is>
          <t>All</t>
        </is>
      </c>
      <c r="L974" t="inlineStr">
        <is>
          <t>Whole Number or Round to Nearest Tenths</t>
        </is>
      </c>
    </row>
    <row r="975">
      <c r="A975" t="inlineStr">
        <is>
          <t>J112</t>
        </is>
      </c>
      <c r="B975" t="inlineStr">
        <is>
          <t>Foreign languages, literatures, and linguistics</t>
        </is>
      </c>
      <c r="C975">
        <f>IFERROR(IF(VLOOKUP($A975,'CDS-J'!$A:$L,3,FALSE)="","",(VLOOKUP($A975,'CDS-J'!$A:$L,3,FALSE))),"")</f>
        <v/>
      </c>
      <c r="D975" t="inlineStr">
        <is>
          <t>Disciplinary Areas of Degrees Conferred</t>
        </is>
      </c>
      <c r="E975" t="inlineStr">
        <is>
          <t>Diploma/Certificates</t>
        </is>
      </c>
      <c r="F975" t="n">
        <v>16</v>
      </c>
      <c r="G975" t="inlineStr">
        <is>
          <t>Undergraduates</t>
        </is>
      </c>
      <c r="H975" t="inlineStr">
        <is>
          <t>All</t>
        </is>
      </c>
      <c r="I975" t="inlineStr">
        <is>
          <t>All</t>
        </is>
      </c>
      <c r="J975" t="inlineStr">
        <is>
          <t>All</t>
        </is>
      </c>
      <c r="K975" t="inlineStr">
        <is>
          <t>All</t>
        </is>
      </c>
      <c r="L975" t="inlineStr">
        <is>
          <t>Whole Number or Round to Nearest Tenths</t>
        </is>
      </c>
    </row>
    <row r="976">
      <c r="A976" t="inlineStr">
        <is>
          <t>J113</t>
        </is>
      </c>
      <c r="B976" t="inlineStr">
        <is>
          <t>Family and consumer sciences</t>
        </is>
      </c>
      <c r="C976">
        <f>IFERROR(IF(VLOOKUP($A976,'CDS-J'!$A:$L,3,FALSE)="","",(VLOOKUP($A976,'CDS-J'!$A:$L,3,FALSE))),"")</f>
        <v/>
      </c>
      <c r="D976" t="inlineStr">
        <is>
          <t>Disciplinary Areas of Degrees Conferred</t>
        </is>
      </c>
      <c r="E976" t="inlineStr">
        <is>
          <t>Diploma/Certificates</t>
        </is>
      </c>
      <c r="F976" t="n">
        <v>19</v>
      </c>
      <c r="G976" t="inlineStr">
        <is>
          <t>Undergraduates</t>
        </is>
      </c>
      <c r="H976" t="inlineStr">
        <is>
          <t>All</t>
        </is>
      </c>
      <c r="I976" t="inlineStr">
        <is>
          <t>All</t>
        </is>
      </c>
      <c r="J976" t="inlineStr">
        <is>
          <t>All</t>
        </is>
      </c>
      <c r="K976" t="inlineStr">
        <is>
          <t>All</t>
        </is>
      </c>
      <c r="L976" t="inlineStr">
        <is>
          <t>Whole Number or Round to Nearest Tenths</t>
        </is>
      </c>
    </row>
    <row r="977">
      <c r="A977" t="inlineStr">
        <is>
          <t>J114</t>
        </is>
      </c>
      <c r="B977" t="inlineStr">
        <is>
          <t>Law/legal studies</t>
        </is>
      </c>
      <c r="C977">
        <f>IFERROR(IF(VLOOKUP($A977,'CDS-J'!$A:$L,3,FALSE)="","",(VLOOKUP($A977,'CDS-J'!$A:$L,3,FALSE))),"")</f>
        <v/>
      </c>
      <c r="D977" t="inlineStr">
        <is>
          <t>Disciplinary Areas of Degrees Conferred</t>
        </is>
      </c>
      <c r="E977" t="inlineStr">
        <is>
          <t>Diploma/Certificates</t>
        </is>
      </c>
      <c r="F977" t="n">
        <v>22</v>
      </c>
      <c r="G977" t="inlineStr">
        <is>
          <t>Undergraduates</t>
        </is>
      </c>
      <c r="H977" t="inlineStr">
        <is>
          <t>All</t>
        </is>
      </c>
      <c r="I977" t="inlineStr">
        <is>
          <t>All</t>
        </is>
      </c>
      <c r="J977" t="inlineStr">
        <is>
          <t>All</t>
        </is>
      </c>
      <c r="K977" t="inlineStr">
        <is>
          <t>All</t>
        </is>
      </c>
      <c r="L977" t="inlineStr">
        <is>
          <t>Whole Number or Round to Nearest Tenths</t>
        </is>
      </c>
    </row>
    <row r="978">
      <c r="A978" t="inlineStr">
        <is>
          <t>J115</t>
        </is>
      </c>
      <c r="B978" t="inlineStr">
        <is>
          <t>English</t>
        </is>
      </c>
      <c r="C978">
        <f>IFERROR(IF(VLOOKUP($A978,'CDS-J'!$A:$L,3,FALSE)="","",(VLOOKUP($A978,'CDS-J'!$A:$L,3,FALSE))),"")</f>
        <v/>
      </c>
      <c r="D978" t="inlineStr">
        <is>
          <t>Disciplinary Areas of Degrees Conferred</t>
        </is>
      </c>
      <c r="E978" t="inlineStr">
        <is>
          <t>Diploma/Certificates</t>
        </is>
      </c>
      <c r="F978" t="n">
        <v>23</v>
      </c>
      <c r="G978" t="inlineStr">
        <is>
          <t>Undergraduates</t>
        </is>
      </c>
      <c r="H978" t="inlineStr">
        <is>
          <t>All</t>
        </is>
      </c>
      <c r="I978" t="inlineStr">
        <is>
          <t>All</t>
        </is>
      </c>
      <c r="J978" t="inlineStr">
        <is>
          <t>All</t>
        </is>
      </c>
      <c r="K978" t="inlineStr">
        <is>
          <t>All</t>
        </is>
      </c>
      <c r="L978" t="inlineStr">
        <is>
          <t>Whole Number or Round to Nearest Tenths</t>
        </is>
      </c>
    </row>
    <row r="979">
      <c r="A979" t="inlineStr">
        <is>
          <t>J116</t>
        </is>
      </c>
      <c r="B979" t="inlineStr">
        <is>
          <t>Liberal arts/general studies</t>
        </is>
      </c>
      <c r="C979">
        <f>IFERROR(IF(VLOOKUP($A979,'CDS-J'!$A:$L,3,FALSE)="","",(VLOOKUP($A979,'CDS-J'!$A:$L,3,FALSE))),"")</f>
        <v/>
      </c>
      <c r="D979" t="inlineStr">
        <is>
          <t>Disciplinary Areas of Degrees Conferred</t>
        </is>
      </c>
      <c r="E979" t="inlineStr">
        <is>
          <t>Diploma/Certificates</t>
        </is>
      </c>
      <c r="F979" t="n">
        <v>24</v>
      </c>
      <c r="G979" t="inlineStr">
        <is>
          <t>Undergraduates</t>
        </is>
      </c>
      <c r="H979" t="inlineStr">
        <is>
          <t>All</t>
        </is>
      </c>
      <c r="I979" t="inlineStr">
        <is>
          <t>All</t>
        </is>
      </c>
      <c r="J979" t="inlineStr">
        <is>
          <t>All</t>
        </is>
      </c>
      <c r="K979" t="inlineStr">
        <is>
          <t>All</t>
        </is>
      </c>
      <c r="L979" t="inlineStr">
        <is>
          <t>Whole Number or Round to Nearest Tenths</t>
        </is>
      </c>
    </row>
    <row r="980">
      <c r="A980" t="inlineStr">
        <is>
          <t>J117</t>
        </is>
      </c>
      <c r="B980" t="inlineStr">
        <is>
          <t>Library science</t>
        </is>
      </c>
      <c r="C980">
        <f>IFERROR(IF(VLOOKUP($A980,'CDS-J'!$A:$L,3,FALSE)="","",(VLOOKUP($A980,'CDS-J'!$A:$L,3,FALSE))),"")</f>
        <v/>
      </c>
      <c r="D980" t="inlineStr">
        <is>
          <t>Disciplinary Areas of Degrees Conferred</t>
        </is>
      </c>
      <c r="E980" t="inlineStr">
        <is>
          <t>Diploma/Certificates</t>
        </is>
      </c>
      <c r="F980" t="n">
        <v>25</v>
      </c>
      <c r="G980" t="inlineStr">
        <is>
          <t>Undergraduates</t>
        </is>
      </c>
      <c r="H980" t="inlineStr">
        <is>
          <t>All</t>
        </is>
      </c>
      <c r="I980" t="inlineStr">
        <is>
          <t>All</t>
        </is>
      </c>
      <c r="J980" t="inlineStr">
        <is>
          <t>All</t>
        </is>
      </c>
      <c r="K980" t="inlineStr">
        <is>
          <t>All</t>
        </is>
      </c>
      <c r="L980" t="inlineStr">
        <is>
          <t>Whole Number or Round to Nearest Tenths</t>
        </is>
      </c>
    </row>
    <row r="981">
      <c r="A981" t="inlineStr">
        <is>
          <t>J118</t>
        </is>
      </c>
      <c r="B981" t="inlineStr">
        <is>
          <t>Biological/life sciences</t>
        </is>
      </c>
      <c r="C981">
        <f>IFERROR(IF(VLOOKUP($A981,'CDS-J'!$A:$L,3,FALSE)="","",(VLOOKUP($A981,'CDS-J'!$A:$L,3,FALSE))),"")</f>
        <v/>
      </c>
      <c r="D981" t="inlineStr">
        <is>
          <t>Disciplinary Areas of Degrees Conferred</t>
        </is>
      </c>
      <c r="E981" t="inlineStr">
        <is>
          <t>Diploma/Certificates</t>
        </is>
      </c>
      <c r="F981" t="n">
        <v>26</v>
      </c>
      <c r="G981" t="inlineStr">
        <is>
          <t>Undergraduates</t>
        </is>
      </c>
      <c r="H981" t="inlineStr">
        <is>
          <t>All</t>
        </is>
      </c>
      <c r="I981" t="inlineStr">
        <is>
          <t>All</t>
        </is>
      </c>
      <c r="J981" t="inlineStr">
        <is>
          <t>All</t>
        </is>
      </c>
      <c r="K981" t="inlineStr">
        <is>
          <t>All</t>
        </is>
      </c>
      <c r="L981" t="inlineStr">
        <is>
          <t>Whole Number or Round to Nearest Tenths</t>
        </is>
      </c>
    </row>
    <row r="982">
      <c r="A982" t="inlineStr">
        <is>
          <t>J119</t>
        </is>
      </c>
      <c r="B982" t="inlineStr">
        <is>
          <t>Mathematics and statistics</t>
        </is>
      </c>
      <c r="C982">
        <f>IFERROR(IF(VLOOKUP($A982,'CDS-J'!$A:$L,3,FALSE)="","",(VLOOKUP($A982,'CDS-J'!$A:$L,3,FALSE))),"")</f>
        <v/>
      </c>
      <c r="D982" t="inlineStr">
        <is>
          <t>Disciplinary Areas of Degrees Conferred</t>
        </is>
      </c>
      <c r="E982" t="inlineStr">
        <is>
          <t>Diploma/Certificates</t>
        </is>
      </c>
      <c r="F982" t="n">
        <v>27</v>
      </c>
      <c r="G982" t="inlineStr">
        <is>
          <t>Undergraduates</t>
        </is>
      </c>
      <c r="H982" t="inlineStr">
        <is>
          <t>All</t>
        </is>
      </c>
      <c r="I982" t="inlineStr">
        <is>
          <t>All</t>
        </is>
      </c>
      <c r="J982" t="inlineStr">
        <is>
          <t>All</t>
        </is>
      </c>
      <c r="K982" t="inlineStr">
        <is>
          <t>All</t>
        </is>
      </c>
      <c r="L982" t="inlineStr">
        <is>
          <t>Whole Number or Round to Nearest Tenths</t>
        </is>
      </c>
    </row>
    <row r="983">
      <c r="A983" t="inlineStr">
        <is>
          <t>J120</t>
        </is>
      </c>
      <c r="B983" t="inlineStr">
        <is>
          <t>Military science and military technologies</t>
        </is>
      </c>
      <c r="C983">
        <f>IFERROR(IF(VLOOKUP($A983,'CDS-J'!$A:$L,3,FALSE)="","",(VLOOKUP($A983,'CDS-J'!$A:$L,3,FALSE))),"")</f>
        <v/>
      </c>
      <c r="D983" t="inlineStr">
        <is>
          <t>Disciplinary Areas of Degrees Conferred</t>
        </is>
      </c>
      <c r="E983" t="inlineStr">
        <is>
          <t>Diploma/Certificates</t>
        </is>
      </c>
      <c r="F983" t="inlineStr">
        <is>
          <t>28 &amp; 29</t>
        </is>
      </c>
      <c r="G983" t="inlineStr">
        <is>
          <t>Undergraduates</t>
        </is>
      </c>
      <c r="H983" t="inlineStr">
        <is>
          <t>All</t>
        </is>
      </c>
      <c r="I983" t="inlineStr">
        <is>
          <t>All</t>
        </is>
      </c>
      <c r="J983" t="inlineStr">
        <is>
          <t>All</t>
        </is>
      </c>
      <c r="K983" t="inlineStr">
        <is>
          <t>All</t>
        </is>
      </c>
      <c r="L983" t="inlineStr">
        <is>
          <t>Whole Number or Round to Nearest Tenths</t>
        </is>
      </c>
    </row>
    <row r="984">
      <c r="A984" t="inlineStr">
        <is>
          <t>J121</t>
        </is>
      </c>
      <c r="B984" t="inlineStr">
        <is>
          <t>Interdisciplinary studies</t>
        </is>
      </c>
      <c r="C984">
        <f>IFERROR(IF(VLOOKUP($A984,'CDS-J'!$A:$L,3,FALSE)="","",(VLOOKUP($A984,'CDS-J'!$A:$L,3,FALSE))),"")</f>
        <v/>
      </c>
      <c r="D984" t="inlineStr">
        <is>
          <t>Disciplinary Areas of Degrees Conferred</t>
        </is>
      </c>
      <c r="E984" t="inlineStr">
        <is>
          <t>Diploma/Certificates</t>
        </is>
      </c>
      <c r="F984" t="n">
        <v>30</v>
      </c>
      <c r="G984" t="inlineStr">
        <is>
          <t>Undergraduates</t>
        </is>
      </c>
      <c r="H984" t="inlineStr">
        <is>
          <t>All</t>
        </is>
      </c>
      <c r="I984" t="inlineStr">
        <is>
          <t>All</t>
        </is>
      </c>
      <c r="J984" t="inlineStr">
        <is>
          <t>All</t>
        </is>
      </c>
      <c r="K984" t="inlineStr">
        <is>
          <t>All</t>
        </is>
      </c>
      <c r="L984" t="inlineStr">
        <is>
          <t>Whole Number or Round to Nearest Tenths</t>
        </is>
      </c>
    </row>
    <row r="985">
      <c r="A985" t="inlineStr">
        <is>
          <t>J122</t>
        </is>
      </c>
      <c r="B985" t="inlineStr">
        <is>
          <t>Parks and recreation</t>
        </is>
      </c>
      <c r="C985">
        <f>IFERROR(IF(VLOOKUP($A985,'CDS-J'!$A:$L,3,FALSE)="","",(VLOOKUP($A985,'CDS-J'!$A:$L,3,FALSE))),"")</f>
        <v/>
      </c>
      <c r="D985" t="inlineStr">
        <is>
          <t>Disciplinary Areas of Degrees Conferred</t>
        </is>
      </c>
      <c r="E985" t="inlineStr">
        <is>
          <t>Diploma/Certificates</t>
        </is>
      </c>
      <c r="F985" t="n">
        <v>31</v>
      </c>
      <c r="G985" t="inlineStr">
        <is>
          <t>Undergraduates</t>
        </is>
      </c>
      <c r="H985" t="inlineStr">
        <is>
          <t>All</t>
        </is>
      </c>
      <c r="I985" t="inlineStr">
        <is>
          <t>All</t>
        </is>
      </c>
      <c r="J985" t="inlineStr">
        <is>
          <t>All</t>
        </is>
      </c>
      <c r="K985" t="inlineStr">
        <is>
          <t>All</t>
        </is>
      </c>
      <c r="L985" t="inlineStr">
        <is>
          <t>Whole Number or Round to Nearest Tenths</t>
        </is>
      </c>
    </row>
    <row r="986">
      <c r="A986" t="inlineStr">
        <is>
          <t>J123</t>
        </is>
      </c>
      <c r="B986" t="inlineStr">
        <is>
          <t>Philosophy and religious studies</t>
        </is>
      </c>
      <c r="C986">
        <f>IFERROR(IF(VLOOKUP($A986,'CDS-J'!$A:$L,3,FALSE)="","",(VLOOKUP($A986,'CDS-J'!$A:$L,3,FALSE))),"")</f>
        <v/>
      </c>
      <c r="D986" t="inlineStr">
        <is>
          <t>Disciplinary Areas of Degrees Conferred</t>
        </is>
      </c>
      <c r="E986" t="inlineStr">
        <is>
          <t>Diploma/Certificates</t>
        </is>
      </c>
      <c r="F986" t="n">
        <v>38</v>
      </c>
      <c r="G986" t="inlineStr">
        <is>
          <t>Undergraduates</t>
        </is>
      </c>
      <c r="H986" t="inlineStr">
        <is>
          <t>All</t>
        </is>
      </c>
      <c r="I986" t="inlineStr">
        <is>
          <t>All</t>
        </is>
      </c>
      <c r="J986" t="inlineStr">
        <is>
          <t>All</t>
        </is>
      </c>
      <c r="K986" t="inlineStr">
        <is>
          <t>All</t>
        </is>
      </c>
      <c r="L986" t="inlineStr">
        <is>
          <t>Whole Number or Round to Nearest Tenths</t>
        </is>
      </c>
    </row>
    <row r="987">
      <c r="A987" t="inlineStr">
        <is>
          <t>J124</t>
        </is>
      </c>
      <c r="B987" t="inlineStr">
        <is>
          <t>Theology and religious vocations</t>
        </is>
      </c>
      <c r="C987">
        <f>IFERROR(IF(VLOOKUP($A987,'CDS-J'!$A:$L,3,FALSE)="","",(VLOOKUP($A987,'CDS-J'!$A:$L,3,FALSE))),"")</f>
        <v/>
      </c>
      <c r="D987" t="inlineStr">
        <is>
          <t>Disciplinary Areas of Degrees Conferred</t>
        </is>
      </c>
      <c r="E987" t="inlineStr">
        <is>
          <t>Diploma/Certificates</t>
        </is>
      </c>
      <c r="F987" t="n">
        <v>39</v>
      </c>
      <c r="G987" t="inlineStr">
        <is>
          <t>Undergraduates</t>
        </is>
      </c>
      <c r="H987" t="inlineStr">
        <is>
          <t>All</t>
        </is>
      </c>
      <c r="I987" t="inlineStr">
        <is>
          <t>All</t>
        </is>
      </c>
      <c r="J987" t="inlineStr">
        <is>
          <t>All</t>
        </is>
      </c>
      <c r="K987" t="inlineStr">
        <is>
          <t>All</t>
        </is>
      </c>
      <c r="L987" t="inlineStr">
        <is>
          <t>Whole Number or Round to Nearest Tenths</t>
        </is>
      </c>
    </row>
    <row r="988">
      <c r="A988" t="inlineStr">
        <is>
          <t>J125</t>
        </is>
      </c>
      <c r="B988" t="inlineStr">
        <is>
          <t>Physical sciences</t>
        </is>
      </c>
      <c r="C988">
        <f>IFERROR(IF(VLOOKUP($A988,'CDS-J'!$A:$L,3,FALSE)="","",(VLOOKUP($A988,'CDS-J'!$A:$L,3,FALSE))),"")</f>
        <v/>
      </c>
      <c r="D988" t="inlineStr">
        <is>
          <t>Disciplinary Areas of Degrees Conferred</t>
        </is>
      </c>
      <c r="E988" t="inlineStr">
        <is>
          <t>Diploma/Certificates</t>
        </is>
      </c>
      <c r="F988" t="n">
        <v>40</v>
      </c>
      <c r="G988" t="inlineStr">
        <is>
          <t>Undergraduates</t>
        </is>
      </c>
      <c r="H988" t="inlineStr">
        <is>
          <t>All</t>
        </is>
      </c>
      <c r="I988" t="inlineStr">
        <is>
          <t>All</t>
        </is>
      </c>
      <c r="J988" t="inlineStr">
        <is>
          <t>All</t>
        </is>
      </c>
      <c r="K988" t="inlineStr">
        <is>
          <t>All</t>
        </is>
      </c>
      <c r="L988" t="inlineStr">
        <is>
          <t>Whole Number or Round to Nearest Tenths</t>
        </is>
      </c>
    </row>
    <row r="989">
      <c r="A989" t="inlineStr">
        <is>
          <t>J126</t>
        </is>
      </c>
      <c r="B989" t="inlineStr">
        <is>
          <t>Science technologies</t>
        </is>
      </c>
      <c r="C989">
        <f>IFERROR(IF(VLOOKUP($A989,'CDS-J'!$A:$L,3,FALSE)="","",(VLOOKUP($A989,'CDS-J'!$A:$L,3,FALSE))),"")</f>
        <v/>
      </c>
      <c r="D989" t="inlineStr">
        <is>
          <t>Disciplinary Areas of Degrees Conferred</t>
        </is>
      </c>
      <c r="E989" t="inlineStr">
        <is>
          <t>Diploma/Certificates</t>
        </is>
      </c>
      <c r="F989" t="n">
        <v>41</v>
      </c>
      <c r="G989" t="inlineStr">
        <is>
          <t>Undergraduates</t>
        </is>
      </c>
      <c r="H989" t="inlineStr">
        <is>
          <t>All</t>
        </is>
      </c>
      <c r="I989" t="inlineStr">
        <is>
          <t>All</t>
        </is>
      </c>
      <c r="J989" t="inlineStr">
        <is>
          <t>All</t>
        </is>
      </c>
      <c r="K989" t="inlineStr">
        <is>
          <t>All</t>
        </is>
      </c>
      <c r="L989" t="inlineStr">
        <is>
          <t>Whole Number or Round to Nearest Tenths</t>
        </is>
      </c>
    </row>
    <row r="990">
      <c r="A990" t="inlineStr">
        <is>
          <t>J127</t>
        </is>
      </c>
      <c r="B990" t="inlineStr">
        <is>
          <t>Psychology</t>
        </is>
      </c>
      <c r="C990">
        <f>IFERROR(IF(VLOOKUP($A990,'CDS-J'!$A:$L,3,FALSE)="","",(VLOOKUP($A990,'CDS-J'!$A:$L,3,FALSE))),"")</f>
        <v/>
      </c>
      <c r="D990" t="inlineStr">
        <is>
          <t>Disciplinary Areas of Degrees Conferred</t>
        </is>
      </c>
      <c r="E990" t="inlineStr">
        <is>
          <t>Diploma/Certificates</t>
        </is>
      </c>
      <c r="F990" t="n">
        <v>42</v>
      </c>
      <c r="G990" t="inlineStr">
        <is>
          <t>Undergraduates</t>
        </is>
      </c>
      <c r="H990" t="inlineStr">
        <is>
          <t>All</t>
        </is>
      </c>
      <c r="I990" t="inlineStr">
        <is>
          <t>All</t>
        </is>
      </c>
      <c r="J990" t="inlineStr">
        <is>
          <t>All</t>
        </is>
      </c>
      <c r="K990" t="inlineStr">
        <is>
          <t>All</t>
        </is>
      </c>
      <c r="L990" t="inlineStr">
        <is>
          <t>Whole Number or Round to Nearest Tenths</t>
        </is>
      </c>
    </row>
    <row r="991">
      <c r="A991" t="inlineStr">
        <is>
          <t>J128</t>
        </is>
      </c>
      <c r="B991" t="inlineStr">
        <is>
          <t>Homeland Security, law enforcement, firefighting, and protective services</t>
        </is>
      </c>
      <c r="C991">
        <f>IFERROR(IF(VLOOKUP($A991,'CDS-J'!$A:$L,3,FALSE)="","",(VLOOKUP($A991,'CDS-J'!$A:$L,3,FALSE))),"")</f>
        <v/>
      </c>
      <c r="D991" t="inlineStr">
        <is>
          <t>Disciplinary Areas of Degrees Conferred</t>
        </is>
      </c>
      <c r="E991" t="inlineStr">
        <is>
          <t>Diploma/Certificates</t>
        </is>
      </c>
      <c r="F991" t="n">
        <v>43</v>
      </c>
      <c r="G991" t="inlineStr">
        <is>
          <t>Undergraduates</t>
        </is>
      </c>
      <c r="H991" t="inlineStr">
        <is>
          <t>All</t>
        </is>
      </c>
      <c r="I991" t="inlineStr">
        <is>
          <t>All</t>
        </is>
      </c>
      <c r="J991" t="inlineStr">
        <is>
          <t>All</t>
        </is>
      </c>
      <c r="K991" t="inlineStr">
        <is>
          <t>All</t>
        </is>
      </c>
      <c r="L991" t="inlineStr">
        <is>
          <t>Whole Number or Round to Nearest Tenths</t>
        </is>
      </c>
    </row>
    <row r="992">
      <c r="A992" t="inlineStr">
        <is>
          <t>J129</t>
        </is>
      </c>
      <c r="B992" t="inlineStr">
        <is>
          <t>Public administration and social services</t>
        </is>
      </c>
      <c r="C992">
        <f>IFERROR(IF(VLOOKUP($A992,'CDS-J'!$A:$L,3,FALSE)="","",(VLOOKUP($A992,'CDS-J'!$A:$L,3,FALSE))),"")</f>
        <v/>
      </c>
      <c r="D992" t="inlineStr">
        <is>
          <t>Disciplinary Areas of Degrees Conferred</t>
        </is>
      </c>
      <c r="E992" t="inlineStr">
        <is>
          <t>Diploma/Certificates</t>
        </is>
      </c>
      <c r="F992" t="n">
        <v>44</v>
      </c>
      <c r="G992" t="inlineStr">
        <is>
          <t>Undergraduates</t>
        </is>
      </c>
      <c r="H992" t="inlineStr">
        <is>
          <t>All</t>
        </is>
      </c>
      <c r="I992" t="inlineStr">
        <is>
          <t>All</t>
        </is>
      </c>
      <c r="J992" t="inlineStr">
        <is>
          <t>All</t>
        </is>
      </c>
      <c r="K992" t="inlineStr">
        <is>
          <t>All</t>
        </is>
      </c>
      <c r="L992" t="inlineStr">
        <is>
          <t>Whole Number or Round to Nearest Tenths</t>
        </is>
      </c>
    </row>
    <row r="993">
      <c r="A993" t="inlineStr">
        <is>
          <t>J130</t>
        </is>
      </c>
      <c r="B993" t="inlineStr">
        <is>
          <t xml:space="preserve">Social sciences </t>
        </is>
      </c>
      <c r="C993">
        <f>IFERROR(IF(VLOOKUP($A993,'CDS-J'!$A:$L,3,FALSE)="","",(VLOOKUP($A993,'CDS-J'!$A:$L,3,FALSE))),"")</f>
        <v/>
      </c>
      <c r="D993" t="inlineStr">
        <is>
          <t>Disciplinary Areas of Degrees Conferred</t>
        </is>
      </c>
      <c r="E993" t="inlineStr">
        <is>
          <t>Diploma/Certificates</t>
        </is>
      </c>
      <c r="F993" t="n">
        <v>45</v>
      </c>
      <c r="G993" t="inlineStr">
        <is>
          <t>Undergraduates</t>
        </is>
      </c>
      <c r="H993" t="inlineStr">
        <is>
          <t>All</t>
        </is>
      </c>
      <c r="I993" t="inlineStr">
        <is>
          <t>All</t>
        </is>
      </c>
      <c r="J993" t="inlineStr">
        <is>
          <t>All</t>
        </is>
      </c>
      <c r="K993" t="inlineStr">
        <is>
          <t>All</t>
        </is>
      </c>
      <c r="L993" t="inlineStr">
        <is>
          <t>Whole Number or Round to Nearest Tenths</t>
        </is>
      </c>
    </row>
    <row r="994">
      <c r="A994" t="inlineStr">
        <is>
          <t>J131</t>
        </is>
      </c>
      <c r="B994" t="inlineStr">
        <is>
          <t>Construction trades</t>
        </is>
      </c>
      <c r="C994">
        <f>IFERROR(IF(VLOOKUP($A994,'CDS-J'!$A:$L,3,FALSE)="","",(VLOOKUP($A994,'CDS-J'!$A:$L,3,FALSE))),"")</f>
        <v/>
      </c>
      <c r="D994" t="inlineStr">
        <is>
          <t>Disciplinary Areas of Degrees Conferred</t>
        </is>
      </c>
      <c r="E994" t="inlineStr">
        <is>
          <t>Diploma/Certificates</t>
        </is>
      </c>
      <c r="F994" t="n">
        <v>46</v>
      </c>
      <c r="G994" t="inlineStr">
        <is>
          <t>Undergraduates</t>
        </is>
      </c>
      <c r="H994" t="inlineStr">
        <is>
          <t>All</t>
        </is>
      </c>
      <c r="I994" t="inlineStr">
        <is>
          <t>All</t>
        </is>
      </c>
      <c r="J994" t="inlineStr">
        <is>
          <t>All</t>
        </is>
      </c>
      <c r="K994" t="inlineStr">
        <is>
          <t>All</t>
        </is>
      </c>
      <c r="L994" t="inlineStr">
        <is>
          <t>Whole Number or Round to Nearest Tenths</t>
        </is>
      </c>
    </row>
    <row r="995">
      <c r="A995" t="inlineStr">
        <is>
          <t>J132</t>
        </is>
      </c>
      <c r="B995" t="inlineStr">
        <is>
          <t>Mechanic and repair technologies</t>
        </is>
      </c>
      <c r="C995">
        <f>IFERROR(IF(VLOOKUP($A995,'CDS-J'!$A:$L,3,FALSE)="","",(VLOOKUP($A995,'CDS-J'!$A:$L,3,FALSE))),"")</f>
        <v/>
      </c>
      <c r="D995" t="inlineStr">
        <is>
          <t>Disciplinary Areas of Degrees Conferred</t>
        </is>
      </c>
      <c r="E995" t="inlineStr">
        <is>
          <t>Diploma/Certificates</t>
        </is>
      </c>
      <c r="F995" t="n">
        <v>47</v>
      </c>
      <c r="G995" t="inlineStr">
        <is>
          <t>Undergraduates</t>
        </is>
      </c>
      <c r="H995" t="inlineStr">
        <is>
          <t>All</t>
        </is>
      </c>
      <c r="I995" t="inlineStr">
        <is>
          <t>All</t>
        </is>
      </c>
      <c r="J995" t="inlineStr">
        <is>
          <t>All</t>
        </is>
      </c>
      <c r="K995" t="inlineStr">
        <is>
          <t>All</t>
        </is>
      </c>
      <c r="L995" t="inlineStr">
        <is>
          <t>Whole Number or Round to Nearest Tenths</t>
        </is>
      </c>
    </row>
    <row r="996">
      <c r="A996" t="inlineStr">
        <is>
          <t>J133</t>
        </is>
      </c>
      <c r="B996" t="inlineStr">
        <is>
          <t>Precision production</t>
        </is>
      </c>
      <c r="C996">
        <f>IFERROR(IF(VLOOKUP($A996,'CDS-J'!$A:$L,3,FALSE)="","",(VLOOKUP($A996,'CDS-J'!$A:$L,3,FALSE))),"")</f>
        <v/>
      </c>
      <c r="D996" t="inlineStr">
        <is>
          <t>Disciplinary Areas of Degrees Conferred</t>
        </is>
      </c>
      <c r="E996" t="inlineStr">
        <is>
          <t>Diploma/Certificates</t>
        </is>
      </c>
      <c r="F996" t="n">
        <v>48</v>
      </c>
      <c r="G996" t="inlineStr">
        <is>
          <t>Undergraduates</t>
        </is>
      </c>
      <c r="H996" t="inlineStr">
        <is>
          <t>All</t>
        </is>
      </c>
      <c r="I996" t="inlineStr">
        <is>
          <t>All</t>
        </is>
      </c>
      <c r="J996" t="inlineStr">
        <is>
          <t>All</t>
        </is>
      </c>
      <c r="K996" t="inlineStr">
        <is>
          <t>All</t>
        </is>
      </c>
      <c r="L996" t="inlineStr">
        <is>
          <t>Whole Number or Round to Nearest Tenths</t>
        </is>
      </c>
    </row>
    <row r="997">
      <c r="A997" t="inlineStr">
        <is>
          <t>J134</t>
        </is>
      </c>
      <c r="B997" t="inlineStr">
        <is>
          <t>Transportation and materials moving</t>
        </is>
      </c>
      <c r="C997">
        <f>IFERROR(IF(VLOOKUP($A997,'CDS-J'!$A:$L,3,FALSE)="","",(VLOOKUP($A997,'CDS-J'!$A:$L,3,FALSE))),"")</f>
        <v/>
      </c>
      <c r="D997" t="inlineStr">
        <is>
          <t>Disciplinary Areas of Degrees Conferred</t>
        </is>
      </c>
      <c r="E997" t="inlineStr">
        <is>
          <t>Diploma/Certificates</t>
        </is>
      </c>
      <c r="F997" t="n">
        <v>49</v>
      </c>
      <c r="G997" t="inlineStr">
        <is>
          <t>Undergraduates</t>
        </is>
      </c>
      <c r="H997" t="inlineStr">
        <is>
          <t>All</t>
        </is>
      </c>
      <c r="I997" t="inlineStr">
        <is>
          <t>All</t>
        </is>
      </c>
      <c r="J997" t="inlineStr">
        <is>
          <t>All</t>
        </is>
      </c>
      <c r="K997" t="inlineStr">
        <is>
          <t>All</t>
        </is>
      </c>
      <c r="L997" t="inlineStr">
        <is>
          <t>Whole Number or Round to Nearest Tenths</t>
        </is>
      </c>
    </row>
    <row r="998">
      <c r="A998" t="inlineStr">
        <is>
          <t>J135</t>
        </is>
      </c>
      <c r="B998" t="inlineStr">
        <is>
          <t>Visual and performing arts</t>
        </is>
      </c>
      <c r="C998">
        <f>IFERROR(IF(VLOOKUP($A998,'CDS-J'!$A:$L,3,FALSE)="","",(VLOOKUP($A998,'CDS-J'!$A:$L,3,FALSE))),"")</f>
        <v/>
      </c>
      <c r="D998" t="inlineStr">
        <is>
          <t>Disciplinary Areas of Degrees Conferred</t>
        </is>
      </c>
      <c r="E998" t="inlineStr">
        <is>
          <t>Diploma/Certificates</t>
        </is>
      </c>
      <c r="F998" t="n">
        <v>50</v>
      </c>
      <c r="G998" t="inlineStr">
        <is>
          <t>Undergraduates</t>
        </is>
      </c>
      <c r="H998" t="inlineStr">
        <is>
          <t>All</t>
        </is>
      </c>
      <c r="I998" t="inlineStr">
        <is>
          <t>All</t>
        </is>
      </c>
      <c r="J998" t="inlineStr">
        <is>
          <t>All</t>
        </is>
      </c>
      <c r="K998" t="inlineStr">
        <is>
          <t>All</t>
        </is>
      </c>
      <c r="L998" t="inlineStr">
        <is>
          <t>Whole Number or Round to Nearest Tenths</t>
        </is>
      </c>
    </row>
    <row r="999">
      <c r="A999" t="inlineStr">
        <is>
          <t>J136</t>
        </is>
      </c>
      <c r="B999" t="inlineStr">
        <is>
          <t>Health professions and related programs</t>
        </is>
      </c>
      <c r="C999">
        <f>IFERROR(IF(VLOOKUP($A999,'CDS-J'!$A:$L,3,FALSE)="","",(VLOOKUP($A999,'CDS-J'!$A:$L,3,FALSE))),"")</f>
        <v/>
      </c>
      <c r="D999" t="inlineStr">
        <is>
          <t>Disciplinary Areas of Degrees Conferred</t>
        </is>
      </c>
      <c r="E999" t="inlineStr">
        <is>
          <t>Diploma/Certificates</t>
        </is>
      </c>
      <c r="F999" t="n">
        <v>51</v>
      </c>
      <c r="G999" t="inlineStr">
        <is>
          <t>Undergraduates</t>
        </is>
      </c>
      <c r="H999" t="inlineStr">
        <is>
          <t>All</t>
        </is>
      </c>
      <c r="I999" t="inlineStr">
        <is>
          <t>All</t>
        </is>
      </c>
      <c r="J999" t="inlineStr">
        <is>
          <t>All</t>
        </is>
      </c>
      <c r="K999" t="inlineStr">
        <is>
          <t>All</t>
        </is>
      </c>
      <c r="L999" t="inlineStr">
        <is>
          <t>Whole Number or Round to Nearest Tenths</t>
        </is>
      </c>
    </row>
    <row r="1000">
      <c r="A1000" t="inlineStr">
        <is>
          <t>J137</t>
        </is>
      </c>
      <c r="B1000" t="inlineStr">
        <is>
          <t>Business/marketing</t>
        </is>
      </c>
      <c r="C1000">
        <f>IFERROR(IF(VLOOKUP($A1000,'CDS-J'!$A:$L,3,FALSE)="","",(VLOOKUP($A1000,'CDS-J'!$A:$L,3,FALSE))),"")</f>
        <v/>
      </c>
      <c r="D1000" t="inlineStr">
        <is>
          <t>Disciplinary Areas of Degrees Conferred</t>
        </is>
      </c>
      <c r="E1000" t="inlineStr">
        <is>
          <t>Diploma/Certificates</t>
        </is>
      </c>
      <c r="F1000" t="n">
        <v>52</v>
      </c>
      <c r="G1000" t="inlineStr">
        <is>
          <t>Undergraduates</t>
        </is>
      </c>
      <c r="H1000" t="inlineStr">
        <is>
          <t>All</t>
        </is>
      </c>
      <c r="I1000" t="inlineStr">
        <is>
          <t>All</t>
        </is>
      </c>
      <c r="J1000" t="inlineStr">
        <is>
          <t>All</t>
        </is>
      </c>
      <c r="K1000" t="inlineStr">
        <is>
          <t>All</t>
        </is>
      </c>
      <c r="L1000" t="inlineStr">
        <is>
          <t>Whole Number or Round to Nearest Tenths</t>
        </is>
      </c>
    </row>
    <row r="1001">
      <c r="A1001" t="inlineStr">
        <is>
          <t>J138</t>
        </is>
      </c>
      <c r="B1001" t="inlineStr">
        <is>
          <t>History</t>
        </is>
      </c>
      <c r="C1001">
        <f>IFERROR(IF(VLOOKUP($A1001,'CDS-J'!$A:$L,3,FALSE)="","",(VLOOKUP($A1001,'CDS-J'!$A:$L,3,FALSE))),"")</f>
        <v/>
      </c>
      <c r="D1001" t="inlineStr">
        <is>
          <t>Disciplinary Areas of Degrees Conferred</t>
        </is>
      </c>
      <c r="E1001" t="inlineStr">
        <is>
          <t>Diploma/Certificates</t>
        </is>
      </c>
      <c r="F1001" t="n">
        <v>54</v>
      </c>
      <c r="G1001" t="inlineStr">
        <is>
          <t>Undergraduates</t>
        </is>
      </c>
      <c r="H1001" t="inlineStr">
        <is>
          <t>All</t>
        </is>
      </c>
      <c r="I1001" t="inlineStr">
        <is>
          <t>All</t>
        </is>
      </c>
      <c r="J1001" t="inlineStr">
        <is>
          <t>All</t>
        </is>
      </c>
      <c r="K1001" t="inlineStr">
        <is>
          <t>All</t>
        </is>
      </c>
      <c r="L1001" t="inlineStr">
        <is>
          <t>Whole Number or Round to Nearest Tenths</t>
        </is>
      </c>
    </row>
    <row r="1002">
      <c r="A1002" t="inlineStr">
        <is>
          <t>J139</t>
        </is>
      </c>
      <c r="B1002" t="inlineStr">
        <is>
          <t>Other</t>
        </is>
      </c>
      <c r="C1002">
        <f>IFERROR(IF(VLOOKUP($A1002,'CDS-J'!$A:$L,3,FALSE)="","",(VLOOKUP($A1002,'CDS-J'!$A:$L,3,FALSE))),"")</f>
        <v/>
      </c>
      <c r="D1002" t="inlineStr">
        <is>
          <t>Disciplinary Areas of Degrees Conferred</t>
        </is>
      </c>
      <c r="E1002" t="inlineStr">
        <is>
          <t>Diploma/Certificates</t>
        </is>
      </c>
      <c r="F1002" t="inlineStr">
        <is>
          <t>Other</t>
        </is>
      </c>
      <c r="G1002" t="inlineStr">
        <is>
          <t>Undergraduates</t>
        </is>
      </c>
      <c r="H1002" t="inlineStr">
        <is>
          <t>All</t>
        </is>
      </c>
      <c r="I1002" t="inlineStr">
        <is>
          <t>All</t>
        </is>
      </c>
      <c r="J1002" t="inlineStr">
        <is>
          <t>All</t>
        </is>
      </c>
      <c r="K1002" t="inlineStr">
        <is>
          <t>All</t>
        </is>
      </c>
      <c r="L1002" t="inlineStr">
        <is>
          <t>Whole Number or Round to Nearest Tenths</t>
        </is>
      </c>
    </row>
    <row r="1003">
      <c r="A1003" t="inlineStr">
        <is>
          <t>J140</t>
        </is>
      </c>
      <c r="B1003" t="inlineStr">
        <is>
          <t>TOTAL (should = 100%)</t>
        </is>
      </c>
      <c r="C1003">
        <f>IFERROR(IF(VLOOKUP($A1003,'CDS-J'!$A:$L,3,FALSE)="","",(VLOOKUP($A1003,'CDS-J'!$A:$L,3,FALSE))),"")</f>
        <v/>
      </c>
      <c r="D1003" t="inlineStr">
        <is>
          <t>Disciplinary Areas of Degrees Conferred</t>
        </is>
      </c>
      <c r="E1003" t="inlineStr">
        <is>
          <t>Diploma/Certificates</t>
        </is>
      </c>
      <c r="F1003" t="inlineStr">
        <is>
          <t>Total</t>
        </is>
      </c>
      <c r="G1003" t="inlineStr">
        <is>
          <t>Undergraduates</t>
        </is>
      </c>
      <c r="H1003" t="inlineStr">
        <is>
          <t>All</t>
        </is>
      </c>
      <c r="I1003" t="inlineStr">
        <is>
          <t>All</t>
        </is>
      </c>
      <c r="J1003" t="inlineStr">
        <is>
          <t>All</t>
        </is>
      </c>
      <c r="K1003" t="inlineStr">
        <is>
          <t>All</t>
        </is>
      </c>
      <c r="L1003" t="inlineStr">
        <is>
          <t>Whole Number or Round to Nearest Tenths</t>
        </is>
      </c>
    </row>
    <row r="1004">
      <c r="A1004" t="inlineStr">
        <is>
          <t>J141</t>
        </is>
      </c>
      <c r="B1004" t="inlineStr">
        <is>
          <t>Agriculture</t>
        </is>
      </c>
      <c r="C1004">
        <f>IFERROR(IF(VLOOKUP($A1004,'CDS-J'!$A:$L,3,FALSE)="","",(VLOOKUP($A1004,'CDS-J'!$A:$L,3,FALSE))),"")</f>
        <v/>
      </c>
      <c r="D1004" t="inlineStr">
        <is>
          <t>Disciplinary Areas of Degrees Conferred</t>
        </is>
      </c>
      <c r="E1004" t="inlineStr">
        <is>
          <t>Associate</t>
        </is>
      </c>
      <c r="F1004" t="inlineStr">
        <is>
          <t>01</t>
        </is>
      </c>
      <c r="G1004" t="inlineStr">
        <is>
          <t>Undergraduates</t>
        </is>
      </c>
      <c r="H1004" t="inlineStr">
        <is>
          <t>All</t>
        </is>
      </c>
      <c r="I1004" t="inlineStr">
        <is>
          <t>All</t>
        </is>
      </c>
      <c r="J1004" t="inlineStr">
        <is>
          <t>All</t>
        </is>
      </c>
      <c r="K1004" t="inlineStr">
        <is>
          <t>All</t>
        </is>
      </c>
      <c r="L1004" t="inlineStr">
        <is>
          <t>Whole Number or Round to Nearest Tenths</t>
        </is>
      </c>
    </row>
    <row r="1005">
      <c r="A1005" t="inlineStr">
        <is>
          <t>J142</t>
        </is>
      </c>
      <c r="B1005" t="inlineStr">
        <is>
          <t>Natural resources and conservation</t>
        </is>
      </c>
      <c r="C1005">
        <f>IFERROR(IF(VLOOKUP($A1005,'CDS-J'!$A:$L,3,FALSE)="","",(VLOOKUP($A1005,'CDS-J'!$A:$L,3,FALSE))),"")</f>
        <v/>
      </c>
      <c r="D1005" t="inlineStr">
        <is>
          <t>Disciplinary Areas of Degrees Conferred</t>
        </is>
      </c>
      <c r="E1005" t="inlineStr">
        <is>
          <t>Associate</t>
        </is>
      </c>
      <c r="F1005" t="inlineStr">
        <is>
          <t>03</t>
        </is>
      </c>
      <c r="G1005" t="inlineStr">
        <is>
          <t>Undergraduates</t>
        </is>
      </c>
      <c r="H1005" t="inlineStr">
        <is>
          <t>All</t>
        </is>
      </c>
      <c r="I1005" t="inlineStr">
        <is>
          <t>All</t>
        </is>
      </c>
      <c r="J1005" t="inlineStr">
        <is>
          <t>All</t>
        </is>
      </c>
      <c r="K1005" t="inlineStr">
        <is>
          <t>All</t>
        </is>
      </c>
      <c r="L1005" t="inlineStr">
        <is>
          <t>Whole Number or Round to Nearest Tenths</t>
        </is>
      </c>
    </row>
    <row r="1006">
      <c r="A1006" t="inlineStr">
        <is>
          <t>J143</t>
        </is>
      </c>
      <c r="B1006" t="inlineStr">
        <is>
          <t>Architecture</t>
        </is>
      </c>
      <c r="C1006">
        <f>IFERROR(IF(VLOOKUP($A1006,'CDS-J'!$A:$L,3,FALSE)="","",(VLOOKUP($A1006,'CDS-J'!$A:$L,3,FALSE))),"")</f>
        <v/>
      </c>
      <c r="D1006" t="inlineStr">
        <is>
          <t>Disciplinary Areas of Degrees Conferred</t>
        </is>
      </c>
      <c r="E1006" t="inlineStr">
        <is>
          <t>Associate</t>
        </is>
      </c>
      <c r="F1006" t="inlineStr">
        <is>
          <t>04</t>
        </is>
      </c>
      <c r="G1006" t="inlineStr">
        <is>
          <t>Undergraduates</t>
        </is>
      </c>
      <c r="H1006" t="inlineStr">
        <is>
          <t>All</t>
        </is>
      </c>
      <c r="I1006" t="inlineStr">
        <is>
          <t>All</t>
        </is>
      </c>
      <c r="J1006" t="inlineStr">
        <is>
          <t>All</t>
        </is>
      </c>
      <c r="K1006" t="inlineStr">
        <is>
          <t>All</t>
        </is>
      </c>
      <c r="L1006" t="inlineStr">
        <is>
          <t>Whole Number or Round to Nearest Tenths</t>
        </is>
      </c>
    </row>
    <row r="1007">
      <c r="A1007" t="inlineStr">
        <is>
          <t>J144</t>
        </is>
      </c>
      <c r="B1007" t="inlineStr">
        <is>
          <t>Area, ethnic, and gender studies</t>
        </is>
      </c>
      <c r="C1007">
        <f>IFERROR(IF(VLOOKUP($A1007,'CDS-J'!$A:$L,3,FALSE)="","",(VLOOKUP($A1007,'CDS-J'!$A:$L,3,FALSE))),"")</f>
        <v/>
      </c>
      <c r="D1007" t="inlineStr">
        <is>
          <t>Disciplinary Areas of Degrees Conferred</t>
        </is>
      </c>
      <c r="E1007" t="inlineStr">
        <is>
          <t>Associate</t>
        </is>
      </c>
      <c r="F1007" t="inlineStr">
        <is>
          <t>05</t>
        </is>
      </c>
      <c r="G1007" t="inlineStr">
        <is>
          <t>Undergraduates</t>
        </is>
      </c>
      <c r="H1007" t="inlineStr">
        <is>
          <t>All</t>
        </is>
      </c>
      <c r="I1007" t="inlineStr">
        <is>
          <t>All</t>
        </is>
      </c>
      <c r="J1007" t="inlineStr">
        <is>
          <t>All</t>
        </is>
      </c>
      <c r="K1007" t="inlineStr">
        <is>
          <t>All</t>
        </is>
      </c>
      <c r="L1007" t="inlineStr">
        <is>
          <t>Whole Number or Round to Nearest Tenths</t>
        </is>
      </c>
    </row>
    <row r="1008">
      <c r="A1008" t="inlineStr">
        <is>
          <t>J145</t>
        </is>
      </c>
      <c r="B1008" t="inlineStr">
        <is>
          <t>Communication/journalism</t>
        </is>
      </c>
      <c r="C1008">
        <f>IFERROR(IF(VLOOKUP($A1008,'CDS-J'!$A:$L,3,FALSE)="","",(VLOOKUP($A1008,'CDS-J'!$A:$L,3,FALSE))),"")</f>
        <v/>
      </c>
      <c r="D1008" t="inlineStr">
        <is>
          <t>Disciplinary Areas of Degrees Conferred</t>
        </is>
      </c>
      <c r="E1008" t="inlineStr">
        <is>
          <t>Associate</t>
        </is>
      </c>
      <c r="F1008" t="inlineStr">
        <is>
          <t>09</t>
        </is>
      </c>
      <c r="G1008" t="inlineStr">
        <is>
          <t>Undergraduates</t>
        </is>
      </c>
      <c r="H1008" t="inlineStr">
        <is>
          <t>All</t>
        </is>
      </c>
      <c r="I1008" t="inlineStr">
        <is>
          <t>All</t>
        </is>
      </c>
      <c r="J1008" t="inlineStr">
        <is>
          <t>All</t>
        </is>
      </c>
      <c r="K1008" t="inlineStr">
        <is>
          <t>All</t>
        </is>
      </c>
      <c r="L1008" t="inlineStr">
        <is>
          <t>Whole Number or Round to Nearest Tenths</t>
        </is>
      </c>
    </row>
    <row r="1009">
      <c r="A1009" t="inlineStr">
        <is>
          <t>J146</t>
        </is>
      </c>
      <c r="B1009" t="inlineStr">
        <is>
          <t>Communication technologies</t>
        </is>
      </c>
      <c r="C1009">
        <f>IFERROR(IF(VLOOKUP($A1009,'CDS-J'!$A:$L,3,FALSE)="","",(VLOOKUP($A1009,'CDS-J'!$A:$L,3,FALSE))),"")</f>
        <v/>
      </c>
      <c r="D1009" t="inlineStr">
        <is>
          <t>Disciplinary Areas of Degrees Conferred</t>
        </is>
      </c>
      <c r="E1009" t="inlineStr">
        <is>
          <t>Associate</t>
        </is>
      </c>
      <c r="F1009" t="n">
        <v>10</v>
      </c>
      <c r="G1009" t="inlineStr">
        <is>
          <t>Undergraduates</t>
        </is>
      </c>
      <c r="H1009" t="inlineStr">
        <is>
          <t>All</t>
        </is>
      </c>
      <c r="I1009" t="inlineStr">
        <is>
          <t>All</t>
        </is>
      </c>
      <c r="J1009" t="inlineStr">
        <is>
          <t>All</t>
        </is>
      </c>
      <c r="K1009" t="inlineStr">
        <is>
          <t>All</t>
        </is>
      </c>
      <c r="L1009" t="inlineStr">
        <is>
          <t>Whole Number or Round to Nearest Tenths</t>
        </is>
      </c>
    </row>
    <row r="1010">
      <c r="A1010" t="inlineStr">
        <is>
          <t>J147</t>
        </is>
      </c>
      <c r="B1010" t="inlineStr">
        <is>
          <t>Computer and information sciences</t>
        </is>
      </c>
      <c r="C1010">
        <f>IFERROR(IF(VLOOKUP($A1010,'CDS-J'!$A:$L,3,FALSE)="","",(VLOOKUP($A1010,'CDS-J'!$A:$L,3,FALSE))),"")</f>
        <v/>
      </c>
      <c r="D1010" t="inlineStr">
        <is>
          <t>Disciplinary Areas of Degrees Conferred</t>
        </is>
      </c>
      <c r="E1010" t="inlineStr">
        <is>
          <t>Associate</t>
        </is>
      </c>
      <c r="F1010" t="n">
        <v>11</v>
      </c>
      <c r="G1010" t="inlineStr">
        <is>
          <t>Undergraduates</t>
        </is>
      </c>
      <c r="H1010" t="inlineStr">
        <is>
          <t>All</t>
        </is>
      </c>
      <c r="I1010" t="inlineStr">
        <is>
          <t>All</t>
        </is>
      </c>
      <c r="J1010" t="inlineStr">
        <is>
          <t>All</t>
        </is>
      </c>
      <c r="K1010" t="inlineStr">
        <is>
          <t>All</t>
        </is>
      </c>
      <c r="L1010" t="inlineStr">
        <is>
          <t>Whole Number or Round to Nearest Tenths</t>
        </is>
      </c>
    </row>
    <row r="1011">
      <c r="A1011" t="inlineStr">
        <is>
          <t>J148</t>
        </is>
      </c>
      <c r="B1011" t="inlineStr">
        <is>
          <t>Personal and culinary services</t>
        </is>
      </c>
      <c r="C1011">
        <f>IFERROR(IF(VLOOKUP($A1011,'CDS-J'!$A:$L,3,FALSE)="","",(VLOOKUP($A1011,'CDS-J'!$A:$L,3,FALSE))),"")</f>
        <v/>
      </c>
      <c r="D1011" t="inlineStr">
        <is>
          <t>Disciplinary Areas of Degrees Conferred</t>
        </is>
      </c>
      <c r="E1011" t="inlineStr">
        <is>
          <t>Associate</t>
        </is>
      </c>
      <c r="F1011" t="n">
        <v>12</v>
      </c>
      <c r="G1011" t="inlineStr">
        <is>
          <t>Undergraduates</t>
        </is>
      </c>
      <c r="H1011" t="inlineStr">
        <is>
          <t>All</t>
        </is>
      </c>
      <c r="I1011" t="inlineStr">
        <is>
          <t>All</t>
        </is>
      </c>
      <c r="J1011" t="inlineStr">
        <is>
          <t>All</t>
        </is>
      </c>
      <c r="K1011" t="inlineStr">
        <is>
          <t>All</t>
        </is>
      </c>
      <c r="L1011" t="inlineStr">
        <is>
          <t>Whole Number or Round to Nearest Tenths</t>
        </is>
      </c>
    </row>
    <row r="1012">
      <c r="A1012" t="inlineStr">
        <is>
          <t>J149</t>
        </is>
      </c>
      <c r="B1012" t="inlineStr">
        <is>
          <t>Education</t>
        </is>
      </c>
      <c r="C1012">
        <f>IFERROR(IF(VLOOKUP($A1012,'CDS-J'!$A:$L,3,FALSE)="","",(VLOOKUP($A1012,'CDS-J'!$A:$L,3,FALSE))),"")</f>
        <v/>
      </c>
      <c r="D1012" t="inlineStr">
        <is>
          <t>Disciplinary Areas of Degrees Conferred</t>
        </is>
      </c>
      <c r="E1012" t="inlineStr">
        <is>
          <t>Associate</t>
        </is>
      </c>
      <c r="F1012" t="n">
        <v>13</v>
      </c>
      <c r="G1012" t="inlineStr">
        <is>
          <t>Undergraduates</t>
        </is>
      </c>
      <c r="H1012" t="inlineStr">
        <is>
          <t>All</t>
        </is>
      </c>
      <c r="I1012" t="inlineStr">
        <is>
          <t>All</t>
        </is>
      </c>
      <c r="J1012" t="inlineStr">
        <is>
          <t>All</t>
        </is>
      </c>
      <c r="K1012" t="inlineStr">
        <is>
          <t>All</t>
        </is>
      </c>
      <c r="L1012" t="inlineStr">
        <is>
          <t>Whole Number or Round to Nearest Tenths</t>
        </is>
      </c>
    </row>
    <row r="1013">
      <c r="A1013" t="inlineStr">
        <is>
          <t>J150</t>
        </is>
      </c>
      <c r="B1013" t="inlineStr">
        <is>
          <t>Engineering</t>
        </is>
      </c>
      <c r="C1013">
        <f>IFERROR(IF(VLOOKUP($A1013,'CDS-J'!$A:$L,3,FALSE)="","",(VLOOKUP($A1013,'CDS-J'!$A:$L,3,FALSE))),"")</f>
        <v/>
      </c>
      <c r="D1013" t="inlineStr">
        <is>
          <t>Disciplinary Areas of Degrees Conferred</t>
        </is>
      </c>
      <c r="E1013" t="inlineStr">
        <is>
          <t>Associate</t>
        </is>
      </c>
      <c r="F1013" t="n">
        <v>14</v>
      </c>
      <c r="G1013" t="inlineStr">
        <is>
          <t>Undergraduates</t>
        </is>
      </c>
      <c r="H1013" t="inlineStr">
        <is>
          <t>All</t>
        </is>
      </c>
      <c r="I1013" t="inlineStr">
        <is>
          <t>All</t>
        </is>
      </c>
      <c r="J1013" t="inlineStr">
        <is>
          <t>All</t>
        </is>
      </c>
      <c r="K1013" t="inlineStr">
        <is>
          <t>All</t>
        </is>
      </c>
      <c r="L1013" t="inlineStr">
        <is>
          <t>Whole Number or Round to Nearest Tenths</t>
        </is>
      </c>
    </row>
    <row r="1014">
      <c r="A1014" t="inlineStr">
        <is>
          <t>J151</t>
        </is>
      </c>
      <c r="B1014" t="inlineStr">
        <is>
          <t>Engineering technologies</t>
        </is>
      </c>
      <c r="C1014">
        <f>IFERROR(IF(VLOOKUP($A1014,'CDS-J'!$A:$L,3,FALSE)="","",(VLOOKUP($A1014,'CDS-J'!$A:$L,3,FALSE))),"")</f>
        <v/>
      </c>
      <c r="D1014" t="inlineStr">
        <is>
          <t>Disciplinary Areas of Degrees Conferred</t>
        </is>
      </c>
      <c r="E1014" t="inlineStr">
        <is>
          <t>Associate</t>
        </is>
      </c>
      <c r="F1014" t="n">
        <v>15</v>
      </c>
      <c r="G1014" t="inlineStr">
        <is>
          <t>Undergraduates</t>
        </is>
      </c>
      <c r="H1014" t="inlineStr">
        <is>
          <t>All</t>
        </is>
      </c>
      <c r="I1014" t="inlineStr">
        <is>
          <t>All</t>
        </is>
      </c>
      <c r="J1014" t="inlineStr">
        <is>
          <t>All</t>
        </is>
      </c>
      <c r="K1014" t="inlineStr">
        <is>
          <t>All</t>
        </is>
      </c>
      <c r="L1014" t="inlineStr">
        <is>
          <t>Whole Number or Round to Nearest Tenths</t>
        </is>
      </c>
    </row>
    <row r="1015">
      <c r="A1015" t="inlineStr">
        <is>
          <t>J152</t>
        </is>
      </c>
      <c r="B1015" t="inlineStr">
        <is>
          <t>Foreign languages, literatures, and linguistics</t>
        </is>
      </c>
      <c r="C1015">
        <f>IFERROR(IF(VLOOKUP($A1015,'CDS-J'!$A:$L,3,FALSE)="","",(VLOOKUP($A1015,'CDS-J'!$A:$L,3,FALSE))),"")</f>
        <v/>
      </c>
      <c r="D1015" t="inlineStr">
        <is>
          <t>Disciplinary Areas of Degrees Conferred</t>
        </is>
      </c>
      <c r="E1015" t="inlineStr">
        <is>
          <t>Associate</t>
        </is>
      </c>
      <c r="F1015" t="n">
        <v>16</v>
      </c>
      <c r="G1015" t="inlineStr">
        <is>
          <t>Undergraduates</t>
        </is>
      </c>
      <c r="H1015" t="inlineStr">
        <is>
          <t>All</t>
        </is>
      </c>
      <c r="I1015" t="inlineStr">
        <is>
          <t>All</t>
        </is>
      </c>
      <c r="J1015" t="inlineStr">
        <is>
          <t>All</t>
        </is>
      </c>
      <c r="K1015" t="inlineStr">
        <is>
          <t>All</t>
        </is>
      </c>
      <c r="L1015" t="inlineStr">
        <is>
          <t>Whole Number or Round to Nearest Tenths</t>
        </is>
      </c>
    </row>
    <row r="1016">
      <c r="A1016" t="inlineStr">
        <is>
          <t>J153</t>
        </is>
      </c>
      <c r="B1016" t="inlineStr">
        <is>
          <t>Family and consumer sciences</t>
        </is>
      </c>
      <c r="C1016">
        <f>IFERROR(IF(VLOOKUP($A1016,'CDS-J'!$A:$L,3,FALSE)="","",(VLOOKUP($A1016,'CDS-J'!$A:$L,3,FALSE))),"")</f>
        <v/>
      </c>
      <c r="D1016" t="inlineStr">
        <is>
          <t>Disciplinary Areas of Degrees Conferred</t>
        </is>
      </c>
      <c r="E1016" t="inlineStr">
        <is>
          <t>Associate</t>
        </is>
      </c>
      <c r="F1016" t="n">
        <v>19</v>
      </c>
      <c r="G1016" t="inlineStr">
        <is>
          <t>Undergraduates</t>
        </is>
      </c>
      <c r="H1016" t="inlineStr">
        <is>
          <t>All</t>
        </is>
      </c>
      <c r="I1016" t="inlineStr">
        <is>
          <t>All</t>
        </is>
      </c>
      <c r="J1016" t="inlineStr">
        <is>
          <t>All</t>
        </is>
      </c>
      <c r="K1016" t="inlineStr">
        <is>
          <t>All</t>
        </is>
      </c>
      <c r="L1016" t="inlineStr">
        <is>
          <t>Whole Number or Round to Nearest Tenths</t>
        </is>
      </c>
    </row>
    <row r="1017">
      <c r="A1017" t="inlineStr">
        <is>
          <t>J154</t>
        </is>
      </c>
      <c r="B1017" t="inlineStr">
        <is>
          <t>Law/legal studies</t>
        </is>
      </c>
      <c r="C1017">
        <f>IFERROR(IF(VLOOKUP($A1017,'CDS-J'!$A:$L,3,FALSE)="","",(VLOOKUP($A1017,'CDS-J'!$A:$L,3,FALSE))),"")</f>
        <v/>
      </c>
      <c r="D1017" t="inlineStr">
        <is>
          <t>Disciplinary Areas of Degrees Conferred</t>
        </is>
      </c>
      <c r="E1017" t="inlineStr">
        <is>
          <t>Associate</t>
        </is>
      </c>
      <c r="F1017" t="n">
        <v>22</v>
      </c>
      <c r="G1017" t="inlineStr">
        <is>
          <t>Undergraduates</t>
        </is>
      </c>
      <c r="H1017" t="inlineStr">
        <is>
          <t>All</t>
        </is>
      </c>
      <c r="I1017" t="inlineStr">
        <is>
          <t>All</t>
        </is>
      </c>
      <c r="J1017" t="inlineStr">
        <is>
          <t>All</t>
        </is>
      </c>
      <c r="K1017" t="inlineStr">
        <is>
          <t>All</t>
        </is>
      </c>
      <c r="L1017" t="inlineStr">
        <is>
          <t>Whole Number or Round to Nearest Tenths</t>
        </is>
      </c>
    </row>
    <row r="1018">
      <c r="A1018" t="inlineStr">
        <is>
          <t>J155</t>
        </is>
      </c>
      <c r="B1018" t="inlineStr">
        <is>
          <t>English</t>
        </is>
      </c>
      <c r="C1018">
        <f>IFERROR(IF(VLOOKUP($A1018,'CDS-J'!$A:$L,3,FALSE)="","",(VLOOKUP($A1018,'CDS-J'!$A:$L,3,FALSE))),"")</f>
        <v/>
      </c>
      <c r="D1018" t="inlineStr">
        <is>
          <t>Disciplinary Areas of Degrees Conferred</t>
        </is>
      </c>
      <c r="E1018" t="inlineStr">
        <is>
          <t>Associate</t>
        </is>
      </c>
      <c r="F1018" t="n">
        <v>23</v>
      </c>
      <c r="G1018" t="inlineStr">
        <is>
          <t>Undergraduates</t>
        </is>
      </c>
      <c r="H1018" t="inlineStr">
        <is>
          <t>All</t>
        </is>
      </c>
      <c r="I1018" t="inlineStr">
        <is>
          <t>All</t>
        </is>
      </c>
      <c r="J1018" t="inlineStr">
        <is>
          <t>All</t>
        </is>
      </c>
      <c r="K1018" t="inlineStr">
        <is>
          <t>All</t>
        </is>
      </c>
      <c r="L1018" t="inlineStr">
        <is>
          <t>Whole Number or Round to Nearest Tenths</t>
        </is>
      </c>
    </row>
    <row r="1019">
      <c r="A1019" t="inlineStr">
        <is>
          <t>J156</t>
        </is>
      </c>
      <c r="B1019" t="inlineStr">
        <is>
          <t>Liberal arts/general studies</t>
        </is>
      </c>
      <c r="C1019">
        <f>IFERROR(IF(VLOOKUP($A1019,'CDS-J'!$A:$L,3,FALSE)="","",(VLOOKUP($A1019,'CDS-J'!$A:$L,3,FALSE))),"")</f>
        <v/>
      </c>
      <c r="D1019" t="inlineStr">
        <is>
          <t>Disciplinary Areas of Degrees Conferred</t>
        </is>
      </c>
      <c r="E1019" t="inlineStr">
        <is>
          <t>Associate</t>
        </is>
      </c>
      <c r="F1019" t="n">
        <v>24</v>
      </c>
      <c r="G1019" t="inlineStr">
        <is>
          <t>Undergraduates</t>
        </is>
      </c>
      <c r="H1019" t="inlineStr">
        <is>
          <t>All</t>
        </is>
      </c>
      <c r="I1019" t="inlineStr">
        <is>
          <t>All</t>
        </is>
      </c>
      <c r="J1019" t="inlineStr">
        <is>
          <t>All</t>
        </is>
      </c>
      <c r="K1019" t="inlineStr">
        <is>
          <t>All</t>
        </is>
      </c>
      <c r="L1019" t="inlineStr">
        <is>
          <t>Whole Number or Round to Nearest Tenths</t>
        </is>
      </c>
    </row>
    <row r="1020">
      <c r="A1020" t="inlineStr">
        <is>
          <t>J157</t>
        </is>
      </c>
      <c r="B1020" t="inlineStr">
        <is>
          <t>Library science</t>
        </is>
      </c>
      <c r="C1020">
        <f>IFERROR(IF(VLOOKUP($A1020,'CDS-J'!$A:$L,3,FALSE)="","",(VLOOKUP($A1020,'CDS-J'!$A:$L,3,FALSE))),"")</f>
        <v/>
      </c>
      <c r="D1020" t="inlineStr">
        <is>
          <t>Disciplinary Areas of Degrees Conferred</t>
        </is>
      </c>
      <c r="E1020" t="inlineStr">
        <is>
          <t>Associate</t>
        </is>
      </c>
      <c r="F1020" t="n">
        <v>25</v>
      </c>
      <c r="G1020" t="inlineStr">
        <is>
          <t>Undergraduates</t>
        </is>
      </c>
      <c r="H1020" t="inlineStr">
        <is>
          <t>All</t>
        </is>
      </c>
      <c r="I1020" t="inlineStr">
        <is>
          <t>All</t>
        </is>
      </c>
      <c r="J1020" t="inlineStr">
        <is>
          <t>All</t>
        </is>
      </c>
      <c r="K1020" t="inlineStr">
        <is>
          <t>All</t>
        </is>
      </c>
      <c r="L1020" t="inlineStr">
        <is>
          <t>Whole Number or Round to Nearest Tenths</t>
        </is>
      </c>
    </row>
    <row r="1021">
      <c r="A1021" t="inlineStr">
        <is>
          <t>J158</t>
        </is>
      </c>
      <c r="B1021" t="inlineStr">
        <is>
          <t>Biological/life sciences</t>
        </is>
      </c>
      <c r="C1021">
        <f>IFERROR(IF(VLOOKUP($A1021,'CDS-J'!$A:$L,3,FALSE)="","",(VLOOKUP($A1021,'CDS-J'!$A:$L,3,FALSE))),"")</f>
        <v/>
      </c>
      <c r="D1021" t="inlineStr">
        <is>
          <t>Disciplinary Areas of Degrees Conferred</t>
        </is>
      </c>
      <c r="E1021" t="inlineStr">
        <is>
          <t>Associate</t>
        </is>
      </c>
      <c r="F1021" t="n">
        <v>26</v>
      </c>
      <c r="G1021" t="inlineStr">
        <is>
          <t>Undergraduates</t>
        </is>
      </c>
      <c r="H1021" t="inlineStr">
        <is>
          <t>All</t>
        </is>
      </c>
      <c r="I1021" t="inlineStr">
        <is>
          <t>All</t>
        </is>
      </c>
      <c r="J1021" t="inlineStr">
        <is>
          <t>All</t>
        </is>
      </c>
      <c r="K1021" t="inlineStr">
        <is>
          <t>All</t>
        </is>
      </c>
      <c r="L1021" t="inlineStr">
        <is>
          <t>Whole Number or Round to Nearest Tenths</t>
        </is>
      </c>
    </row>
    <row r="1022">
      <c r="A1022" t="inlineStr">
        <is>
          <t>J159</t>
        </is>
      </c>
      <c r="B1022" t="inlineStr">
        <is>
          <t>Mathematics and statistics</t>
        </is>
      </c>
      <c r="C1022">
        <f>IFERROR(IF(VLOOKUP($A1022,'CDS-J'!$A:$L,3,FALSE)="","",(VLOOKUP($A1022,'CDS-J'!$A:$L,3,FALSE))),"")</f>
        <v/>
      </c>
      <c r="D1022" t="inlineStr">
        <is>
          <t>Disciplinary Areas of Degrees Conferred</t>
        </is>
      </c>
      <c r="E1022" t="inlineStr">
        <is>
          <t>Associate</t>
        </is>
      </c>
      <c r="F1022" t="n">
        <v>27</v>
      </c>
      <c r="G1022" t="inlineStr">
        <is>
          <t>Undergraduates</t>
        </is>
      </c>
      <c r="H1022" t="inlineStr">
        <is>
          <t>All</t>
        </is>
      </c>
      <c r="I1022" t="inlineStr">
        <is>
          <t>All</t>
        </is>
      </c>
      <c r="J1022" t="inlineStr">
        <is>
          <t>All</t>
        </is>
      </c>
      <c r="K1022" t="inlineStr">
        <is>
          <t>All</t>
        </is>
      </c>
      <c r="L1022" t="inlineStr">
        <is>
          <t>Whole Number or Round to Nearest Tenths</t>
        </is>
      </c>
    </row>
    <row r="1023">
      <c r="A1023" t="inlineStr">
        <is>
          <t>J160</t>
        </is>
      </c>
      <c r="B1023" t="inlineStr">
        <is>
          <t>Military science and military technologies</t>
        </is>
      </c>
      <c r="C1023">
        <f>IFERROR(IF(VLOOKUP($A1023,'CDS-J'!$A:$L,3,FALSE)="","",(VLOOKUP($A1023,'CDS-J'!$A:$L,3,FALSE))),"")</f>
        <v/>
      </c>
      <c r="D1023" t="inlineStr">
        <is>
          <t>Disciplinary Areas of Degrees Conferred</t>
        </is>
      </c>
      <c r="E1023" t="inlineStr">
        <is>
          <t>Associate</t>
        </is>
      </c>
      <c r="F1023" t="inlineStr">
        <is>
          <t>28 &amp; 29</t>
        </is>
      </c>
      <c r="G1023" t="inlineStr">
        <is>
          <t>Undergraduates</t>
        </is>
      </c>
      <c r="H1023" t="inlineStr">
        <is>
          <t>All</t>
        </is>
      </c>
      <c r="I1023" t="inlineStr">
        <is>
          <t>All</t>
        </is>
      </c>
      <c r="J1023" t="inlineStr">
        <is>
          <t>All</t>
        </is>
      </c>
      <c r="K1023" t="inlineStr">
        <is>
          <t>All</t>
        </is>
      </c>
      <c r="L1023" t="inlineStr">
        <is>
          <t>Whole Number or Round to Nearest Tenths</t>
        </is>
      </c>
    </row>
    <row r="1024">
      <c r="A1024" t="inlineStr">
        <is>
          <t>J161</t>
        </is>
      </c>
      <c r="B1024" t="inlineStr">
        <is>
          <t>Interdisciplinary studies</t>
        </is>
      </c>
      <c r="C1024">
        <f>IFERROR(IF(VLOOKUP($A1024,'CDS-J'!$A:$L,3,FALSE)="","",(VLOOKUP($A1024,'CDS-J'!$A:$L,3,FALSE))),"")</f>
        <v/>
      </c>
      <c r="D1024" t="inlineStr">
        <is>
          <t>Disciplinary Areas of Degrees Conferred</t>
        </is>
      </c>
      <c r="E1024" t="inlineStr">
        <is>
          <t>Associate</t>
        </is>
      </c>
      <c r="F1024" t="n">
        <v>30</v>
      </c>
      <c r="G1024" t="inlineStr">
        <is>
          <t>Undergraduates</t>
        </is>
      </c>
      <c r="H1024" t="inlineStr">
        <is>
          <t>All</t>
        </is>
      </c>
      <c r="I1024" t="inlineStr">
        <is>
          <t>All</t>
        </is>
      </c>
      <c r="J1024" t="inlineStr">
        <is>
          <t>All</t>
        </is>
      </c>
      <c r="K1024" t="inlineStr">
        <is>
          <t>All</t>
        </is>
      </c>
      <c r="L1024" t="inlineStr">
        <is>
          <t>Whole Number or Round to Nearest Tenths</t>
        </is>
      </c>
    </row>
    <row r="1025">
      <c r="A1025" t="inlineStr">
        <is>
          <t>J162</t>
        </is>
      </c>
      <c r="B1025" t="inlineStr">
        <is>
          <t>Parks and recreation</t>
        </is>
      </c>
      <c r="C1025">
        <f>IFERROR(IF(VLOOKUP($A1025,'CDS-J'!$A:$L,3,FALSE)="","",(VLOOKUP($A1025,'CDS-J'!$A:$L,3,FALSE))),"")</f>
        <v/>
      </c>
      <c r="D1025" t="inlineStr">
        <is>
          <t>Disciplinary Areas of Degrees Conferred</t>
        </is>
      </c>
      <c r="E1025" t="inlineStr">
        <is>
          <t>Associate</t>
        </is>
      </c>
      <c r="F1025" t="n">
        <v>31</v>
      </c>
      <c r="G1025" t="inlineStr">
        <is>
          <t>Undergraduates</t>
        </is>
      </c>
      <c r="H1025" t="inlineStr">
        <is>
          <t>All</t>
        </is>
      </c>
      <c r="I1025" t="inlineStr">
        <is>
          <t>All</t>
        </is>
      </c>
      <c r="J1025" t="inlineStr">
        <is>
          <t>All</t>
        </is>
      </c>
      <c r="K1025" t="inlineStr">
        <is>
          <t>All</t>
        </is>
      </c>
      <c r="L1025" t="inlineStr">
        <is>
          <t>Whole Number or Round to Nearest Tenths</t>
        </is>
      </c>
    </row>
    <row r="1026">
      <c r="A1026" t="inlineStr">
        <is>
          <t>J163</t>
        </is>
      </c>
      <c r="B1026" t="inlineStr">
        <is>
          <t>Philosophy and religious studies</t>
        </is>
      </c>
      <c r="C1026">
        <f>IFERROR(IF(VLOOKUP($A1026,'CDS-J'!$A:$L,3,FALSE)="","",(VLOOKUP($A1026,'CDS-J'!$A:$L,3,FALSE))),"")</f>
        <v/>
      </c>
      <c r="D1026" t="inlineStr">
        <is>
          <t>Disciplinary Areas of Degrees Conferred</t>
        </is>
      </c>
      <c r="E1026" t="inlineStr">
        <is>
          <t>Associate</t>
        </is>
      </c>
      <c r="F1026" t="n">
        <v>38</v>
      </c>
      <c r="G1026" t="inlineStr">
        <is>
          <t>Undergraduates</t>
        </is>
      </c>
      <c r="H1026" t="inlineStr">
        <is>
          <t>All</t>
        </is>
      </c>
      <c r="I1026" t="inlineStr">
        <is>
          <t>All</t>
        </is>
      </c>
      <c r="J1026" t="inlineStr">
        <is>
          <t>All</t>
        </is>
      </c>
      <c r="K1026" t="inlineStr">
        <is>
          <t>All</t>
        </is>
      </c>
      <c r="L1026" t="inlineStr">
        <is>
          <t>Whole Number or Round to Nearest Tenths</t>
        </is>
      </c>
    </row>
    <row r="1027">
      <c r="A1027" t="inlineStr">
        <is>
          <t>J164</t>
        </is>
      </c>
      <c r="B1027" t="inlineStr">
        <is>
          <t>Theology and religious vocations</t>
        </is>
      </c>
      <c r="C1027">
        <f>IFERROR(IF(VLOOKUP($A1027,'CDS-J'!$A:$L,3,FALSE)="","",(VLOOKUP($A1027,'CDS-J'!$A:$L,3,FALSE))),"")</f>
        <v/>
      </c>
      <c r="D1027" t="inlineStr">
        <is>
          <t>Disciplinary Areas of Degrees Conferred</t>
        </is>
      </c>
      <c r="E1027" t="inlineStr">
        <is>
          <t>Associate</t>
        </is>
      </c>
      <c r="F1027" t="n">
        <v>39</v>
      </c>
      <c r="G1027" t="inlineStr">
        <is>
          <t>Undergraduates</t>
        </is>
      </c>
      <c r="H1027" t="inlineStr">
        <is>
          <t>All</t>
        </is>
      </c>
      <c r="I1027" t="inlineStr">
        <is>
          <t>All</t>
        </is>
      </c>
      <c r="J1027" t="inlineStr">
        <is>
          <t>All</t>
        </is>
      </c>
      <c r="K1027" t="inlineStr">
        <is>
          <t>All</t>
        </is>
      </c>
      <c r="L1027" t="inlineStr">
        <is>
          <t>Whole Number or Round to Nearest Tenths</t>
        </is>
      </c>
    </row>
    <row r="1028">
      <c r="A1028" t="inlineStr">
        <is>
          <t>J165</t>
        </is>
      </c>
      <c r="B1028" t="inlineStr">
        <is>
          <t>Physical sciences</t>
        </is>
      </c>
      <c r="C1028">
        <f>IFERROR(IF(VLOOKUP($A1028,'CDS-J'!$A:$L,3,FALSE)="","",(VLOOKUP($A1028,'CDS-J'!$A:$L,3,FALSE))),"")</f>
        <v/>
      </c>
      <c r="D1028" t="inlineStr">
        <is>
          <t>Disciplinary Areas of Degrees Conferred</t>
        </is>
      </c>
      <c r="E1028" t="inlineStr">
        <is>
          <t>Associate</t>
        </is>
      </c>
      <c r="F1028" t="n">
        <v>40</v>
      </c>
      <c r="G1028" t="inlineStr">
        <is>
          <t>Undergraduates</t>
        </is>
      </c>
      <c r="H1028" t="inlineStr">
        <is>
          <t>All</t>
        </is>
      </c>
      <c r="I1028" t="inlineStr">
        <is>
          <t>All</t>
        </is>
      </c>
      <c r="J1028" t="inlineStr">
        <is>
          <t>All</t>
        </is>
      </c>
      <c r="K1028" t="inlineStr">
        <is>
          <t>All</t>
        </is>
      </c>
      <c r="L1028" t="inlineStr">
        <is>
          <t>Whole Number or Round to Nearest Tenths</t>
        </is>
      </c>
    </row>
    <row r="1029">
      <c r="A1029" t="inlineStr">
        <is>
          <t>J166</t>
        </is>
      </c>
      <c r="B1029" t="inlineStr">
        <is>
          <t>Science technologies</t>
        </is>
      </c>
      <c r="C1029">
        <f>IFERROR(IF(VLOOKUP($A1029,'CDS-J'!$A:$L,3,FALSE)="","",(VLOOKUP($A1029,'CDS-J'!$A:$L,3,FALSE))),"")</f>
        <v/>
      </c>
      <c r="D1029" t="inlineStr">
        <is>
          <t>Disciplinary Areas of Degrees Conferred</t>
        </is>
      </c>
      <c r="E1029" t="inlineStr">
        <is>
          <t>Associate</t>
        </is>
      </c>
      <c r="F1029" t="n">
        <v>41</v>
      </c>
      <c r="G1029" t="inlineStr">
        <is>
          <t>Undergraduates</t>
        </is>
      </c>
      <c r="H1029" t="inlineStr">
        <is>
          <t>All</t>
        </is>
      </c>
      <c r="I1029" t="inlineStr">
        <is>
          <t>All</t>
        </is>
      </c>
      <c r="J1029" t="inlineStr">
        <is>
          <t>All</t>
        </is>
      </c>
      <c r="K1029" t="inlineStr">
        <is>
          <t>All</t>
        </is>
      </c>
      <c r="L1029" t="inlineStr">
        <is>
          <t>Whole Number or Round to Nearest Tenths</t>
        </is>
      </c>
    </row>
    <row r="1030">
      <c r="A1030" t="inlineStr">
        <is>
          <t>J167</t>
        </is>
      </c>
      <c r="B1030" t="inlineStr">
        <is>
          <t>Psychology</t>
        </is>
      </c>
      <c r="C1030">
        <f>IFERROR(IF(VLOOKUP($A1030,'CDS-J'!$A:$L,3,FALSE)="","",(VLOOKUP($A1030,'CDS-J'!$A:$L,3,FALSE))),"")</f>
        <v/>
      </c>
      <c r="D1030" t="inlineStr">
        <is>
          <t>Disciplinary Areas of Degrees Conferred</t>
        </is>
      </c>
      <c r="E1030" t="inlineStr">
        <is>
          <t>Associate</t>
        </is>
      </c>
      <c r="F1030" t="n">
        <v>42</v>
      </c>
      <c r="G1030" t="inlineStr">
        <is>
          <t>Undergraduates</t>
        </is>
      </c>
      <c r="H1030" t="inlineStr">
        <is>
          <t>All</t>
        </is>
      </c>
      <c r="I1030" t="inlineStr">
        <is>
          <t>All</t>
        </is>
      </c>
      <c r="J1030" t="inlineStr">
        <is>
          <t>All</t>
        </is>
      </c>
      <c r="K1030" t="inlineStr">
        <is>
          <t>All</t>
        </is>
      </c>
      <c r="L1030" t="inlineStr">
        <is>
          <t>Whole Number or Round to Nearest Tenths</t>
        </is>
      </c>
    </row>
    <row r="1031">
      <c r="A1031" t="inlineStr">
        <is>
          <t>J168</t>
        </is>
      </c>
      <c r="B1031" t="inlineStr">
        <is>
          <t>Homeland Security, law enforcement, firefighting, and protective services</t>
        </is>
      </c>
      <c r="C1031">
        <f>IFERROR(IF(VLOOKUP($A1031,'CDS-J'!$A:$L,3,FALSE)="","",(VLOOKUP($A1031,'CDS-J'!$A:$L,3,FALSE))),"")</f>
        <v/>
      </c>
      <c r="D1031" t="inlineStr">
        <is>
          <t>Disciplinary Areas of Degrees Conferred</t>
        </is>
      </c>
      <c r="E1031" t="inlineStr">
        <is>
          <t>Associate</t>
        </is>
      </c>
      <c r="F1031" t="n">
        <v>43</v>
      </c>
      <c r="G1031" t="inlineStr">
        <is>
          <t>Undergraduates</t>
        </is>
      </c>
      <c r="H1031" t="inlineStr">
        <is>
          <t>All</t>
        </is>
      </c>
      <c r="I1031" t="inlineStr">
        <is>
          <t>All</t>
        </is>
      </c>
      <c r="J1031" t="inlineStr">
        <is>
          <t>All</t>
        </is>
      </c>
      <c r="K1031" t="inlineStr">
        <is>
          <t>All</t>
        </is>
      </c>
      <c r="L1031" t="inlineStr">
        <is>
          <t>Whole Number or Round to Nearest Tenths</t>
        </is>
      </c>
    </row>
    <row r="1032">
      <c r="A1032" t="inlineStr">
        <is>
          <t>J169</t>
        </is>
      </c>
      <c r="B1032" t="inlineStr">
        <is>
          <t>Public administration and social services</t>
        </is>
      </c>
      <c r="C1032">
        <f>IFERROR(IF(VLOOKUP($A1032,'CDS-J'!$A:$L,3,FALSE)="","",(VLOOKUP($A1032,'CDS-J'!$A:$L,3,FALSE))),"")</f>
        <v/>
      </c>
      <c r="D1032" t="inlineStr">
        <is>
          <t>Disciplinary Areas of Degrees Conferred</t>
        </is>
      </c>
      <c r="E1032" t="inlineStr">
        <is>
          <t>Associate</t>
        </is>
      </c>
      <c r="F1032" t="n">
        <v>44</v>
      </c>
      <c r="G1032" t="inlineStr">
        <is>
          <t>Undergraduates</t>
        </is>
      </c>
      <c r="H1032" t="inlineStr">
        <is>
          <t>All</t>
        </is>
      </c>
      <c r="I1032" t="inlineStr">
        <is>
          <t>All</t>
        </is>
      </c>
      <c r="J1032" t="inlineStr">
        <is>
          <t>All</t>
        </is>
      </c>
      <c r="K1032" t="inlineStr">
        <is>
          <t>All</t>
        </is>
      </c>
      <c r="L1032" t="inlineStr">
        <is>
          <t>Whole Number or Round to Nearest Tenths</t>
        </is>
      </c>
    </row>
    <row r="1033">
      <c r="A1033" t="inlineStr">
        <is>
          <t>J170</t>
        </is>
      </c>
      <c r="B1033" t="inlineStr">
        <is>
          <t xml:space="preserve">Social sciences </t>
        </is>
      </c>
      <c r="C1033">
        <f>IFERROR(IF(VLOOKUP($A1033,'CDS-J'!$A:$L,3,FALSE)="","",(VLOOKUP($A1033,'CDS-J'!$A:$L,3,FALSE))),"")</f>
        <v/>
      </c>
      <c r="D1033" t="inlineStr">
        <is>
          <t>Disciplinary Areas of Degrees Conferred</t>
        </is>
      </c>
      <c r="E1033" t="inlineStr">
        <is>
          <t>Associate</t>
        </is>
      </c>
      <c r="F1033" t="n">
        <v>45</v>
      </c>
      <c r="G1033" t="inlineStr">
        <is>
          <t>Undergraduates</t>
        </is>
      </c>
      <c r="H1033" t="inlineStr">
        <is>
          <t>All</t>
        </is>
      </c>
      <c r="I1033" t="inlineStr">
        <is>
          <t>All</t>
        </is>
      </c>
      <c r="J1033" t="inlineStr">
        <is>
          <t>All</t>
        </is>
      </c>
      <c r="K1033" t="inlineStr">
        <is>
          <t>All</t>
        </is>
      </c>
      <c r="L1033" t="inlineStr">
        <is>
          <t>Whole Number or Round to Nearest Tenths</t>
        </is>
      </c>
    </row>
    <row r="1034">
      <c r="A1034" t="inlineStr">
        <is>
          <t>J171</t>
        </is>
      </c>
      <c r="B1034" t="inlineStr">
        <is>
          <t>Construction trades</t>
        </is>
      </c>
      <c r="C1034">
        <f>IFERROR(IF(VLOOKUP($A1034,'CDS-J'!$A:$L,3,FALSE)="","",(VLOOKUP($A1034,'CDS-J'!$A:$L,3,FALSE))),"")</f>
        <v/>
      </c>
      <c r="D1034" t="inlineStr">
        <is>
          <t>Disciplinary Areas of Degrees Conferred</t>
        </is>
      </c>
      <c r="E1034" t="inlineStr">
        <is>
          <t>Associate</t>
        </is>
      </c>
      <c r="F1034" t="n">
        <v>46</v>
      </c>
      <c r="G1034" t="inlineStr">
        <is>
          <t>Undergraduates</t>
        </is>
      </c>
      <c r="H1034" t="inlineStr">
        <is>
          <t>All</t>
        </is>
      </c>
      <c r="I1034" t="inlineStr">
        <is>
          <t>All</t>
        </is>
      </c>
      <c r="J1034" t="inlineStr">
        <is>
          <t>All</t>
        </is>
      </c>
      <c r="K1034" t="inlineStr">
        <is>
          <t>All</t>
        </is>
      </c>
      <c r="L1034" t="inlineStr">
        <is>
          <t>Whole Number or Round to Nearest Tenths</t>
        </is>
      </c>
    </row>
    <row r="1035">
      <c r="A1035" t="inlineStr">
        <is>
          <t>J172</t>
        </is>
      </c>
      <c r="B1035" t="inlineStr">
        <is>
          <t>Mechanic and repair technologies</t>
        </is>
      </c>
      <c r="C1035">
        <f>IFERROR(IF(VLOOKUP($A1035,'CDS-J'!$A:$L,3,FALSE)="","",(VLOOKUP($A1035,'CDS-J'!$A:$L,3,FALSE))),"")</f>
        <v/>
      </c>
      <c r="D1035" t="inlineStr">
        <is>
          <t>Disciplinary Areas of Degrees Conferred</t>
        </is>
      </c>
      <c r="E1035" t="inlineStr">
        <is>
          <t>Associate</t>
        </is>
      </c>
      <c r="F1035" t="n">
        <v>47</v>
      </c>
      <c r="G1035" t="inlineStr">
        <is>
          <t>Undergraduates</t>
        </is>
      </c>
      <c r="H1035" t="inlineStr">
        <is>
          <t>All</t>
        </is>
      </c>
      <c r="I1035" t="inlineStr">
        <is>
          <t>All</t>
        </is>
      </c>
      <c r="J1035" t="inlineStr">
        <is>
          <t>All</t>
        </is>
      </c>
      <c r="K1035" t="inlineStr">
        <is>
          <t>All</t>
        </is>
      </c>
      <c r="L1035" t="inlineStr">
        <is>
          <t>Whole Number or Round to Nearest Tenths</t>
        </is>
      </c>
    </row>
    <row r="1036">
      <c r="A1036" t="inlineStr">
        <is>
          <t>J173</t>
        </is>
      </c>
      <c r="B1036" t="inlineStr">
        <is>
          <t>Precision production</t>
        </is>
      </c>
      <c r="C1036">
        <f>IFERROR(IF(VLOOKUP($A1036,'CDS-J'!$A:$L,3,FALSE)="","",(VLOOKUP($A1036,'CDS-J'!$A:$L,3,FALSE))),"")</f>
        <v/>
      </c>
      <c r="D1036" t="inlineStr">
        <is>
          <t>Disciplinary Areas of Degrees Conferred</t>
        </is>
      </c>
      <c r="E1036" t="inlineStr">
        <is>
          <t>Associate</t>
        </is>
      </c>
      <c r="F1036" t="n">
        <v>48</v>
      </c>
      <c r="G1036" t="inlineStr">
        <is>
          <t>Undergraduates</t>
        </is>
      </c>
      <c r="H1036" t="inlineStr">
        <is>
          <t>All</t>
        </is>
      </c>
      <c r="I1036" t="inlineStr">
        <is>
          <t>All</t>
        </is>
      </c>
      <c r="J1036" t="inlineStr">
        <is>
          <t>All</t>
        </is>
      </c>
      <c r="K1036" t="inlineStr">
        <is>
          <t>All</t>
        </is>
      </c>
      <c r="L1036" t="inlineStr">
        <is>
          <t>Whole Number or Round to Nearest Tenths</t>
        </is>
      </c>
    </row>
    <row r="1037">
      <c r="A1037" t="inlineStr">
        <is>
          <t>J174</t>
        </is>
      </c>
      <c r="B1037" t="inlineStr">
        <is>
          <t>Transportation and materials moving</t>
        </is>
      </c>
      <c r="C1037">
        <f>IFERROR(IF(VLOOKUP($A1037,'CDS-J'!$A:$L,3,FALSE)="","",(VLOOKUP($A1037,'CDS-J'!$A:$L,3,FALSE))),"")</f>
        <v/>
      </c>
      <c r="D1037" t="inlineStr">
        <is>
          <t>Disciplinary Areas of Degrees Conferred</t>
        </is>
      </c>
      <c r="E1037" t="inlineStr">
        <is>
          <t>Associate</t>
        </is>
      </c>
      <c r="F1037" t="n">
        <v>49</v>
      </c>
      <c r="G1037" t="inlineStr">
        <is>
          <t>Undergraduates</t>
        </is>
      </c>
      <c r="H1037" t="inlineStr">
        <is>
          <t>All</t>
        </is>
      </c>
      <c r="I1037" t="inlineStr">
        <is>
          <t>All</t>
        </is>
      </c>
      <c r="J1037" t="inlineStr">
        <is>
          <t>All</t>
        </is>
      </c>
      <c r="K1037" t="inlineStr">
        <is>
          <t>All</t>
        </is>
      </c>
      <c r="L1037" t="inlineStr">
        <is>
          <t>Whole Number or Round to Nearest Tenths</t>
        </is>
      </c>
    </row>
    <row r="1038">
      <c r="A1038" t="inlineStr">
        <is>
          <t>J175</t>
        </is>
      </c>
      <c r="B1038" t="inlineStr">
        <is>
          <t>Visual and performing arts</t>
        </is>
      </c>
      <c r="C1038">
        <f>IFERROR(IF(VLOOKUP($A1038,'CDS-J'!$A:$L,3,FALSE)="","",(VLOOKUP($A1038,'CDS-J'!$A:$L,3,FALSE))),"")</f>
        <v/>
      </c>
      <c r="D1038" t="inlineStr">
        <is>
          <t>Disciplinary Areas of Degrees Conferred</t>
        </is>
      </c>
      <c r="E1038" t="inlineStr">
        <is>
          <t>Associate</t>
        </is>
      </c>
      <c r="F1038" t="n">
        <v>50</v>
      </c>
      <c r="G1038" t="inlineStr">
        <is>
          <t>Undergraduates</t>
        </is>
      </c>
      <c r="H1038" t="inlineStr">
        <is>
          <t>All</t>
        </is>
      </c>
      <c r="I1038" t="inlineStr">
        <is>
          <t>All</t>
        </is>
      </c>
      <c r="J1038" t="inlineStr">
        <is>
          <t>All</t>
        </is>
      </c>
      <c r="K1038" t="inlineStr">
        <is>
          <t>All</t>
        </is>
      </c>
      <c r="L1038" t="inlineStr">
        <is>
          <t>Whole Number or Round to Nearest Tenths</t>
        </is>
      </c>
    </row>
    <row r="1039">
      <c r="A1039" t="inlineStr">
        <is>
          <t>J176</t>
        </is>
      </c>
      <c r="B1039" t="inlineStr">
        <is>
          <t>Health professions and related programs</t>
        </is>
      </c>
      <c r="C1039">
        <f>IFERROR(IF(VLOOKUP($A1039,'CDS-J'!$A:$L,3,FALSE)="","",(VLOOKUP($A1039,'CDS-J'!$A:$L,3,FALSE))),"")</f>
        <v/>
      </c>
      <c r="D1039" t="inlineStr">
        <is>
          <t>Disciplinary Areas of Degrees Conferred</t>
        </is>
      </c>
      <c r="E1039" t="inlineStr">
        <is>
          <t>Associate</t>
        </is>
      </c>
      <c r="F1039" t="n">
        <v>51</v>
      </c>
      <c r="G1039" t="inlineStr">
        <is>
          <t>Undergraduates</t>
        </is>
      </c>
      <c r="H1039" t="inlineStr">
        <is>
          <t>All</t>
        </is>
      </c>
      <c r="I1039" t="inlineStr">
        <is>
          <t>All</t>
        </is>
      </c>
      <c r="J1039" t="inlineStr">
        <is>
          <t>All</t>
        </is>
      </c>
      <c r="K1039" t="inlineStr">
        <is>
          <t>All</t>
        </is>
      </c>
      <c r="L1039" t="inlineStr">
        <is>
          <t>Whole Number or Round to Nearest Tenths</t>
        </is>
      </c>
    </row>
    <row r="1040">
      <c r="A1040" t="inlineStr">
        <is>
          <t>J177</t>
        </is>
      </c>
      <c r="B1040" t="inlineStr">
        <is>
          <t>Business/marketing</t>
        </is>
      </c>
      <c r="C1040">
        <f>IFERROR(IF(VLOOKUP($A1040,'CDS-J'!$A:$L,3,FALSE)="","",(VLOOKUP($A1040,'CDS-J'!$A:$L,3,FALSE))),"")</f>
        <v/>
      </c>
      <c r="D1040" t="inlineStr">
        <is>
          <t>Disciplinary Areas of Degrees Conferred</t>
        </is>
      </c>
      <c r="E1040" t="inlineStr">
        <is>
          <t>Associate</t>
        </is>
      </c>
      <c r="F1040" t="n">
        <v>52</v>
      </c>
      <c r="G1040" t="inlineStr">
        <is>
          <t>Undergraduates</t>
        </is>
      </c>
      <c r="H1040" t="inlineStr">
        <is>
          <t>All</t>
        </is>
      </c>
      <c r="I1040" t="inlineStr">
        <is>
          <t>All</t>
        </is>
      </c>
      <c r="J1040" t="inlineStr">
        <is>
          <t>All</t>
        </is>
      </c>
      <c r="K1040" t="inlineStr">
        <is>
          <t>All</t>
        </is>
      </c>
      <c r="L1040" t="inlineStr">
        <is>
          <t>Whole Number or Round to Nearest Tenths</t>
        </is>
      </c>
    </row>
    <row r="1041">
      <c r="A1041" t="inlineStr">
        <is>
          <t>J178</t>
        </is>
      </c>
      <c r="B1041" t="inlineStr">
        <is>
          <t>History</t>
        </is>
      </c>
      <c r="C1041">
        <f>IFERROR(IF(VLOOKUP($A1041,'CDS-J'!$A:$L,3,FALSE)="","",(VLOOKUP($A1041,'CDS-J'!$A:$L,3,FALSE))),"")</f>
        <v/>
      </c>
      <c r="D1041" t="inlineStr">
        <is>
          <t>Disciplinary Areas of Degrees Conferred</t>
        </is>
      </c>
      <c r="E1041" t="inlineStr">
        <is>
          <t>Associate</t>
        </is>
      </c>
      <c r="F1041" t="n">
        <v>54</v>
      </c>
      <c r="G1041" t="inlineStr">
        <is>
          <t>Undergraduates</t>
        </is>
      </c>
      <c r="H1041" t="inlineStr">
        <is>
          <t>All</t>
        </is>
      </c>
      <c r="I1041" t="inlineStr">
        <is>
          <t>All</t>
        </is>
      </c>
      <c r="J1041" t="inlineStr">
        <is>
          <t>All</t>
        </is>
      </c>
      <c r="K1041" t="inlineStr">
        <is>
          <t>All</t>
        </is>
      </c>
      <c r="L1041" t="inlineStr">
        <is>
          <t>Whole Number or Round to Nearest Tenths</t>
        </is>
      </c>
    </row>
    <row r="1042">
      <c r="A1042" t="inlineStr">
        <is>
          <t>J179</t>
        </is>
      </c>
      <c r="B1042" t="inlineStr">
        <is>
          <t>Other</t>
        </is>
      </c>
      <c r="C1042">
        <f>IFERROR(IF(VLOOKUP($A1042,'CDS-J'!$A:$L,3,FALSE)="","",(VLOOKUP($A1042,'CDS-J'!$A:$L,3,FALSE))),"")</f>
        <v/>
      </c>
      <c r="D1042" t="inlineStr">
        <is>
          <t>Disciplinary Areas of Degrees Conferred</t>
        </is>
      </c>
      <c r="E1042" t="inlineStr">
        <is>
          <t>Associate</t>
        </is>
      </c>
      <c r="F1042" t="inlineStr">
        <is>
          <t>Other</t>
        </is>
      </c>
      <c r="G1042" t="inlineStr">
        <is>
          <t>Undergraduates</t>
        </is>
      </c>
      <c r="H1042" t="inlineStr">
        <is>
          <t>All</t>
        </is>
      </c>
      <c r="I1042" t="inlineStr">
        <is>
          <t>All</t>
        </is>
      </c>
      <c r="J1042" t="inlineStr">
        <is>
          <t>All</t>
        </is>
      </c>
      <c r="K1042" t="inlineStr">
        <is>
          <t>All</t>
        </is>
      </c>
      <c r="L1042" t="inlineStr">
        <is>
          <t>Whole Number or Round to Nearest Tenths</t>
        </is>
      </c>
    </row>
    <row r="1043">
      <c r="A1043" t="inlineStr">
        <is>
          <t>J180</t>
        </is>
      </c>
      <c r="B1043" t="inlineStr">
        <is>
          <t>TOTAL (should = 100%)</t>
        </is>
      </c>
      <c r="C1043">
        <f>IFERROR(IF(VLOOKUP($A1043,'CDS-J'!$A:$L,3,FALSE)="","",(VLOOKUP($A1043,'CDS-J'!$A:$L,3,FALSE))),"")</f>
        <v/>
      </c>
      <c r="D1043" t="inlineStr">
        <is>
          <t>Disciplinary Areas of Degrees Conferred</t>
        </is>
      </c>
      <c r="E1043" t="inlineStr">
        <is>
          <t>Associate</t>
        </is>
      </c>
      <c r="F1043" t="inlineStr">
        <is>
          <t>Total</t>
        </is>
      </c>
      <c r="G1043" t="inlineStr">
        <is>
          <t>Undergraduates</t>
        </is>
      </c>
      <c r="H1043" t="inlineStr">
        <is>
          <t>All</t>
        </is>
      </c>
      <c r="I1043" t="inlineStr">
        <is>
          <t>All</t>
        </is>
      </c>
      <c r="J1043" t="inlineStr">
        <is>
          <t>All</t>
        </is>
      </c>
      <c r="K1043" t="inlineStr">
        <is>
          <t>All</t>
        </is>
      </c>
      <c r="L1043" t="inlineStr">
        <is>
          <t>Whole Number or Round to Nearest Tenths</t>
        </is>
      </c>
    </row>
    <row r="1044">
      <c r="A1044" t="inlineStr">
        <is>
          <t>J181</t>
        </is>
      </c>
      <c r="B1044" t="inlineStr">
        <is>
          <t>Agriculture</t>
        </is>
      </c>
      <c r="C1044">
        <f>IFERROR(IF(VLOOKUP($A1044,'CDS-J'!$A:$L,3,FALSE)="","",(VLOOKUP($A1044,'CDS-J'!$A:$L,3,FALSE))),"")</f>
        <v/>
      </c>
      <c r="D1044" t="inlineStr">
        <is>
          <t>Disciplinary Areas of Degrees Conferred</t>
        </is>
      </c>
      <c r="E1044" t="inlineStr">
        <is>
          <t>Bachelors</t>
        </is>
      </c>
      <c r="F1044" t="inlineStr">
        <is>
          <t>01</t>
        </is>
      </c>
      <c r="G1044" t="inlineStr">
        <is>
          <t>Undergraduates</t>
        </is>
      </c>
      <c r="H1044" t="inlineStr">
        <is>
          <t>All</t>
        </is>
      </c>
      <c r="I1044" t="inlineStr">
        <is>
          <t>All</t>
        </is>
      </c>
      <c r="J1044" t="inlineStr">
        <is>
          <t>All</t>
        </is>
      </c>
      <c r="K1044" t="inlineStr">
        <is>
          <t>All</t>
        </is>
      </c>
      <c r="L1044" t="inlineStr">
        <is>
          <t>Whole Number or Round to Nearest Tenths</t>
        </is>
      </c>
    </row>
    <row r="1045">
      <c r="A1045" t="inlineStr">
        <is>
          <t>J182</t>
        </is>
      </c>
      <c r="B1045" t="inlineStr">
        <is>
          <t>Natural resources and conservation</t>
        </is>
      </c>
      <c r="C1045">
        <f>IFERROR(IF(VLOOKUP($A1045,'CDS-J'!$A:$L,3,FALSE)="","",(VLOOKUP($A1045,'CDS-J'!$A:$L,3,FALSE))),"")</f>
        <v/>
      </c>
      <c r="D1045" t="inlineStr">
        <is>
          <t>Disciplinary Areas of Degrees Conferred</t>
        </is>
      </c>
      <c r="E1045" t="inlineStr">
        <is>
          <t>Bachelors</t>
        </is>
      </c>
      <c r="F1045" t="inlineStr">
        <is>
          <t>03</t>
        </is>
      </c>
      <c r="G1045" t="inlineStr">
        <is>
          <t>Undergraduates</t>
        </is>
      </c>
      <c r="H1045" t="inlineStr">
        <is>
          <t>All</t>
        </is>
      </c>
      <c r="I1045" t="inlineStr">
        <is>
          <t>All</t>
        </is>
      </c>
      <c r="J1045" t="inlineStr">
        <is>
          <t>All</t>
        </is>
      </c>
      <c r="K1045" t="inlineStr">
        <is>
          <t>All</t>
        </is>
      </c>
      <c r="L1045" t="inlineStr">
        <is>
          <t>Whole Number or Round to Nearest Tenths</t>
        </is>
      </c>
    </row>
    <row r="1046">
      <c r="A1046" t="inlineStr">
        <is>
          <t>J183</t>
        </is>
      </c>
      <c r="B1046" t="inlineStr">
        <is>
          <t>Architecture</t>
        </is>
      </c>
      <c r="C1046">
        <f>IFERROR(IF(VLOOKUP($A1046,'CDS-J'!$A:$L,3,FALSE)="","",(VLOOKUP($A1046,'CDS-J'!$A:$L,3,FALSE))),"")</f>
        <v/>
      </c>
      <c r="D1046" t="inlineStr">
        <is>
          <t>Disciplinary Areas of Degrees Conferred</t>
        </is>
      </c>
      <c r="E1046" t="inlineStr">
        <is>
          <t>Bachelors</t>
        </is>
      </c>
      <c r="F1046" t="inlineStr">
        <is>
          <t>04</t>
        </is>
      </c>
      <c r="G1046" t="inlineStr">
        <is>
          <t>Undergraduates</t>
        </is>
      </c>
      <c r="H1046" t="inlineStr">
        <is>
          <t>All</t>
        </is>
      </c>
      <c r="I1046" t="inlineStr">
        <is>
          <t>All</t>
        </is>
      </c>
      <c r="J1046" t="inlineStr">
        <is>
          <t>All</t>
        </is>
      </c>
      <c r="K1046" t="inlineStr">
        <is>
          <t>All</t>
        </is>
      </c>
      <c r="L1046" t="inlineStr">
        <is>
          <t>Whole Number or Round to Nearest Tenths</t>
        </is>
      </c>
    </row>
    <row r="1047">
      <c r="A1047" t="inlineStr">
        <is>
          <t>J184</t>
        </is>
      </c>
      <c r="B1047" t="inlineStr">
        <is>
          <t>Area, ethnic, and gender studies</t>
        </is>
      </c>
      <c r="C1047">
        <f>IFERROR(IF(VLOOKUP($A1047,'CDS-J'!$A:$L,3,FALSE)="","",(VLOOKUP($A1047,'CDS-J'!$A:$L,3,FALSE))),"")</f>
        <v/>
      </c>
      <c r="D1047" t="inlineStr">
        <is>
          <t>Disciplinary Areas of Degrees Conferred</t>
        </is>
      </c>
      <c r="E1047" t="inlineStr">
        <is>
          <t>Bachelors</t>
        </is>
      </c>
      <c r="F1047" t="inlineStr">
        <is>
          <t>05</t>
        </is>
      </c>
      <c r="G1047" t="inlineStr">
        <is>
          <t>Undergraduates</t>
        </is>
      </c>
      <c r="H1047" t="inlineStr">
        <is>
          <t>All</t>
        </is>
      </c>
      <c r="I1047" t="inlineStr">
        <is>
          <t>All</t>
        </is>
      </c>
      <c r="J1047" t="inlineStr">
        <is>
          <t>All</t>
        </is>
      </c>
      <c r="K1047" t="inlineStr">
        <is>
          <t>All</t>
        </is>
      </c>
      <c r="L1047" t="inlineStr">
        <is>
          <t>Whole Number or Round to Nearest Tenths</t>
        </is>
      </c>
    </row>
    <row r="1048">
      <c r="A1048" t="inlineStr">
        <is>
          <t>J185</t>
        </is>
      </c>
      <c r="B1048" t="inlineStr">
        <is>
          <t>Communication/journalism</t>
        </is>
      </c>
      <c r="C1048">
        <f>IFERROR(IF(VLOOKUP($A1048,'CDS-J'!$A:$L,3,FALSE)="","",(VLOOKUP($A1048,'CDS-J'!$A:$L,3,FALSE))),"")</f>
        <v/>
      </c>
      <c r="D1048" t="inlineStr">
        <is>
          <t>Disciplinary Areas of Degrees Conferred</t>
        </is>
      </c>
      <c r="E1048" t="inlineStr">
        <is>
          <t>Bachelors</t>
        </is>
      </c>
      <c r="F1048" t="inlineStr">
        <is>
          <t>09</t>
        </is>
      </c>
      <c r="G1048" t="inlineStr">
        <is>
          <t>Undergraduates</t>
        </is>
      </c>
      <c r="H1048" t="inlineStr">
        <is>
          <t>All</t>
        </is>
      </c>
      <c r="I1048" t="inlineStr">
        <is>
          <t>All</t>
        </is>
      </c>
      <c r="J1048" t="inlineStr">
        <is>
          <t>All</t>
        </is>
      </c>
      <c r="K1048" t="inlineStr">
        <is>
          <t>All</t>
        </is>
      </c>
      <c r="L1048" t="inlineStr">
        <is>
          <t>Whole Number or Round to Nearest Tenths</t>
        </is>
      </c>
    </row>
    <row r="1049">
      <c r="A1049" t="inlineStr">
        <is>
          <t>J186</t>
        </is>
      </c>
      <c r="B1049" t="inlineStr">
        <is>
          <t>Communication technologies</t>
        </is>
      </c>
      <c r="C1049">
        <f>IFERROR(IF(VLOOKUP($A1049,'CDS-J'!$A:$L,3,FALSE)="","",(VLOOKUP($A1049,'CDS-J'!$A:$L,3,FALSE))),"")</f>
        <v/>
      </c>
      <c r="D1049" t="inlineStr">
        <is>
          <t>Disciplinary Areas of Degrees Conferred</t>
        </is>
      </c>
      <c r="E1049" t="inlineStr">
        <is>
          <t>Bachelors</t>
        </is>
      </c>
      <c r="F1049" t="n">
        <v>10</v>
      </c>
      <c r="G1049" t="inlineStr">
        <is>
          <t>Undergraduates</t>
        </is>
      </c>
      <c r="H1049" t="inlineStr">
        <is>
          <t>All</t>
        </is>
      </c>
      <c r="I1049" t="inlineStr">
        <is>
          <t>All</t>
        </is>
      </c>
      <c r="J1049" t="inlineStr">
        <is>
          <t>All</t>
        </is>
      </c>
      <c r="K1049" t="inlineStr">
        <is>
          <t>All</t>
        </is>
      </c>
      <c r="L1049" t="inlineStr">
        <is>
          <t>Whole Number or Round to Nearest Tenths</t>
        </is>
      </c>
    </row>
    <row r="1050">
      <c r="A1050" t="inlineStr">
        <is>
          <t>J187</t>
        </is>
      </c>
      <c r="B1050" t="inlineStr">
        <is>
          <t>Computer and information sciences</t>
        </is>
      </c>
      <c r="C1050">
        <f>IFERROR(IF(VLOOKUP($A1050,'CDS-J'!$A:$L,3,FALSE)="","",(VLOOKUP($A1050,'CDS-J'!$A:$L,3,FALSE))),"")</f>
        <v/>
      </c>
      <c r="D1050" t="inlineStr">
        <is>
          <t>Disciplinary Areas of Degrees Conferred</t>
        </is>
      </c>
      <c r="E1050" t="inlineStr">
        <is>
          <t>Bachelors</t>
        </is>
      </c>
      <c r="F1050" t="n">
        <v>11</v>
      </c>
      <c r="G1050" t="inlineStr">
        <is>
          <t>Undergraduates</t>
        </is>
      </c>
      <c r="H1050" t="inlineStr">
        <is>
          <t>All</t>
        </is>
      </c>
      <c r="I1050" t="inlineStr">
        <is>
          <t>All</t>
        </is>
      </c>
      <c r="J1050" t="inlineStr">
        <is>
          <t>All</t>
        </is>
      </c>
      <c r="K1050" t="inlineStr">
        <is>
          <t>All</t>
        </is>
      </c>
      <c r="L1050" t="inlineStr">
        <is>
          <t>Whole Number or Round to Nearest Tenths</t>
        </is>
      </c>
    </row>
    <row r="1051">
      <c r="A1051" t="inlineStr">
        <is>
          <t>J188</t>
        </is>
      </c>
      <c r="B1051" t="inlineStr">
        <is>
          <t>Personal and culinary services</t>
        </is>
      </c>
      <c r="C1051">
        <f>IFERROR(IF(VLOOKUP($A1051,'CDS-J'!$A:$L,3,FALSE)="","",(VLOOKUP($A1051,'CDS-J'!$A:$L,3,FALSE))),"")</f>
        <v/>
      </c>
      <c r="D1051" t="inlineStr">
        <is>
          <t>Disciplinary Areas of Degrees Conferred</t>
        </is>
      </c>
      <c r="E1051" t="inlineStr">
        <is>
          <t>Bachelors</t>
        </is>
      </c>
      <c r="F1051" t="n">
        <v>12</v>
      </c>
      <c r="G1051" t="inlineStr">
        <is>
          <t>Undergraduates</t>
        </is>
      </c>
      <c r="H1051" t="inlineStr">
        <is>
          <t>All</t>
        </is>
      </c>
      <c r="I1051" t="inlineStr">
        <is>
          <t>All</t>
        </is>
      </c>
      <c r="J1051" t="inlineStr">
        <is>
          <t>All</t>
        </is>
      </c>
      <c r="K1051" t="inlineStr">
        <is>
          <t>All</t>
        </is>
      </c>
      <c r="L1051" t="inlineStr">
        <is>
          <t>Whole Number or Round to Nearest Tenths</t>
        </is>
      </c>
    </row>
    <row r="1052">
      <c r="A1052" t="inlineStr">
        <is>
          <t>J189</t>
        </is>
      </c>
      <c r="B1052" t="inlineStr">
        <is>
          <t>Education</t>
        </is>
      </c>
      <c r="C1052">
        <f>IFERROR(IF(VLOOKUP($A1052,'CDS-J'!$A:$L,3,FALSE)="","",(VLOOKUP($A1052,'CDS-J'!$A:$L,3,FALSE))),"")</f>
        <v/>
      </c>
      <c r="D1052" t="inlineStr">
        <is>
          <t>Disciplinary Areas of Degrees Conferred</t>
        </is>
      </c>
      <c r="E1052" t="inlineStr">
        <is>
          <t>Bachelors</t>
        </is>
      </c>
      <c r="F1052" t="n">
        <v>13</v>
      </c>
      <c r="G1052" t="inlineStr">
        <is>
          <t>Undergraduates</t>
        </is>
      </c>
      <c r="H1052" t="inlineStr">
        <is>
          <t>All</t>
        </is>
      </c>
      <c r="I1052" t="inlineStr">
        <is>
          <t>All</t>
        </is>
      </c>
      <c r="J1052" t="inlineStr">
        <is>
          <t>All</t>
        </is>
      </c>
      <c r="K1052" t="inlineStr">
        <is>
          <t>All</t>
        </is>
      </c>
      <c r="L1052" t="inlineStr">
        <is>
          <t>Whole Number or Round to Nearest Tenths</t>
        </is>
      </c>
    </row>
    <row r="1053">
      <c r="A1053" t="inlineStr">
        <is>
          <t>J190</t>
        </is>
      </c>
      <c r="B1053" t="inlineStr">
        <is>
          <t>Engineering</t>
        </is>
      </c>
      <c r="C1053">
        <f>IFERROR(IF(VLOOKUP($A1053,'CDS-J'!$A:$L,3,FALSE)="","",(VLOOKUP($A1053,'CDS-J'!$A:$L,3,FALSE))),"")</f>
        <v/>
      </c>
      <c r="D1053" t="inlineStr">
        <is>
          <t>Disciplinary Areas of Degrees Conferred</t>
        </is>
      </c>
      <c r="E1053" t="inlineStr">
        <is>
          <t>Bachelors</t>
        </is>
      </c>
      <c r="F1053" t="n">
        <v>14</v>
      </c>
      <c r="G1053" t="inlineStr">
        <is>
          <t>Undergraduates</t>
        </is>
      </c>
      <c r="H1053" t="inlineStr">
        <is>
          <t>All</t>
        </is>
      </c>
      <c r="I1053" t="inlineStr">
        <is>
          <t>All</t>
        </is>
      </c>
      <c r="J1053" t="inlineStr">
        <is>
          <t>All</t>
        </is>
      </c>
      <c r="K1053" t="inlineStr">
        <is>
          <t>All</t>
        </is>
      </c>
      <c r="L1053" t="inlineStr">
        <is>
          <t>Whole Number or Round to Nearest Tenths</t>
        </is>
      </c>
    </row>
    <row r="1054">
      <c r="A1054" t="inlineStr">
        <is>
          <t>J191</t>
        </is>
      </c>
      <c r="B1054" t="inlineStr">
        <is>
          <t>Engineering technologies</t>
        </is>
      </c>
      <c r="C1054">
        <f>IFERROR(IF(VLOOKUP($A1054,'CDS-J'!$A:$L,3,FALSE)="","",(VLOOKUP($A1054,'CDS-J'!$A:$L,3,FALSE))),"")</f>
        <v/>
      </c>
      <c r="D1054" t="inlineStr">
        <is>
          <t>Disciplinary Areas of Degrees Conferred</t>
        </is>
      </c>
      <c r="E1054" t="inlineStr">
        <is>
          <t>Bachelors</t>
        </is>
      </c>
      <c r="F1054" t="n">
        <v>15</v>
      </c>
      <c r="G1054" t="inlineStr">
        <is>
          <t>Undergraduates</t>
        </is>
      </c>
      <c r="H1054" t="inlineStr">
        <is>
          <t>All</t>
        </is>
      </c>
      <c r="I1054" t="inlineStr">
        <is>
          <t>All</t>
        </is>
      </c>
      <c r="J1054" t="inlineStr">
        <is>
          <t>All</t>
        </is>
      </c>
      <c r="K1054" t="inlineStr">
        <is>
          <t>All</t>
        </is>
      </c>
      <c r="L1054" t="inlineStr">
        <is>
          <t>Whole Number or Round to Nearest Tenths</t>
        </is>
      </c>
    </row>
    <row r="1055">
      <c r="A1055" t="inlineStr">
        <is>
          <t>J192</t>
        </is>
      </c>
      <c r="B1055" t="inlineStr">
        <is>
          <t>Foreign languages, literatures, and linguistics</t>
        </is>
      </c>
      <c r="C1055">
        <f>IFERROR(IF(VLOOKUP($A1055,'CDS-J'!$A:$L,3,FALSE)="","",(VLOOKUP($A1055,'CDS-J'!$A:$L,3,FALSE))),"")</f>
        <v/>
      </c>
      <c r="D1055" t="inlineStr">
        <is>
          <t>Disciplinary Areas of Degrees Conferred</t>
        </is>
      </c>
      <c r="E1055" t="inlineStr">
        <is>
          <t>Bachelors</t>
        </is>
      </c>
      <c r="F1055" t="n">
        <v>16</v>
      </c>
      <c r="G1055" t="inlineStr">
        <is>
          <t>Undergraduates</t>
        </is>
      </c>
      <c r="H1055" t="inlineStr">
        <is>
          <t>All</t>
        </is>
      </c>
      <c r="I1055" t="inlineStr">
        <is>
          <t>All</t>
        </is>
      </c>
      <c r="J1055" t="inlineStr">
        <is>
          <t>All</t>
        </is>
      </c>
      <c r="K1055" t="inlineStr">
        <is>
          <t>All</t>
        </is>
      </c>
      <c r="L1055" t="inlineStr">
        <is>
          <t>Whole Number or Round to Nearest Tenths</t>
        </is>
      </c>
    </row>
    <row r="1056">
      <c r="A1056" t="inlineStr">
        <is>
          <t>J193</t>
        </is>
      </c>
      <c r="B1056" t="inlineStr">
        <is>
          <t>Family and consumer sciences</t>
        </is>
      </c>
      <c r="C1056">
        <f>IFERROR(IF(VLOOKUP($A1056,'CDS-J'!$A:$L,3,FALSE)="","",(VLOOKUP($A1056,'CDS-J'!$A:$L,3,FALSE))),"")</f>
        <v/>
      </c>
      <c r="D1056" t="inlineStr">
        <is>
          <t>Disciplinary Areas of Degrees Conferred</t>
        </is>
      </c>
      <c r="E1056" t="inlineStr">
        <is>
          <t>Bachelors</t>
        </is>
      </c>
      <c r="F1056" t="n">
        <v>19</v>
      </c>
      <c r="G1056" t="inlineStr">
        <is>
          <t>Undergraduates</t>
        </is>
      </c>
      <c r="H1056" t="inlineStr">
        <is>
          <t>All</t>
        </is>
      </c>
      <c r="I1056" t="inlineStr">
        <is>
          <t>All</t>
        </is>
      </c>
      <c r="J1056" t="inlineStr">
        <is>
          <t>All</t>
        </is>
      </c>
      <c r="K1056" t="inlineStr">
        <is>
          <t>All</t>
        </is>
      </c>
      <c r="L1056" t="inlineStr">
        <is>
          <t>Whole Number or Round to Nearest Tenths</t>
        </is>
      </c>
    </row>
    <row r="1057">
      <c r="A1057" t="inlineStr">
        <is>
          <t>J194</t>
        </is>
      </c>
      <c r="B1057" t="inlineStr">
        <is>
          <t>Law/legal studies</t>
        </is>
      </c>
      <c r="C1057">
        <f>IFERROR(IF(VLOOKUP($A1057,'CDS-J'!$A:$L,3,FALSE)="","",(VLOOKUP($A1057,'CDS-J'!$A:$L,3,FALSE))),"")</f>
        <v/>
      </c>
      <c r="D1057" t="inlineStr">
        <is>
          <t>Disciplinary Areas of Degrees Conferred</t>
        </is>
      </c>
      <c r="E1057" t="inlineStr">
        <is>
          <t>Bachelors</t>
        </is>
      </c>
      <c r="F1057" t="n">
        <v>22</v>
      </c>
      <c r="G1057" t="inlineStr">
        <is>
          <t>Undergraduates</t>
        </is>
      </c>
      <c r="H1057" t="inlineStr">
        <is>
          <t>All</t>
        </is>
      </c>
      <c r="I1057" t="inlineStr">
        <is>
          <t>All</t>
        </is>
      </c>
      <c r="J1057" t="inlineStr">
        <is>
          <t>All</t>
        </is>
      </c>
      <c r="K1057" t="inlineStr">
        <is>
          <t>All</t>
        </is>
      </c>
      <c r="L1057" t="inlineStr">
        <is>
          <t>Whole Number or Round to Nearest Tenths</t>
        </is>
      </c>
    </row>
    <row r="1058">
      <c r="A1058" t="inlineStr">
        <is>
          <t>J195</t>
        </is>
      </c>
      <c r="B1058" t="inlineStr">
        <is>
          <t>English</t>
        </is>
      </c>
      <c r="C1058">
        <f>IFERROR(IF(VLOOKUP($A1058,'CDS-J'!$A:$L,3,FALSE)="","",(VLOOKUP($A1058,'CDS-J'!$A:$L,3,FALSE))),"")</f>
        <v/>
      </c>
      <c r="D1058" t="inlineStr">
        <is>
          <t>Disciplinary Areas of Degrees Conferred</t>
        </is>
      </c>
      <c r="E1058" t="inlineStr">
        <is>
          <t>Bachelors</t>
        </is>
      </c>
      <c r="F1058" t="n">
        <v>23</v>
      </c>
      <c r="G1058" t="inlineStr">
        <is>
          <t>Undergraduates</t>
        </is>
      </c>
      <c r="H1058" t="inlineStr">
        <is>
          <t>All</t>
        </is>
      </c>
      <c r="I1058" t="inlineStr">
        <is>
          <t>All</t>
        </is>
      </c>
      <c r="J1058" t="inlineStr">
        <is>
          <t>All</t>
        </is>
      </c>
      <c r="K1058" t="inlineStr">
        <is>
          <t>All</t>
        </is>
      </c>
      <c r="L1058" t="inlineStr">
        <is>
          <t>Whole Number or Round to Nearest Tenths</t>
        </is>
      </c>
    </row>
    <row r="1059">
      <c r="A1059" t="inlineStr">
        <is>
          <t>J196</t>
        </is>
      </c>
      <c r="B1059" t="inlineStr">
        <is>
          <t>Liberal arts/general studies</t>
        </is>
      </c>
      <c r="C1059">
        <f>IFERROR(IF(VLOOKUP($A1059,'CDS-J'!$A:$L,3,FALSE)="","",(VLOOKUP($A1059,'CDS-J'!$A:$L,3,FALSE))),"")</f>
        <v/>
      </c>
      <c r="D1059" t="inlineStr">
        <is>
          <t>Disciplinary Areas of Degrees Conferred</t>
        </is>
      </c>
      <c r="E1059" t="inlineStr">
        <is>
          <t>Bachelors</t>
        </is>
      </c>
      <c r="F1059" t="n">
        <v>24</v>
      </c>
      <c r="G1059" t="inlineStr">
        <is>
          <t>Undergraduates</t>
        </is>
      </c>
      <c r="H1059" t="inlineStr">
        <is>
          <t>All</t>
        </is>
      </c>
      <c r="I1059" t="inlineStr">
        <is>
          <t>All</t>
        </is>
      </c>
      <c r="J1059" t="inlineStr">
        <is>
          <t>All</t>
        </is>
      </c>
      <c r="K1059" t="inlineStr">
        <is>
          <t>All</t>
        </is>
      </c>
      <c r="L1059" t="inlineStr">
        <is>
          <t>Whole Number or Round to Nearest Tenths</t>
        </is>
      </c>
    </row>
    <row r="1060">
      <c r="A1060" t="inlineStr">
        <is>
          <t>J197</t>
        </is>
      </c>
      <c r="B1060" t="inlineStr">
        <is>
          <t>Library science</t>
        </is>
      </c>
      <c r="C1060">
        <f>IFERROR(IF(VLOOKUP($A1060,'CDS-J'!$A:$L,3,FALSE)="","",(VLOOKUP($A1060,'CDS-J'!$A:$L,3,FALSE))),"")</f>
        <v/>
      </c>
      <c r="D1060" t="inlineStr">
        <is>
          <t>Disciplinary Areas of Degrees Conferred</t>
        </is>
      </c>
      <c r="E1060" t="inlineStr">
        <is>
          <t>Bachelors</t>
        </is>
      </c>
      <c r="F1060" t="n">
        <v>25</v>
      </c>
      <c r="G1060" t="inlineStr">
        <is>
          <t>Undergraduates</t>
        </is>
      </c>
      <c r="H1060" t="inlineStr">
        <is>
          <t>All</t>
        </is>
      </c>
      <c r="I1060" t="inlineStr">
        <is>
          <t>All</t>
        </is>
      </c>
      <c r="J1060" t="inlineStr">
        <is>
          <t>All</t>
        </is>
      </c>
      <c r="K1060" t="inlineStr">
        <is>
          <t>All</t>
        </is>
      </c>
      <c r="L1060" t="inlineStr">
        <is>
          <t>Whole Number or Round to Nearest Tenths</t>
        </is>
      </c>
    </row>
    <row r="1061">
      <c r="A1061" t="inlineStr">
        <is>
          <t>J198</t>
        </is>
      </c>
      <c r="B1061" t="inlineStr">
        <is>
          <t>Biological/life sciences</t>
        </is>
      </c>
      <c r="C1061">
        <f>IFERROR(IF(VLOOKUP($A1061,'CDS-J'!$A:$L,3,FALSE)="","",(VLOOKUP($A1061,'CDS-J'!$A:$L,3,FALSE))),"")</f>
        <v/>
      </c>
      <c r="D1061" t="inlineStr">
        <is>
          <t>Disciplinary Areas of Degrees Conferred</t>
        </is>
      </c>
      <c r="E1061" t="inlineStr">
        <is>
          <t>Bachelors</t>
        </is>
      </c>
      <c r="F1061" t="n">
        <v>26</v>
      </c>
      <c r="G1061" t="inlineStr">
        <is>
          <t>Undergraduates</t>
        </is>
      </c>
      <c r="H1061" t="inlineStr">
        <is>
          <t>All</t>
        </is>
      </c>
      <c r="I1061" t="inlineStr">
        <is>
          <t>All</t>
        </is>
      </c>
      <c r="J1061" t="inlineStr">
        <is>
          <t>All</t>
        </is>
      </c>
      <c r="K1061" t="inlineStr">
        <is>
          <t>All</t>
        </is>
      </c>
      <c r="L1061" t="inlineStr">
        <is>
          <t>Whole Number or Round to Nearest Tenths</t>
        </is>
      </c>
    </row>
    <row r="1062">
      <c r="A1062" t="inlineStr">
        <is>
          <t>J199</t>
        </is>
      </c>
      <c r="B1062" t="inlineStr">
        <is>
          <t>Mathematics and statistics</t>
        </is>
      </c>
      <c r="C1062">
        <f>IFERROR(IF(VLOOKUP($A1062,'CDS-J'!$A:$L,3,FALSE)="","",(VLOOKUP($A1062,'CDS-J'!$A:$L,3,FALSE))),"")</f>
        <v/>
      </c>
      <c r="D1062" t="inlineStr">
        <is>
          <t>Disciplinary Areas of Degrees Conferred</t>
        </is>
      </c>
      <c r="E1062" t="inlineStr">
        <is>
          <t>Bachelors</t>
        </is>
      </c>
      <c r="F1062" t="n">
        <v>27</v>
      </c>
      <c r="G1062" t="inlineStr">
        <is>
          <t>Undergraduates</t>
        </is>
      </c>
      <c r="H1062" t="inlineStr">
        <is>
          <t>All</t>
        </is>
      </c>
      <c r="I1062" t="inlineStr">
        <is>
          <t>All</t>
        </is>
      </c>
      <c r="J1062" t="inlineStr">
        <is>
          <t>All</t>
        </is>
      </c>
      <c r="K1062" t="inlineStr">
        <is>
          <t>All</t>
        </is>
      </c>
      <c r="L1062" t="inlineStr">
        <is>
          <t>Whole Number or Round to Nearest Tenths</t>
        </is>
      </c>
    </row>
    <row r="1063">
      <c r="A1063" t="inlineStr">
        <is>
          <t>J200</t>
        </is>
      </c>
      <c r="B1063" t="inlineStr">
        <is>
          <t>Military science and military technologies</t>
        </is>
      </c>
      <c r="C1063">
        <f>IFERROR(IF(VLOOKUP($A1063,'CDS-J'!$A:$L,3,FALSE)="","",(VLOOKUP($A1063,'CDS-J'!$A:$L,3,FALSE))),"")</f>
        <v/>
      </c>
      <c r="D1063" t="inlineStr">
        <is>
          <t>Disciplinary Areas of Degrees Conferred</t>
        </is>
      </c>
      <c r="E1063" t="inlineStr">
        <is>
          <t>Bachelors</t>
        </is>
      </c>
      <c r="F1063" t="inlineStr">
        <is>
          <t>28 &amp; 29</t>
        </is>
      </c>
      <c r="G1063" t="inlineStr">
        <is>
          <t>Undergraduates</t>
        </is>
      </c>
      <c r="H1063" t="inlineStr">
        <is>
          <t>All</t>
        </is>
      </c>
      <c r="I1063" t="inlineStr">
        <is>
          <t>All</t>
        </is>
      </c>
      <c r="J1063" t="inlineStr">
        <is>
          <t>All</t>
        </is>
      </c>
      <c r="K1063" t="inlineStr">
        <is>
          <t>All</t>
        </is>
      </c>
      <c r="L1063" t="inlineStr">
        <is>
          <t>Whole Number or Round to Nearest Tenths</t>
        </is>
      </c>
    </row>
    <row r="1064">
      <c r="A1064" t="inlineStr">
        <is>
          <t>J201</t>
        </is>
      </c>
      <c r="B1064" t="inlineStr">
        <is>
          <t>Interdisciplinary studies</t>
        </is>
      </c>
      <c r="C1064">
        <f>IFERROR(IF(VLOOKUP($A1064,'CDS-J'!$A:$L,3,FALSE)="","",(VLOOKUP($A1064,'CDS-J'!$A:$L,3,FALSE))),"")</f>
        <v/>
      </c>
      <c r="D1064" t="inlineStr">
        <is>
          <t>Disciplinary Areas of Degrees Conferred</t>
        </is>
      </c>
      <c r="E1064" t="inlineStr">
        <is>
          <t>Bachelors</t>
        </is>
      </c>
      <c r="F1064" t="n">
        <v>30</v>
      </c>
      <c r="G1064" t="inlineStr">
        <is>
          <t>Undergraduates</t>
        </is>
      </c>
      <c r="H1064" t="inlineStr">
        <is>
          <t>All</t>
        </is>
      </c>
      <c r="I1064" t="inlineStr">
        <is>
          <t>All</t>
        </is>
      </c>
      <c r="J1064" t="inlineStr">
        <is>
          <t>All</t>
        </is>
      </c>
      <c r="K1064" t="inlineStr">
        <is>
          <t>All</t>
        </is>
      </c>
      <c r="L1064" t="inlineStr">
        <is>
          <t>Whole Number or Round to Nearest Tenths</t>
        </is>
      </c>
    </row>
    <row r="1065">
      <c r="A1065" t="inlineStr">
        <is>
          <t>J202</t>
        </is>
      </c>
      <c r="B1065" t="inlineStr">
        <is>
          <t>Parks and recreation</t>
        </is>
      </c>
      <c r="C1065">
        <f>IFERROR(IF(VLOOKUP($A1065,'CDS-J'!$A:$L,3,FALSE)="","",(VLOOKUP($A1065,'CDS-J'!$A:$L,3,FALSE))),"")</f>
        <v/>
      </c>
      <c r="D1065" t="inlineStr">
        <is>
          <t>Disciplinary Areas of Degrees Conferred</t>
        </is>
      </c>
      <c r="E1065" t="inlineStr">
        <is>
          <t>Bachelors</t>
        </is>
      </c>
      <c r="F1065" t="n">
        <v>31</v>
      </c>
      <c r="G1065" t="inlineStr">
        <is>
          <t>Undergraduates</t>
        </is>
      </c>
      <c r="H1065" t="inlineStr">
        <is>
          <t>All</t>
        </is>
      </c>
      <c r="I1065" t="inlineStr">
        <is>
          <t>All</t>
        </is>
      </c>
      <c r="J1065" t="inlineStr">
        <is>
          <t>All</t>
        </is>
      </c>
      <c r="K1065" t="inlineStr">
        <is>
          <t>All</t>
        </is>
      </c>
      <c r="L1065" t="inlineStr">
        <is>
          <t>Whole Number or Round to Nearest Tenths</t>
        </is>
      </c>
    </row>
    <row r="1066">
      <c r="A1066" t="inlineStr">
        <is>
          <t>J203</t>
        </is>
      </c>
      <c r="B1066" t="inlineStr">
        <is>
          <t>Philosophy and religious studies</t>
        </is>
      </c>
      <c r="C1066">
        <f>IFERROR(IF(VLOOKUP($A1066,'CDS-J'!$A:$L,3,FALSE)="","",(VLOOKUP($A1066,'CDS-J'!$A:$L,3,FALSE))),"")</f>
        <v/>
      </c>
      <c r="D1066" t="inlineStr">
        <is>
          <t>Disciplinary Areas of Degrees Conferred</t>
        </is>
      </c>
      <c r="E1066" t="inlineStr">
        <is>
          <t>Bachelors</t>
        </is>
      </c>
      <c r="F1066" t="n">
        <v>38</v>
      </c>
      <c r="G1066" t="inlineStr">
        <is>
          <t>Undergraduates</t>
        </is>
      </c>
      <c r="H1066" t="inlineStr">
        <is>
          <t>All</t>
        </is>
      </c>
      <c r="I1066" t="inlineStr">
        <is>
          <t>All</t>
        </is>
      </c>
      <c r="J1066" t="inlineStr">
        <is>
          <t>All</t>
        </is>
      </c>
      <c r="K1066" t="inlineStr">
        <is>
          <t>All</t>
        </is>
      </c>
      <c r="L1066" t="inlineStr">
        <is>
          <t>Whole Number or Round to Nearest Tenths</t>
        </is>
      </c>
    </row>
    <row r="1067">
      <c r="A1067" t="inlineStr">
        <is>
          <t>J204</t>
        </is>
      </c>
      <c r="B1067" t="inlineStr">
        <is>
          <t>Theology and religious vocations</t>
        </is>
      </c>
      <c r="C1067">
        <f>IFERROR(IF(VLOOKUP($A1067,'CDS-J'!$A:$L,3,FALSE)="","",(VLOOKUP($A1067,'CDS-J'!$A:$L,3,FALSE))),"")</f>
        <v/>
      </c>
      <c r="D1067" t="inlineStr">
        <is>
          <t>Disciplinary Areas of Degrees Conferred</t>
        </is>
      </c>
      <c r="E1067" t="inlineStr">
        <is>
          <t>Bachelors</t>
        </is>
      </c>
      <c r="F1067" t="n">
        <v>39</v>
      </c>
      <c r="G1067" t="inlineStr">
        <is>
          <t>Undergraduates</t>
        </is>
      </c>
      <c r="H1067" t="inlineStr">
        <is>
          <t>All</t>
        </is>
      </c>
      <c r="I1067" t="inlineStr">
        <is>
          <t>All</t>
        </is>
      </c>
      <c r="J1067" t="inlineStr">
        <is>
          <t>All</t>
        </is>
      </c>
      <c r="K1067" t="inlineStr">
        <is>
          <t>All</t>
        </is>
      </c>
      <c r="L1067" t="inlineStr">
        <is>
          <t>Whole Number or Round to Nearest Tenths</t>
        </is>
      </c>
    </row>
    <row r="1068">
      <c r="A1068" t="inlineStr">
        <is>
          <t>J205</t>
        </is>
      </c>
      <c r="B1068" t="inlineStr">
        <is>
          <t>Physical sciences</t>
        </is>
      </c>
      <c r="C1068">
        <f>IFERROR(IF(VLOOKUP($A1068,'CDS-J'!$A:$L,3,FALSE)="","",(VLOOKUP($A1068,'CDS-J'!$A:$L,3,FALSE))),"")</f>
        <v/>
      </c>
      <c r="D1068" t="inlineStr">
        <is>
          <t>Disciplinary Areas of Degrees Conferred</t>
        </is>
      </c>
      <c r="E1068" t="inlineStr">
        <is>
          <t>Bachelors</t>
        </is>
      </c>
      <c r="F1068" t="n">
        <v>40</v>
      </c>
      <c r="G1068" t="inlineStr">
        <is>
          <t>Undergraduates</t>
        </is>
      </c>
      <c r="H1068" t="inlineStr">
        <is>
          <t>All</t>
        </is>
      </c>
      <c r="I1068" t="inlineStr">
        <is>
          <t>All</t>
        </is>
      </c>
      <c r="J1068" t="inlineStr">
        <is>
          <t>All</t>
        </is>
      </c>
      <c r="K1068" t="inlineStr">
        <is>
          <t>All</t>
        </is>
      </c>
      <c r="L1068" t="inlineStr">
        <is>
          <t>Whole Number or Round to Nearest Tenths</t>
        </is>
      </c>
    </row>
    <row r="1069">
      <c r="A1069" t="inlineStr">
        <is>
          <t>J206</t>
        </is>
      </c>
      <c r="B1069" t="inlineStr">
        <is>
          <t>Science technologies</t>
        </is>
      </c>
      <c r="C1069">
        <f>IFERROR(IF(VLOOKUP($A1069,'CDS-J'!$A:$L,3,FALSE)="","",(VLOOKUP($A1069,'CDS-J'!$A:$L,3,FALSE))),"")</f>
        <v/>
      </c>
      <c r="D1069" t="inlineStr">
        <is>
          <t>Disciplinary Areas of Degrees Conferred</t>
        </is>
      </c>
      <c r="E1069" t="inlineStr">
        <is>
          <t>Bachelors</t>
        </is>
      </c>
      <c r="F1069" t="n">
        <v>41</v>
      </c>
      <c r="G1069" t="inlineStr">
        <is>
          <t>Undergraduates</t>
        </is>
      </c>
      <c r="H1069" t="inlineStr">
        <is>
          <t>All</t>
        </is>
      </c>
      <c r="I1069" t="inlineStr">
        <is>
          <t>All</t>
        </is>
      </c>
      <c r="J1069" t="inlineStr">
        <is>
          <t>All</t>
        </is>
      </c>
      <c r="K1069" t="inlineStr">
        <is>
          <t>All</t>
        </is>
      </c>
      <c r="L1069" t="inlineStr">
        <is>
          <t>Whole Number or Round to Nearest Tenths</t>
        </is>
      </c>
    </row>
    <row r="1070">
      <c r="A1070" t="inlineStr">
        <is>
          <t>J207</t>
        </is>
      </c>
      <c r="B1070" t="inlineStr">
        <is>
          <t>Psychology</t>
        </is>
      </c>
      <c r="C1070">
        <f>IFERROR(IF(VLOOKUP($A1070,'CDS-J'!$A:$L,3,FALSE)="","",(VLOOKUP($A1070,'CDS-J'!$A:$L,3,FALSE))),"")</f>
        <v/>
      </c>
      <c r="D1070" t="inlineStr">
        <is>
          <t>Disciplinary Areas of Degrees Conferred</t>
        </is>
      </c>
      <c r="E1070" t="inlineStr">
        <is>
          <t>Bachelors</t>
        </is>
      </c>
      <c r="F1070" t="n">
        <v>42</v>
      </c>
      <c r="G1070" t="inlineStr">
        <is>
          <t>Undergraduates</t>
        </is>
      </c>
      <c r="H1070" t="inlineStr">
        <is>
          <t>All</t>
        </is>
      </c>
      <c r="I1070" t="inlineStr">
        <is>
          <t>All</t>
        </is>
      </c>
      <c r="J1070" t="inlineStr">
        <is>
          <t>All</t>
        </is>
      </c>
      <c r="K1070" t="inlineStr">
        <is>
          <t>All</t>
        </is>
      </c>
      <c r="L1070" t="inlineStr">
        <is>
          <t>Whole Number or Round to Nearest Tenths</t>
        </is>
      </c>
    </row>
    <row r="1071">
      <c r="A1071" t="inlineStr">
        <is>
          <t>J208</t>
        </is>
      </c>
      <c r="B1071" t="inlineStr">
        <is>
          <t>Homeland Security, law enforcement, firefighting, and protective services</t>
        </is>
      </c>
      <c r="C1071">
        <f>IFERROR(IF(VLOOKUP($A1071,'CDS-J'!$A:$L,3,FALSE)="","",(VLOOKUP($A1071,'CDS-J'!$A:$L,3,FALSE))),"")</f>
        <v/>
      </c>
      <c r="D1071" t="inlineStr">
        <is>
          <t>Disciplinary Areas of Degrees Conferred</t>
        </is>
      </c>
      <c r="E1071" t="inlineStr">
        <is>
          <t>Bachelors</t>
        </is>
      </c>
      <c r="F1071" t="n">
        <v>43</v>
      </c>
      <c r="G1071" t="inlineStr">
        <is>
          <t>Undergraduates</t>
        </is>
      </c>
      <c r="H1071" t="inlineStr">
        <is>
          <t>All</t>
        </is>
      </c>
      <c r="I1071" t="inlineStr">
        <is>
          <t>All</t>
        </is>
      </c>
      <c r="J1071" t="inlineStr">
        <is>
          <t>All</t>
        </is>
      </c>
      <c r="K1071" t="inlineStr">
        <is>
          <t>All</t>
        </is>
      </c>
      <c r="L1071" t="inlineStr">
        <is>
          <t>Whole Number or Round to Nearest Tenths</t>
        </is>
      </c>
    </row>
    <row r="1072">
      <c r="A1072" t="inlineStr">
        <is>
          <t>J209</t>
        </is>
      </c>
      <c r="B1072" t="inlineStr">
        <is>
          <t>Public administration and social services</t>
        </is>
      </c>
      <c r="C1072">
        <f>IFERROR(IF(VLOOKUP($A1072,'CDS-J'!$A:$L,3,FALSE)="","",(VLOOKUP($A1072,'CDS-J'!$A:$L,3,FALSE))),"")</f>
        <v/>
      </c>
      <c r="D1072" t="inlineStr">
        <is>
          <t>Disciplinary Areas of Degrees Conferred</t>
        </is>
      </c>
      <c r="E1072" t="inlineStr">
        <is>
          <t>Bachelors</t>
        </is>
      </c>
      <c r="F1072" t="n">
        <v>44</v>
      </c>
      <c r="G1072" t="inlineStr">
        <is>
          <t>Undergraduates</t>
        </is>
      </c>
      <c r="H1072" t="inlineStr">
        <is>
          <t>All</t>
        </is>
      </c>
      <c r="I1072" t="inlineStr">
        <is>
          <t>All</t>
        </is>
      </c>
      <c r="J1072" t="inlineStr">
        <is>
          <t>All</t>
        </is>
      </c>
      <c r="K1072" t="inlineStr">
        <is>
          <t>All</t>
        </is>
      </c>
      <c r="L1072" t="inlineStr">
        <is>
          <t>Whole Number or Round to Nearest Tenths</t>
        </is>
      </c>
    </row>
    <row r="1073">
      <c r="A1073" t="inlineStr">
        <is>
          <t>J210</t>
        </is>
      </c>
      <c r="B1073" t="inlineStr">
        <is>
          <t xml:space="preserve">Social sciences </t>
        </is>
      </c>
      <c r="C1073">
        <f>IFERROR(IF(VLOOKUP($A1073,'CDS-J'!$A:$L,3,FALSE)="","",(VLOOKUP($A1073,'CDS-J'!$A:$L,3,FALSE))),"")</f>
        <v/>
      </c>
      <c r="D1073" t="inlineStr">
        <is>
          <t>Disciplinary Areas of Degrees Conferred</t>
        </is>
      </c>
      <c r="E1073" t="inlineStr">
        <is>
          <t>Bachelors</t>
        </is>
      </c>
      <c r="F1073" t="n">
        <v>45</v>
      </c>
      <c r="G1073" t="inlineStr">
        <is>
          <t>Undergraduates</t>
        </is>
      </c>
      <c r="H1073" t="inlineStr">
        <is>
          <t>All</t>
        </is>
      </c>
      <c r="I1073" t="inlineStr">
        <is>
          <t>All</t>
        </is>
      </c>
      <c r="J1073" t="inlineStr">
        <is>
          <t>All</t>
        </is>
      </c>
      <c r="K1073" t="inlineStr">
        <is>
          <t>All</t>
        </is>
      </c>
      <c r="L1073" t="inlineStr">
        <is>
          <t>Whole Number or Round to Nearest Tenths</t>
        </is>
      </c>
    </row>
    <row r="1074">
      <c r="A1074" t="inlineStr">
        <is>
          <t>J211</t>
        </is>
      </c>
      <c r="B1074" t="inlineStr">
        <is>
          <t>Construction trades</t>
        </is>
      </c>
      <c r="C1074">
        <f>IFERROR(IF(VLOOKUP($A1074,'CDS-J'!$A:$L,3,FALSE)="","",(VLOOKUP($A1074,'CDS-J'!$A:$L,3,FALSE))),"")</f>
        <v/>
      </c>
      <c r="D1074" t="inlineStr">
        <is>
          <t>Disciplinary Areas of Degrees Conferred</t>
        </is>
      </c>
      <c r="E1074" t="inlineStr">
        <is>
          <t>Bachelors</t>
        </is>
      </c>
      <c r="F1074" t="n">
        <v>46</v>
      </c>
      <c r="G1074" t="inlineStr">
        <is>
          <t>Undergraduates</t>
        </is>
      </c>
      <c r="H1074" t="inlineStr">
        <is>
          <t>All</t>
        </is>
      </c>
      <c r="I1074" t="inlineStr">
        <is>
          <t>All</t>
        </is>
      </c>
      <c r="J1074" t="inlineStr">
        <is>
          <t>All</t>
        </is>
      </c>
      <c r="K1074" t="inlineStr">
        <is>
          <t>All</t>
        </is>
      </c>
      <c r="L1074" t="inlineStr">
        <is>
          <t>Whole Number or Round to Nearest Tenths</t>
        </is>
      </c>
    </row>
    <row r="1075">
      <c r="A1075" t="inlineStr">
        <is>
          <t>J212</t>
        </is>
      </c>
      <c r="B1075" t="inlineStr">
        <is>
          <t>Mechanic and repair technologies</t>
        </is>
      </c>
      <c r="C1075">
        <f>IFERROR(IF(VLOOKUP($A1075,'CDS-J'!$A:$L,3,FALSE)="","",(VLOOKUP($A1075,'CDS-J'!$A:$L,3,FALSE))),"")</f>
        <v/>
      </c>
      <c r="D1075" t="inlineStr">
        <is>
          <t>Disciplinary Areas of Degrees Conferred</t>
        </is>
      </c>
      <c r="E1075" t="inlineStr">
        <is>
          <t>Bachelors</t>
        </is>
      </c>
      <c r="F1075" t="n">
        <v>47</v>
      </c>
      <c r="G1075" t="inlineStr">
        <is>
          <t>Undergraduates</t>
        </is>
      </c>
      <c r="H1075" t="inlineStr">
        <is>
          <t>All</t>
        </is>
      </c>
      <c r="I1075" t="inlineStr">
        <is>
          <t>All</t>
        </is>
      </c>
      <c r="J1075" t="inlineStr">
        <is>
          <t>All</t>
        </is>
      </c>
      <c r="K1075" t="inlineStr">
        <is>
          <t>All</t>
        </is>
      </c>
      <c r="L1075" t="inlineStr">
        <is>
          <t>Whole Number or Round to Nearest Tenths</t>
        </is>
      </c>
    </row>
    <row r="1076">
      <c r="A1076" t="inlineStr">
        <is>
          <t>J213</t>
        </is>
      </c>
      <c r="B1076" t="inlineStr">
        <is>
          <t>Precision production</t>
        </is>
      </c>
      <c r="C1076">
        <f>IFERROR(IF(VLOOKUP($A1076,'CDS-J'!$A:$L,3,FALSE)="","",(VLOOKUP($A1076,'CDS-J'!$A:$L,3,FALSE))),"")</f>
        <v/>
      </c>
      <c r="D1076" t="inlineStr">
        <is>
          <t>Disciplinary Areas of Degrees Conferred</t>
        </is>
      </c>
      <c r="E1076" t="inlineStr">
        <is>
          <t>Bachelors</t>
        </is>
      </c>
      <c r="F1076" t="n">
        <v>48</v>
      </c>
      <c r="G1076" t="inlineStr">
        <is>
          <t>Undergraduates</t>
        </is>
      </c>
      <c r="H1076" t="inlineStr">
        <is>
          <t>All</t>
        </is>
      </c>
      <c r="I1076" t="inlineStr">
        <is>
          <t>All</t>
        </is>
      </c>
      <c r="J1076" t="inlineStr">
        <is>
          <t>All</t>
        </is>
      </c>
      <c r="K1076" t="inlineStr">
        <is>
          <t>All</t>
        </is>
      </c>
      <c r="L1076" t="inlineStr">
        <is>
          <t>Whole Number or Round to Nearest Tenths</t>
        </is>
      </c>
    </row>
    <row r="1077">
      <c r="A1077" t="inlineStr">
        <is>
          <t>J214</t>
        </is>
      </c>
      <c r="B1077" t="inlineStr">
        <is>
          <t>Transportation and materials moving</t>
        </is>
      </c>
      <c r="C1077">
        <f>IFERROR(IF(VLOOKUP($A1077,'CDS-J'!$A:$L,3,FALSE)="","",(VLOOKUP($A1077,'CDS-J'!$A:$L,3,FALSE))),"")</f>
        <v/>
      </c>
      <c r="D1077" t="inlineStr">
        <is>
          <t>Disciplinary Areas of Degrees Conferred</t>
        </is>
      </c>
      <c r="E1077" t="inlineStr">
        <is>
          <t>Bachelors</t>
        </is>
      </c>
      <c r="F1077" t="n">
        <v>49</v>
      </c>
      <c r="G1077" t="inlineStr">
        <is>
          <t>Undergraduates</t>
        </is>
      </c>
      <c r="H1077" t="inlineStr">
        <is>
          <t>All</t>
        </is>
      </c>
      <c r="I1077" t="inlineStr">
        <is>
          <t>All</t>
        </is>
      </c>
      <c r="J1077" t="inlineStr">
        <is>
          <t>All</t>
        </is>
      </c>
      <c r="K1077" t="inlineStr">
        <is>
          <t>All</t>
        </is>
      </c>
      <c r="L1077" t="inlineStr">
        <is>
          <t>Whole Number or Round to Nearest Tenths</t>
        </is>
      </c>
    </row>
    <row r="1078">
      <c r="A1078" t="inlineStr">
        <is>
          <t>J215</t>
        </is>
      </c>
      <c r="B1078" t="inlineStr">
        <is>
          <t>Visual and performing arts</t>
        </is>
      </c>
      <c r="C1078">
        <f>IFERROR(IF(VLOOKUP($A1078,'CDS-J'!$A:$L,3,FALSE)="","",(VLOOKUP($A1078,'CDS-J'!$A:$L,3,FALSE))),"")</f>
        <v/>
      </c>
      <c r="D1078" t="inlineStr">
        <is>
          <t>Disciplinary Areas of Degrees Conferred</t>
        </is>
      </c>
      <c r="E1078" t="inlineStr">
        <is>
          <t>Bachelors</t>
        </is>
      </c>
      <c r="F1078" t="n">
        <v>50</v>
      </c>
      <c r="G1078" t="inlineStr">
        <is>
          <t>Undergraduates</t>
        </is>
      </c>
      <c r="H1078" t="inlineStr">
        <is>
          <t>All</t>
        </is>
      </c>
      <c r="I1078" t="inlineStr">
        <is>
          <t>All</t>
        </is>
      </c>
      <c r="J1078" t="inlineStr">
        <is>
          <t>All</t>
        </is>
      </c>
      <c r="K1078" t="inlineStr">
        <is>
          <t>All</t>
        </is>
      </c>
      <c r="L1078" t="inlineStr">
        <is>
          <t>Whole Number or Round to Nearest Tenths</t>
        </is>
      </c>
    </row>
    <row r="1079">
      <c r="A1079" t="inlineStr">
        <is>
          <t>J216</t>
        </is>
      </c>
      <c r="B1079" t="inlineStr">
        <is>
          <t>Health professions and related programs</t>
        </is>
      </c>
      <c r="C1079">
        <f>IFERROR(IF(VLOOKUP($A1079,'CDS-J'!$A:$L,3,FALSE)="","",(VLOOKUP($A1079,'CDS-J'!$A:$L,3,FALSE))),"")</f>
        <v/>
      </c>
      <c r="D1079" t="inlineStr">
        <is>
          <t>Disciplinary Areas of Degrees Conferred</t>
        </is>
      </c>
      <c r="E1079" t="inlineStr">
        <is>
          <t>Bachelors</t>
        </is>
      </c>
      <c r="F1079" t="n">
        <v>51</v>
      </c>
      <c r="G1079" t="inlineStr">
        <is>
          <t>Undergraduates</t>
        </is>
      </c>
      <c r="H1079" t="inlineStr">
        <is>
          <t>All</t>
        </is>
      </c>
      <c r="I1079" t="inlineStr">
        <is>
          <t>All</t>
        </is>
      </c>
      <c r="J1079" t="inlineStr">
        <is>
          <t>All</t>
        </is>
      </c>
      <c r="K1079" t="inlineStr">
        <is>
          <t>All</t>
        </is>
      </c>
      <c r="L1079" t="inlineStr">
        <is>
          <t>Whole Number or Round to Nearest Tenths</t>
        </is>
      </c>
    </row>
    <row r="1080">
      <c r="A1080" t="inlineStr">
        <is>
          <t>J217</t>
        </is>
      </c>
      <c r="B1080" t="inlineStr">
        <is>
          <t>Business/marketing</t>
        </is>
      </c>
      <c r="C1080">
        <f>IFERROR(IF(VLOOKUP($A1080,'CDS-J'!$A:$L,3,FALSE)="","",(VLOOKUP($A1080,'CDS-J'!$A:$L,3,FALSE))),"")</f>
        <v/>
      </c>
      <c r="D1080" t="inlineStr">
        <is>
          <t>Disciplinary Areas of Degrees Conferred</t>
        </is>
      </c>
      <c r="E1080" t="inlineStr">
        <is>
          <t>Bachelors</t>
        </is>
      </c>
      <c r="F1080" t="n">
        <v>52</v>
      </c>
      <c r="G1080" t="inlineStr">
        <is>
          <t>Undergraduates</t>
        </is>
      </c>
      <c r="H1080" t="inlineStr">
        <is>
          <t>All</t>
        </is>
      </c>
      <c r="I1080" t="inlineStr">
        <is>
          <t>All</t>
        </is>
      </c>
      <c r="J1080" t="inlineStr">
        <is>
          <t>All</t>
        </is>
      </c>
      <c r="K1080" t="inlineStr">
        <is>
          <t>All</t>
        </is>
      </c>
      <c r="L1080" t="inlineStr">
        <is>
          <t>Whole Number or Round to Nearest Tenths</t>
        </is>
      </c>
    </row>
    <row r="1081">
      <c r="A1081" t="inlineStr">
        <is>
          <t>J218</t>
        </is>
      </c>
      <c r="B1081" t="inlineStr">
        <is>
          <t>History</t>
        </is>
      </c>
      <c r="C1081">
        <f>IFERROR(IF(VLOOKUP($A1081,'CDS-J'!$A:$L,3,FALSE)="","",(VLOOKUP($A1081,'CDS-J'!$A:$L,3,FALSE))),"")</f>
        <v/>
      </c>
      <c r="D1081" t="inlineStr">
        <is>
          <t>Disciplinary Areas of Degrees Conferred</t>
        </is>
      </c>
      <c r="E1081" t="inlineStr">
        <is>
          <t>Bachelors</t>
        </is>
      </c>
      <c r="F1081" t="n">
        <v>54</v>
      </c>
      <c r="G1081" t="inlineStr">
        <is>
          <t>Undergraduates</t>
        </is>
      </c>
      <c r="H1081" t="inlineStr">
        <is>
          <t>All</t>
        </is>
      </c>
      <c r="I1081" t="inlineStr">
        <is>
          <t>All</t>
        </is>
      </c>
      <c r="J1081" t="inlineStr">
        <is>
          <t>All</t>
        </is>
      </c>
      <c r="K1081" t="inlineStr">
        <is>
          <t>All</t>
        </is>
      </c>
      <c r="L1081" t="inlineStr">
        <is>
          <t>Whole Number or Round to Nearest Tenths</t>
        </is>
      </c>
    </row>
    <row r="1082">
      <c r="A1082" t="inlineStr">
        <is>
          <t>J219</t>
        </is>
      </c>
      <c r="B1082" t="inlineStr">
        <is>
          <t>Other</t>
        </is>
      </c>
      <c r="C1082">
        <f>IFERROR(IF(VLOOKUP($A1082,'CDS-J'!$A:$L,3,FALSE)="","",(VLOOKUP($A1082,'CDS-J'!$A:$L,3,FALSE))),"")</f>
        <v/>
      </c>
      <c r="D1082" t="inlineStr">
        <is>
          <t>Disciplinary Areas of Degrees Conferred</t>
        </is>
      </c>
      <c r="E1082" t="inlineStr">
        <is>
          <t>Bachelors</t>
        </is>
      </c>
      <c r="F1082" t="inlineStr">
        <is>
          <t>Other</t>
        </is>
      </c>
      <c r="G1082" t="inlineStr">
        <is>
          <t>Undergraduates</t>
        </is>
      </c>
      <c r="H1082" t="inlineStr">
        <is>
          <t>All</t>
        </is>
      </c>
      <c r="I1082" t="inlineStr">
        <is>
          <t>All</t>
        </is>
      </c>
      <c r="J1082" t="inlineStr">
        <is>
          <t>All</t>
        </is>
      </c>
      <c r="K1082" t="inlineStr">
        <is>
          <t>All</t>
        </is>
      </c>
      <c r="L1082" t="inlineStr">
        <is>
          <t>Whole Number or Round to Nearest Tenths</t>
        </is>
      </c>
    </row>
    <row r="1083">
      <c r="A1083" t="inlineStr">
        <is>
          <t>J220</t>
        </is>
      </c>
      <c r="B1083" t="inlineStr">
        <is>
          <t>TOTAL (should = 100%)</t>
        </is>
      </c>
      <c r="C1083">
        <f>IFERROR(IF(VLOOKUP($A1083,'CDS-J'!$A:$L,3,FALSE)="","",(VLOOKUP($A1083,'CDS-J'!$A:$L,3,FALSE))),"")</f>
        <v/>
      </c>
      <c r="D1083" t="inlineStr">
        <is>
          <t>Disciplinary Areas of Degrees Conferred</t>
        </is>
      </c>
      <c r="E1083" t="inlineStr">
        <is>
          <t>Bachelors</t>
        </is>
      </c>
      <c r="F1083" t="inlineStr">
        <is>
          <t>Total</t>
        </is>
      </c>
      <c r="G1083" t="inlineStr">
        <is>
          <t>Undergraduates</t>
        </is>
      </c>
      <c r="H1083" t="inlineStr">
        <is>
          <t>All</t>
        </is>
      </c>
      <c r="I1083" t="inlineStr">
        <is>
          <t>All</t>
        </is>
      </c>
      <c r="J1083" t="inlineStr">
        <is>
          <t>All</t>
        </is>
      </c>
      <c r="K1083" t="inlineStr">
        <is>
          <t>All</t>
        </is>
      </c>
      <c r="L1083" t="inlineStr">
        <is>
          <t>Whole Number or Round to Nearest Tenths</t>
        </is>
      </c>
    </row>
  </sheetData>
  <autoFilter ref="A1:L108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Robinson-Spann, Ashley</dc:creator>
  <dcterms:created xsi:type="dcterms:W3CDTF">2024-07-17T17:07:09Z</dcterms:created>
  <dcterms:modified xsi:type="dcterms:W3CDTF">2025-11-27T12:43:56Z</dcterms:modified>
  <cp:lastModifiedBy>Sara Lazenby</cp:lastModifiedBy>
</cp:coreProperties>
</file>
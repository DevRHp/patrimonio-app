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5440" windowHeight="15390" tabRatio="600" firstSheet="0" activeTab="0" autoFilterDateGrouping="1"/>
  </bookViews>
  <sheets>
    <sheet name="CDS-A" sheetId="1" state="visible" r:id="rId1"/>
    <sheet name="CDS-B" sheetId="2" state="visible" r:id="rId2"/>
    <sheet name="CDS-C" sheetId="3" state="visible" r:id="rId3"/>
    <sheet name="CDS-D" sheetId="4" state="visible" r:id="rId4"/>
    <sheet name="CDS-E" sheetId="5" state="visible" r:id="rId5"/>
    <sheet name="CDS-F" sheetId="6" state="visible" r:id="rId6"/>
    <sheet name="CDS-G" sheetId="7" state="visible" r:id="rId7"/>
    <sheet name="CDS-H" sheetId="8" state="visible" r:id="rId8"/>
    <sheet name="CDS-I" sheetId="9" state="visible" r:id="rId9"/>
    <sheet name="CDS-J" sheetId="10" state="visible" r:id="rId10"/>
    <sheet name="CDS Definitions" sheetId="11" state="visible" r:id="rId11"/>
  </sheets>
  <definedNames>
    <definedName name="Z_C376AAF7_6CF7_A44F_821A_9B8B69155ECB_.wvu.FilterData" localSheetId="0" hidden="1">'CDS-A'!$A$1:$L$77</definedName>
    <definedName name="_xlnm._FilterDatabase" localSheetId="0" hidden="1">'CDS-A'!$A$1:$L$77</definedName>
    <definedName name="Z_C376AAF7_6CF7_A44F_821A_9B8B69155ECB_.wvu.FilterData" localSheetId="1" hidden="1">'CDS-B'!$A$1:$C$432</definedName>
    <definedName name="_xlnm._FilterDatabase" localSheetId="1" hidden="1">'CDS-B'!$A$1:$L$432</definedName>
    <definedName name="Z_C376AAF7_6CF7_A44F_821A_9B8B69155ECB_.wvu.FilterData" localSheetId="2" hidden="1">'CDS-C'!$A$1:$C$592</definedName>
    <definedName name="_xlnm._FilterDatabase" localSheetId="2" hidden="1">'CDS-C'!$A$1:$L$592</definedName>
    <definedName name="Z_C376AAF7_6CF7_A44F_821A_9B8B69155ECB_.wvu.FilterData" localSheetId="3" hidden="1">'CDS-D'!$A$1:$C$177</definedName>
    <definedName name="_xlnm._FilterDatabase" localSheetId="3" hidden="1">'CDS-D'!$A$1:$L$177</definedName>
    <definedName name="Z_C376AAF7_6CF7_A44F_821A_9B8B69155ECB_.wvu.FilterData" localSheetId="4" hidden="1">'CDS-E'!$A$1:$C$59</definedName>
    <definedName name="_xlnm._FilterDatabase" localSheetId="4" hidden="1">'CDS-E'!$A$1:$L$59</definedName>
    <definedName name="Z_C376AAF7_6CF7_A44F_821A_9B8B69155ECB_.wvu.FilterData" localSheetId="5" hidden="1">'CDS-F'!$A$1:$C$101</definedName>
    <definedName name="_xlnm._FilterDatabase" localSheetId="5" hidden="1">'CDS-F'!$A$1:$L$101</definedName>
    <definedName name="Z_C376AAF7_6CF7_A44F_821A_9B8B69155ECB_.wvu.FilterData" localSheetId="6" hidden="1">'CDS-G'!$A$1:$C$109</definedName>
    <definedName name="_xlnm._FilterDatabase" localSheetId="6" hidden="1">'CDS-G'!$A$1:$L$109</definedName>
    <definedName name="Z_C376AAF7_6CF7_A44F_821A_9B8B69155ECB_.wvu.FilterData" localSheetId="7" hidden="1">'CDS-H'!$A$1:$C$397</definedName>
    <definedName name="_xlnm._FilterDatabase" localSheetId="7" hidden="1">'CDS-H'!$A$1:$L$415</definedName>
    <definedName name="Z_C376AAF7_6CF7_A44F_821A_9B8B69155ECB_.wvu.FilterData" localSheetId="8" hidden="1">'CDS-I'!$A$1:$C$152</definedName>
    <definedName name="_xlnm._FilterDatabase" localSheetId="8" hidden="1">'CDS-I'!$A$1:$L$152</definedName>
    <definedName name="Z_C376AAF7_6CF7_A44F_821A_9B8B69155ECB_.wvu.FilterData" localSheetId="9" hidden="1">'CDS-J'!$A$1:$L$149</definedName>
    <definedName name="_xlnm._FilterDatabase" localSheetId="9" hidden="1">'CDS-J'!$A$1:$L$149</definedName>
    <definedName name="_Hlk22631867" localSheetId="10">'CDS Definitions'!$A$103</definedName>
    <definedName name="Z_C376AAF7_6CF7_A44F_821A_9B8B69155ECB_.wvu.Cols" localSheetId="10" hidden="1">'CDS Definitions'!$C:$F</definedName>
  </definedNames>
  <calcPr calcId="191028" fullCalcOnLoad="1"/>
</workbook>
</file>

<file path=xl/styles.xml><?xml version="1.0" encoding="utf-8"?>
<styleSheet xmlns="http://schemas.openxmlformats.org/spreadsheetml/2006/main">
  <numFmts count="9">
    <numFmt numFmtId="164" formatCode="_(&quot;$&quot;* #,##0.00_);_(&quot;$&quot;* \(#,##0.00\);_(&quot;$&quot;* &quot;-&quot;??_);_(@_)"/>
    <numFmt numFmtId="165" formatCode="&quot;$&quot;#,##0;[Red]&quot;$&quot;#,##0"/>
    <numFmt numFmtId="166" formatCode="0.0%"/>
    <numFmt numFmtId="167" formatCode="&quot;$&quot;#,##0_);[Red]\(&quot;$&quot;#,##0\)"/>
    <numFmt numFmtId="168" formatCode="&quot;$&quot;#,##0.00_);[Red]\(&quot;$&quot;#,##0.00\)"/>
    <numFmt numFmtId="169" formatCode="&quot;$&quot;#,##0.000_);[Red]\(&quot;$&quot;#,##0.000\)"/>
    <numFmt numFmtId="170" formatCode="&quot;$&quot;#,##0.00;[Red]&quot;$&quot;#,##0.00"/>
    <numFmt numFmtId="171" formatCode="#,##0.0"/>
    <numFmt numFmtId="172" formatCode="0.000"/>
  </numFmts>
  <fonts count="37">
    <font>
      <name val="Aptos Narrow"/>
      <family val="2"/>
      <color theme="1"/>
      <sz val="11"/>
      <scheme val="minor"/>
    </font>
    <font>
      <name val="Aptos Narrow"/>
      <family val="2"/>
      <sz val="8"/>
      <scheme val="minor"/>
    </font>
    <font>
      <name val="Aptos Narrow"/>
      <family val="2"/>
      <b val="1"/>
      <color rgb="FF000000"/>
      <sz val="11"/>
      <scheme val="minor"/>
    </font>
    <font>
      <name val="Aptos Narrow"/>
      <family val="2"/>
      <b val="1"/>
      <color theme="1"/>
      <sz val="11"/>
      <scheme val="minor"/>
    </font>
    <font>
      <name val="Aptos Narrow"/>
      <family val="2"/>
      <color rgb="FFFF0000"/>
      <sz val="11"/>
      <scheme val="minor"/>
    </font>
    <font>
      <name val="Aptos Narrow"/>
      <family val="2"/>
      <sz val="11"/>
      <scheme val="minor"/>
    </font>
    <font>
      <name val="Aptos Narrow"/>
      <family val="2"/>
      <color rgb="FF000000"/>
      <sz val="10"/>
      <scheme val="minor"/>
    </font>
    <font>
      <name val="Arial"/>
      <family val="2"/>
      <color theme="1"/>
      <sz val="10"/>
    </font>
    <font>
      <name val="Aptos Narrow"/>
      <family val="2"/>
      <color rgb="FF000000"/>
      <sz val="10"/>
      <scheme val="minor"/>
    </font>
    <font>
      <name val="Arial"/>
      <family val="2"/>
      <b val="1"/>
      <color theme="1"/>
      <sz val="14"/>
    </font>
    <font>
      <name val="Noto Sans Symbols"/>
      <color rgb="FF000000"/>
      <sz val="9"/>
    </font>
    <font>
      <name val="Times New Roman"/>
      <family val="1"/>
      <color rgb="FF000000"/>
      <sz val="7"/>
    </font>
    <font>
      <name val="Times New Roman"/>
      <family val="1"/>
      <b val="1"/>
      <color rgb="FF000000"/>
      <sz val="9"/>
    </font>
    <font>
      <name val="Times New Roman"/>
      <family val="1"/>
      <color rgb="FF000000"/>
      <sz val="9"/>
    </font>
    <font>
      <name val="Noto Sans Symbols"/>
      <color rgb="FF000000"/>
      <sz val="9"/>
      <u val="single"/>
    </font>
    <font>
      <name val="Times New Roman"/>
      <family val="1"/>
      <color rgb="FF1155CC"/>
      <sz val="9"/>
      <u val="single"/>
    </font>
    <font>
      <name val="Times New Roman"/>
      <family val="1"/>
      <i val="1"/>
      <color rgb="FF000000"/>
      <sz val="9"/>
    </font>
    <font>
      <name val="Times New Roman"/>
      <family val="1"/>
      <b val="1"/>
      <color theme="1"/>
      <sz val="9"/>
    </font>
    <font>
      <name val="Times New Roman"/>
      <family val="1"/>
      <color theme="1"/>
      <sz val="9"/>
    </font>
    <font>
      <name val="Arial"/>
      <family val="2"/>
      <color rgb="FF0000FF"/>
      <sz val="9"/>
    </font>
    <font>
      <name val="EB Garamond"/>
      <b val="1"/>
      <color rgb="FF000000"/>
      <sz val="9"/>
    </font>
    <font>
      <name val="Adobe Garamond Pro"/>
      <i val="1"/>
      <color rgb="FF000000"/>
      <sz val="9"/>
    </font>
    <font>
      <name val="Adobe Garamond Pro"/>
      <color rgb="FF000000"/>
      <sz val="9"/>
    </font>
    <font>
      <name val="Times New Roman"/>
      <family val="1"/>
      <b val="1"/>
      <i val="1"/>
      <color rgb="FF000000"/>
      <sz val="9"/>
    </font>
    <font>
      <name val="Times New Roman"/>
      <family val="1"/>
      <color rgb="FF000000"/>
      <sz val="10"/>
    </font>
    <font>
      <name val="Times New Roman"/>
      <family val="1"/>
      <b val="1"/>
      <color theme="1"/>
      <sz val="11"/>
    </font>
    <font>
      <name val="Aptos Narrow"/>
      <family val="2"/>
      <color rgb="FF000000"/>
      <sz val="11"/>
      <scheme val="minor"/>
    </font>
    <font>
      <name val="Aptos Narrow"/>
      <family val="2"/>
      <color theme="1"/>
      <sz val="11"/>
      <scheme val="minor"/>
    </font>
    <font>
      <name val="Aptos Narrow"/>
      <family val="2"/>
      <color theme="10"/>
      <sz val="11"/>
      <u val="single"/>
      <scheme val="minor"/>
    </font>
    <font>
      <name val="Arial"/>
      <family val="2"/>
      <color indexed="8"/>
      <sz val="10"/>
    </font>
    <font>
      <name val="Calibri"/>
      <family val="2"/>
      <color rgb="FF000000"/>
      <sz val="11"/>
    </font>
    <font>
      <name val="Aptos Narrow"/>
      <family val="2"/>
      <color rgb="FF000000"/>
      <sz val="11"/>
    </font>
    <font>
      <name val="Arial"/>
      <family val="2"/>
      <color rgb="FF000000"/>
      <sz val="10"/>
    </font>
    <font>
      <name val="Arial"/>
      <family val="2"/>
      <b val="1"/>
      <color theme="1"/>
      <sz val="11"/>
    </font>
    <font>
      <name val="Arial"/>
      <family val="2"/>
      <b val="1"/>
      <color theme="1"/>
      <sz val="10"/>
    </font>
    <font>
      <name val="Arial"/>
      <family val="2"/>
      <b val="1"/>
      <color rgb="FF000000"/>
      <sz val="10"/>
    </font>
    <font>
      <name val="Arial"/>
      <family val="2"/>
      <b val="1"/>
      <color rgb="FFFF0000"/>
      <sz val="10"/>
    </font>
  </fonts>
  <fills count="4">
    <fill>
      <patternFill/>
    </fill>
    <fill>
      <patternFill patternType="gray125"/>
    </fill>
    <fill>
      <patternFill patternType="solid">
        <fgColor rgb="FFC0C0C0"/>
        <bgColor rgb="FFC0C0C0"/>
      </patternFill>
    </fill>
    <fill>
      <patternFill patternType="solid">
        <fgColor theme="0"/>
        <bgColor indexed="64"/>
      </patternFill>
    </fill>
  </fills>
  <borders count="9">
    <border>
      <left/>
      <right/>
      <top/>
      <bottom/>
      <diagonal/>
    </border>
    <border>
      <left style="hair">
        <color rgb="FF000000"/>
      </left>
      <right style="hair">
        <color rgb="FF000000"/>
      </right>
      <top style="hair">
        <color rgb="FF000000"/>
      </top>
      <bottom style="hair">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s>
  <cellStyleXfs count="6">
    <xf numFmtId="0" fontId="27" fillId="0" borderId="0"/>
    <xf numFmtId="0" fontId="8" fillId="0" borderId="0"/>
    <xf numFmtId="0" fontId="8" fillId="0" borderId="0"/>
    <xf numFmtId="44" fontId="27" fillId="0" borderId="0"/>
    <xf numFmtId="9" fontId="27" fillId="0" borderId="0"/>
    <xf numFmtId="0" fontId="28" fillId="0" borderId="0"/>
  </cellStyleXfs>
  <cellXfs count="107">
    <xf numFmtId="0" fontId="0" fillId="0" borderId="0" pivotButton="0" quotePrefix="0" xfId="0"/>
    <xf numFmtId="0" fontId="2" fillId="0" borderId="0" pivotButton="0" quotePrefix="0" xfId="0"/>
    <xf numFmtId="0" fontId="0" fillId="0" borderId="0" applyAlignment="1" pivotButton="0" quotePrefix="0" xfId="0">
      <alignment wrapText="1"/>
    </xf>
    <xf numFmtId="0" fontId="0" fillId="0" borderId="0" applyAlignment="1" pivotButton="0" quotePrefix="0" xfId="0">
      <alignment horizontal="right"/>
    </xf>
    <xf numFmtId="0" fontId="0" fillId="0" borderId="0" applyAlignment="1" pivotButton="0" quotePrefix="0" xfId="0">
      <alignment horizontal="center"/>
    </xf>
    <xf numFmtId="0" fontId="4" fillId="0" borderId="0" pivotButton="0" quotePrefix="0" xfId="0"/>
    <xf numFmtId="0" fontId="5"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left" wrapText="1"/>
    </xf>
    <xf numFmtId="0" fontId="7" fillId="0" borderId="0" applyAlignment="1" pivotButton="0" quotePrefix="0" xfId="1">
      <alignment horizontal="left" vertical="top"/>
    </xf>
    <xf numFmtId="0" fontId="7" fillId="0" borderId="0" applyAlignment="1" pivotButton="0" quotePrefix="0" xfId="1">
      <alignment horizontal="left" vertical="center" wrapText="1"/>
    </xf>
    <xf numFmtId="0" fontId="9" fillId="2" borderId="1" applyAlignment="1" pivotButton="0" quotePrefix="0" xfId="1">
      <alignment horizontal="center" vertical="center" wrapText="1"/>
    </xf>
    <xf numFmtId="0" fontId="7" fillId="0" borderId="0" applyAlignment="1" pivotButton="0" quotePrefix="0" xfId="1">
      <alignment wrapText="1"/>
    </xf>
    <xf numFmtId="0" fontId="6" fillId="0" borderId="0" pivotButton="0" quotePrefix="0" xfId="1"/>
    <xf numFmtId="0" fontId="10" fillId="0" borderId="0" applyAlignment="1" pivotButton="0" quotePrefix="0" xfId="1">
      <alignment horizontal="left" vertical="center"/>
    </xf>
    <xf numFmtId="0" fontId="13" fillId="0" borderId="0" applyAlignment="1" pivotButton="0" quotePrefix="0" xfId="1">
      <alignment horizontal="left" vertical="center"/>
    </xf>
    <xf numFmtId="0" fontId="14" fillId="0" borderId="0" applyAlignment="1" pivotButton="0" quotePrefix="0" xfId="1">
      <alignment horizontal="left" vertical="center"/>
    </xf>
    <xf numFmtId="0" fontId="12" fillId="0" borderId="0" applyAlignment="1" pivotButton="0" quotePrefix="0" xfId="1">
      <alignment horizontal="left" vertical="center"/>
    </xf>
    <xf numFmtId="0" fontId="17" fillId="0" borderId="0" applyAlignment="1" pivotButton="0" quotePrefix="0" xfId="1">
      <alignment horizontal="left" vertical="center"/>
    </xf>
    <xf numFmtId="0" fontId="18" fillId="0" borderId="0" applyAlignment="1" pivotButton="0" quotePrefix="0" xfId="1">
      <alignment horizontal="left" vertical="center"/>
    </xf>
    <xf numFmtId="0" fontId="20" fillId="0" borderId="0" applyAlignment="1" pivotButton="0" quotePrefix="0" xfId="1">
      <alignment horizontal="left" vertical="center"/>
    </xf>
    <xf numFmtId="0" fontId="23" fillId="0" borderId="0" applyAlignment="1" pivotButton="0" quotePrefix="0" xfId="1">
      <alignment horizontal="left" vertical="center"/>
    </xf>
    <xf numFmtId="0" fontId="16" fillId="0" borderId="0" applyAlignment="1" pivotButton="0" quotePrefix="0" xfId="1">
      <alignment horizontal="left" vertical="center"/>
    </xf>
    <xf numFmtId="0" fontId="24" fillId="0" borderId="0" applyAlignment="1" pivotButton="0" quotePrefix="0" xfId="1">
      <alignment horizontal="left" vertical="center"/>
    </xf>
    <xf numFmtId="0" fontId="25" fillId="0" borderId="0" applyAlignment="1" pivotButton="0" quotePrefix="0" xfId="1">
      <alignment horizontal="center" vertical="center"/>
    </xf>
    <xf numFmtId="0" fontId="7" fillId="0" borderId="1" applyAlignment="1" pivotButton="0" quotePrefix="0" xfId="1">
      <alignment horizontal="left" vertical="top" wrapText="1"/>
    </xf>
    <xf numFmtId="0" fontId="26" fillId="0" borderId="0" applyAlignment="1" pivotButton="0" quotePrefix="0" xfId="0">
      <alignment wrapText="1"/>
    </xf>
    <xf numFmtId="0" fontId="3" fillId="0" borderId="0" applyAlignment="1" pivotButton="0" quotePrefix="0" xfId="0">
      <alignment wrapText="1"/>
    </xf>
    <xf numFmtId="164" fontId="0" fillId="0" borderId="0" pivotButton="0" quotePrefix="0" xfId="3"/>
    <xf numFmtId="9" fontId="0" fillId="0" borderId="0" pivotButton="0" quotePrefix="0" xfId="4"/>
    <xf numFmtId="165" fontId="3" fillId="0" borderId="0" pivotButton="0" quotePrefix="0" xfId="0"/>
    <xf numFmtId="0" fontId="0" fillId="0" borderId="0" applyAlignment="1" pivotButton="0" quotePrefix="0" xfId="0">
      <alignment horizontal="left" vertical="top"/>
    </xf>
    <xf numFmtId="0" fontId="26" fillId="0" borderId="0" applyAlignment="1" pivotButton="0" quotePrefix="0" xfId="0">
      <alignment horizontal="left"/>
    </xf>
    <xf numFmtId="0" fontId="26" fillId="0" borderId="0" applyAlignment="1" pivotButton="0" quotePrefix="0" xfId="0">
      <alignment horizontal="right"/>
    </xf>
    <xf numFmtId="0" fontId="0" fillId="0" borderId="0" applyAlignment="1" pivotButton="0" quotePrefix="0" xfId="0">
      <alignment horizontal="left"/>
    </xf>
    <xf numFmtId="0" fontId="0" fillId="0" borderId="0" applyAlignment="1" pivotButton="0" quotePrefix="1" xfId="0">
      <alignment wrapText="1"/>
    </xf>
    <xf numFmtId="0" fontId="0" fillId="0" borderId="0" applyAlignment="1" pivotButton="0" quotePrefix="0" xfId="1">
      <alignment horizontal="left" vertical="top"/>
    </xf>
    <xf numFmtId="0" fontId="0" fillId="0" borderId="0" applyAlignment="1" pivotButton="0" quotePrefix="0" xfId="1">
      <alignment horizontal="left" vertical="center" wrapText="1"/>
    </xf>
    <xf numFmtId="10" fontId="7" fillId="0" borderId="0" applyAlignment="1" pivotButton="0" quotePrefix="0" xfId="0">
      <alignment horizontal="center" vertical="center"/>
    </xf>
    <xf numFmtId="165" fontId="7" fillId="0" borderId="0" pivotButton="0" quotePrefix="0" xfId="0"/>
    <xf numFmtId="0" fontId="28" fillId="0" borderId="0" applyAlignment="1" applyProtection="1" pivotButton="0" quotePrefix="0" xfId="5">
      <alignment horizontal="left" vertical="center"/>
      <protection locked="0" hidden="0"/>
    </xf>
    <xf numFmtId="0" fontId="28" fillId="0" borderId="0" pivotButton="0" quotePrefix="0" xfId="5"/>
    <xf numFmtId="0" fontId="28" fillId="0" borderId="0" applyAlignment="1" pivotButton="0" quotePrefix="0" xfId="5">
      <alignment horizontal="left"/>
    </xf>
    <xf numFmtId="0" fontId="0" fillId="0" borderId="2" applyAlignment="1" applyProtection="1" pivotButton="0" quotePrefix="0" xfId="0">
      <alignment horizontal="left" vertical="center"/>
      <protection locked="0" hidden="0"/>
    </xf>
    <xf numFmtId="4" fontId="0" fillId="0" borderId="0" pivotButton="0" quotePrefix="0" xfId="0"/>
    <xf numFmtId="0" fontId="30" fillId="0" borderId="0" pivotButton="0" quotePrefix="0" xfId="0"/>
    <xf numFmtId="10" fontId="30" fillId="0" borderId="0" pivotButton="0" quotePrefix="0" xfId="0"/>
    <xf numFmtId="0" fontId="0" fillId="3" borderId="0" pivotButton="0" quotePrefix="0" xfId="0"/>
    <xf numFmtId="3" fontId="0" fillId="0" borderId="0" pivotButton="0" quotePrefix="0" xfId="0"/>
    <xf numFmtId="0" fontId="0" fillId="0" borderId="5" pivotButton="0" quotePrefix="0" xfId="0"/>
    <xf numFmtId="0" fontId="31" fillId="0" borderId="0" pivotButton="0" quotePrefix="0" xfId="0"/>
    <xf numFmtId="10" fontId="31" fillId="0" borderId="0" pivotButton="0" quotePrefix="0" xfId="0"/>
    <xf numFmtId="0" fontId="31" fillId="0" borderId="0" applyAlignment="1" pivotButton="0" quotePrefix="0" xfId="0">
      <alignment horizontal="left"/>
    </xf>
    <xf numFmtId="0" fontId="0" fillId="3" borderId="0" applyAlignment="1" pivotButton="0" quotePrefix="0" xfId="0">
      <alignment wrapText="1"/>
    </xf>
    <xf numFmtId="10" fontId="0" fillId="3" borderId="0" applyAlignment="1" pivotButton="0" quotePrefix="0" xfId="0">
      <alignment wrapText="1"/>
    </xf>
    <xf numFmtId="10" fontId="0" fillId="0" borderId="0" pivotButton="0" quotePrefix="0" xfId="0"/>
    <xf numFmtId="166" fontId="31" fillId="0" borderId="0" pivotButton="0" quotePrefix="0" xfId="0"/>
    <xf numFmtId="167" fontId="0" fillId="3" borderId="0" applyAlignment="1" pivotButton="0" quotePrefix="0" xfId="0">
      <alignment horizontal="left"/>
    </xf>
    <xf numFmtId="16" fontId="0" fillId="3" borderId="6" applyAlignment="1" pivotButton="0" quotePrefix="0" xfId="0">
      <alignment horizontal="left"/>
    </xf>
    <xf numFmtId="0" fontId="32" fillId="0" borderId="0" pivotButton="0" quotePrefix="0" xfId="0"/>
    <xf numFmtId="167" fontId="32" fillId="0" borderId="0" pivotButton="0" quotePrefix="0" xfId="0"/>
    <xf numFmtId="167" fontId="31" fillId="0" borderId="0" pivotButton="0" quotePrefix="0" xfId="0"/>
    <xf numFmtId="9" fontId="31" fillId="0" borderId="0" pivotButton="0" quotePrefix="0" xfId="0"/>
    <xf numFmtId="16" fontId="31" fillId="0" borderId="0" pivotButton="0" quotePrefix="0" xfId="0"/>
    <xf numFmtId="0" fontId="31" fillId="0" borderId="0" applyAlignment="1" pivotButton="0" quotePrefix="0" xfId="0">
      <alignment wrapText="1"/>
    </xf>
    <xf numFmtId="15" fontId="31" fillId="0" borderId="0" pivotButton="0" quotePrefix="0" xfId="0"/>
    <xf numFmtId="14" fontId="0" fillId="3" borderId="0" pivotButton="0" quotePrefix="0" xfId="0"/>
    <xf numFmtId="0" fontId="31" fillId="3" borderId="2" applyAlignment="1" pivotButton="0" quotePrefix="0" xfId="0">
      <alignment wrapText="1"/>
    </xf>
    <xf numFmtId="168" fontId="32" fillId="0" borderId="0" pivotButton="0" quotePrefix="0" xfId="0"/>
    <xf numFmtId="169" fontId="32" fillId="0" borderId="0" pivotButton="0" quotePrefix="0" xfId="0"/>
    <xf numFmtId="170" fontId="3" fillId="0" borderId="0" pivotButton="0" quotePrefix="0" xfId="0"/>
    <xf numFmtId="168" fontId="3" fillId="0" borderId="0" pivotButton="0" quotePrefix="0" xfId="0"/>
    <xf numFmtId="168" fontId="0" fillId="0" borderId="0" pivotButton="0" quotePrefix="0" xfId="0"/>
    <xf numFmtId="16" fontId="0" fillId="0" borderId="0" applyAlignment="1" pivotButton="0" quotePrefix="0" xfId="0">
      <alignment horizontal="left"/>
    </xf>
    <xf numFmtId="0" fontId="27" fillId="0" borderId="2" applyAlignment="1" applyProtection="1" pivotButton="0" quotePrefix="0" xfId="0">
      <alignment horizontal="center" vertical="center"/>
      <protection locked="0" hidden="0"/>
    </xf>
    <xf numFmtId="171" fontId="0" fillId="0" borderId="2" applyAlignment="1" applyProtection="1" pivotButton="0" quotePrefix="0" xfId="0">
      <alignment horizontal="center"/>
      <protection locked="0" hidden="0"/>
    </xf>
    <xf numFmtId="2" fontId="7" fillId="0" borderId="0" applyAlignment="1" pivotButton="0" quotePrefix="0" xfId="0">
      <alignment horizontal="center" vertical="center"/>
    </xf>
    <xf numFmtId="16" fontId="0" fillId="0" borderId="0" pivotButton="0" quotePrefix="0" xfId="0"/>
    <xf numFmtId="9" fontId="0" fillId="0" borderId="0" pivotButton="0" quotePrefix="0" xfId="4"/>
    <xf numFmtId="0" fontId="7" fillId="0" borderId="0" applyAlignment="1" pivotButton="0" quotePrefix="0" xfId="0">
      <alignment horizontal="left" vertical="top"/>
    </xf>
    <xf numFmtId="0" fontId="7" fillId="0" borderId="0" pivotButton="0" quotePrefix="0" xfId="0"/>
    <xf numFmtId="0" fontId="34" fillId="0" borderId="0" applyAlignment="1" pivotButton="0" quotePrefix="0" xfId="0">
      <alignment horizontal="left" vertical="top"/>
    </xf>
    <xf numFmtId="0" fontId="32" fillId="0" borderId="0" applyAlignment="1" pivotButton="0" quotePrefix="0" xfId="0">
      <alignment horizontal="left" vertical="top" wrapText="1"/>
    </xf>
    <xf numFmtId="172" fontId="0" fillId="0" borderId="0" pivotButton="0" quotePrefix="0" xfId="0"/>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35" fillId="0" borderId="0" applyAlignment="1" pivotButton="0" quotePrefix="0" xfId="0">
      <alignment horizontal="left" vertical="top" wrapText="1"/>
    </xf>
    <xf numFmtId="0" fontId="0" fillId="0" borderId="0" pivotButton="0" quotePrefix="0" xfId="0"/>
    <xf numFmtId="0" fontId="33" fillId="0" borderId="0" applyAlignment="1" pivotButton="0" quotePrefix="0" xfId="0">
      <alignment horizontal="left" vertical="top"/>
    </xf>
    <xf numFmtId="0" fontId="32" fillId="0" borderId="0" applyAlignment="1" pivotButton="0" quotePrefix="0" xfId="0">
      <alignment horizontal="left" vertical="top" wrapText="1"/>
    </xf>
    <xf numFmtId="0" fontId="36" fillId="0" borderId="0" applyAlignment="1" pivotButton="0" quotePrefix="0" xfId="0">
      <alignment horizontal="left" vertical="top" wrapText="1"/>
    </xf>
    <xf numFmtId="0" fontId="29" fillId="0" borderId="2" applyAlignment="1" pivotButton="0" quotePrefix="0" xfId="0">
      <alignment horizontal="left" vertical="top" wrapText="1"/>
    </xf>
    <xf numFmtId="0" fontId="0" fillId="0" borderId="4" pivotButton="0" quotePrefix="0" xfId="0"/>
    <xf numFmtId="171" fontId="0" fillId="0" borderId="2" applyAlignment="1" applyProtection="1" pivotButton="0" quotePrefix="0" xfId="0">
      <alignment horizontal="center"/>
      <protection locked="0" hidden="0"/>
    </xf>
    <xf numFmtId="165" fontId="7" fillId="0" borderId="0" pivotButton="0" quotePrefix="0" xfId="0"/>
    <xf numFmtId="167" fontId="0" fillId="3" borderId="0" applyAlignment="1" pivotButton="0" quotePrefix="0" xfId="0">
      <alignment horizontal="left"/>
    </xf>
    <xf numFmtId="167" fontId="32" fillId="0" borderId="0" pivotButton="0" quotePrefix="0" xfId="0"/>
    <xf numFmtId="165" fontId="3" fillId="0" borderId="0" pivotButton="0" quotePrefix="0" xfId="0"/>
    <xf numFmtId="164" fontId="0" fillId="0" borderId="0" pivotButton="0" quotePrefix="0" xfId="3"/>
    <xf numFmtId="169" fontId="32" fillId="0" borderId="0" pivotButton="0" quotePrefix="0" xfId="0"/>
    <xf numFmtId="168" fontId="32" fillId="0" borderId="0" pivotButton="0" quotePrefix="0" xfId="0"/>
    <xf numFmtId="170" fontId="3" fillId="0" borderId="0" pivotButton="0" quotePrefix="0" xfId="0"/>
    <xf numFmtId="168" fontId="3" fillId="0" borderId="0" pivotButton="0" quotePrefix="0" xfId="0"/>
    <xf numFmtId="168" fontId="0" fillId="0" borderId="0" pivotButton="0" quotePrefix="0" xfId="0"/>
    <xf numFmtId="167" fontId="31" fillId="0" borderId="0" pivotButton="0" quotePrefix="0" xfId="0"/>
    <xf numFmtId="166" fontId="31" fillId="0" borderId="0" pivotButton="0" quotePrefix="0" xfId="0"/>
    <xf numFmtId="172" fontId="0" fillId="0" borderId="0" pivotButton="0" quotePrefix="0" xfId="0"/>
  </cellXfs>
  <cellStyles count="6">
    <cellStyle name="Normal" xfId="0" builtinId="0"/>
    <cellStyle name="Normal 3" xfId="1"/>
    <cellStyle name="Normal 2" xfId="2"/>
    <cellStyle name="Currency" xfId="3" builtinId="4"/>
    <cellStyle name="Percent" xfId="4" builtinId="5"/>
    <cellStyle name="Hyperlink" xfId="5"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rtenneti@illinois.edu" TargetMode="External" Id="rId1" /><Relationship Type="http://schemas.openxmlformats.org/officeDocument/2006/relationships/hyperlink" Target="https://dmi.illinois.edu/" TargetMode="External" Id="rId2" /><Relationship Type="http://schemas.openxmlformats.org/officeDocument/2006/relationships/hyperlink" Target="mailto:admissions@illinois.edu" TargetMode="External" Id="rId3" /><Relationship Type="http://schemas.openxmlformats.org/officeDocument/2006/relationships/hyperlink" Target="https://www.admissions.illinois.edu/apply" TargetMode="External" Id="rId4" /><Relationship Type="http://schemas.openxmlformats.org/officeDocument/2006/relationships/hyperlink" Target="https://diversity.illinois.edu/" TargetMode="External" Id="rId5" /></Relationships>
</file>

<file path=xl/worksheets/_rels/sheet4.xml.rels><Relationships xmlns="http://schemas.openxmlformats.org/package/2006/relationships"><Relationship Type="http://schemas.openxmlformats.org/officeDocument/2006/relationships/hyperlink" Target="https://www.admissions.illinois.edu/policies" TargetMode="External" Id="rId1" /></Relationships>
</file>

<file path=xl/worksheets/_rels/sheet11.xml.rels><Relationships xmlns="http://schemas.openxmlformats.org/package/2006/relationships"><Relationship Type="http://schemas.openxmlformats.org/officeDocument/2006/relationships/hyperlink" Target="https://surveys.nces.ed.gov/ipeds/public/glossary" TargetMode="External" Id="rId1" /></Relationships>
</file>

<file path=xl/worksheets/sheet1.xml><?xml version="1.0" encoding="utf-8"?>
<worksheet xmlns="http://schemas.openxmlformats.org/spreadsheetml/2006/main">
  <sheetPr>
    <outlinePr summaryBelow="1" summaryRight="1"/>
    <pageSetUpPr/>
  </sheetPr>
  <dimension ref="A1:L77"/>
  <sheetViews>
    <sheetView tabSelected="1" zoomScaleNormal="100" workbookViewId="0">
      <pane ySplit="1" topLeftCell="A2" activePane="bottomLeft" state="frozen"/>
      <selection pane="bottomLeft" activeCell="C20" sqref="C20"/>
    </sheetView>
  </sheetViews>
  <sheetFormatPr baseColWidth="8" defaultColWidth="8.85546875" defaultRowHeight="15"/>
  <cols>
    <col width="48.42578125" customWidth="1" style="87" min="2" max="2"/>
    <col width="38.85546875" customWidth="1" style="87" min="3" max="3"/>
    <col width="20.85546875" customWidth="1" style="87" min="4" max="4"/>
    <col width="22.140625" customWidth="1" style="87" min="5" max="5"/>
  </cols>
  <sheetData>
    <row r="1">
      <c r="A1" t="inlineStr">
        <is>
          <t>Question Number</t>
        </is>
      </c>
      <c r="B1" t="inlineStr">
        <is>
          <t>Question</t>
        </is>
      </c>
      <c r="C1" t="inlineStr">
        <is>
          <t>Answer</t>
        </is>
      </c>
      <c r="D1" t="inlineStr">
        <is>
          <t>Section</t>
        </is>
      </c>
      <c r="E1" t="inlineStr">
        <is>
          <t>Sub-Section</t>
        </is>
      </c>
      <c r="F1" t="inlineStr">
        <is>
          <t>Category</t>
        </is>
      </c>
      <c r="G1" t="inlineStr">
        <is>
          <t>Student Group</t>
        </is>
      </c>
      <c r="H1" t="inlineStr">
        <is>
          <t>Cohort</t>
        </is>
      </c>
      <c r="I1" t="inlineStr">
        <is>
          <t>Residency</t>
        </is>
      </c>
      <c r="J1" t="inlineStr">
        <is>
          <t>Unit load</t>
        </is>
      </c>
      <c r="K1" t="inlineStr">
        <is>
          <t>Gender</t>
        </is>
      </c>
      <c r="L1" t="inlineStr">
        <is>
          <t>Value type</t>
        </is>
      </c>
    </row>
    <row r="2"/>
    <row r="3"/>
    <row r="4"/>
    <row r="5" ht="18" customHeight="1" s="87"/>
    <row r="6" ht="18" customHeight="1" s="87">
      <c r="A6" t="inlineStr">
        <is>
          <t>A01</t>
        </is>
      </c>
      <c r="B6" t="inlineStr">
        <is>
          <t>Name:</t>
        </is>
      </c>
      <c r="C6" t="inlineStr">
        <is>
          <t>Rashmi Tenneti</t>
        </is>
      </c>
    </row>
    <row r="7" ht="18" customHeight="1" s="87">
      <c r="A7" t="inlineStr">
        <is>
          <t>A02</t>
        </is>
      </c>
      <c r="B7" t="inlineStr">
        <is>
          <t>Title:</t>
        </is>
      </c>
      <c r="C7" t="inlineStr">
        <is>
          <t>Director of Analytics and Alignment</t>
        </is>
      </c>
    </row>
    <row r="8" ht="18" customHeight="1" s="87">
      <c r="A8" t="inlineStr">
        <is>
          <t>A03</t>
        </is>
      </c>
      <c r="B8" t="inlineStr">
        <is>
          <t>Office:</t>
        </is>
      </c>
      <c r="C8" t="inlineStr">
        <is>
          <t>Strategic Communications and Marketing</t>
        </is>
      </c>
    </row>
    <row r="9" ht="18" customHeight="1" s="87">
      <c r="A9" t="inlineStr">
        <is>
          <t>A04</t>
        </is>
      </c>
      <c r="B9" t="inlineStr">
        <is>
          <t>Mailing Address:</t>
        </is>
      </c>
      <c r="C9" t="inlineStr">
        <is>
          <t>507 E Green St</t>
        </is>
      </c>
    </row>
    <row r="10" ht="18" customHeight="1" s="87">
      <c r="A10" t="inlineStr">
        <is>
          <t>A05</t>
        </is>
      </c>
      <c r="B10" t="inlineStr">
        <is>
          <t>City/State/Zip/Country:</t>
        </is>
      </c>
      <c r="C10" t="inlineStr">
        <is>
          <t>Champaign</t>
        </is>
      </c>
    </row>
    <row r="11" ht="18" customHeight="1" s="87">
      <c r="A11" t="inlineStr">
        <is>
          <t>A06</t>
        </is>
      </c>
      <c r="B11" t="inlineStr">
        <is>
          <t>Phone:</t>
        </is>
      </c>
      <c r="C11" t="inlineStr">
        <is>
          <t>217-300-4754</t>
        </is>
      </c>
    </row>
    <row r="12" ht="18" customHeight="1" s="87">
      <c r="A12" t="inlineStr">
        <is>
          <t>A07</t>
        </is>
      </c>
      <c r="B12" t="inlineStr">
        <is>
          <t>Fax:</t>
        </is>
      </c>
    </row>
    <row r="13" ht="18" customHeight="1" s="87">
      <c r="A13" t="inlineStr">
        <is>
          <t>A08</t>
        </is>
      </c>
      <c r="B13" t="inlineStr">
        <is>
          <t>E-mail Address:</t>
        </is>
      </c>
      <c r="C13" s="41" t="inlineStr">
        <is>
          <t>rtenneti@illinois.edu</t>
        </is>
      </c>
    </row>
    <row r="14"/>
    <row r="15" ht="18" customHeight="1" s="87"/>
    <row r="16" ht="30" customHeight="1" s="87">
      <c r="A16" t="inlineStr">
        <is>
          <t>A09</t>
        </is>
      </c>
      <c r="B16" s="2" t="inlineStr">
        <is>
          <t>Are your responses to the CDS posted for reference on your institution's Web site?</t>
        </is>
      </c>
      <c r="C16" t="inlineStr">
        <is>
          <t>Y</t>
        </is>
      </c>
    </row>
    <row r="17" ht="18" customHeight="1" s="87">
      <c r="B17" s="2" t="n"/>
    </row>
    <row r="18" ht="30" customHeight="1" s="87">
      <c r="A18" t="inlineStr">
        <is>
          <t>A010</t>
        </is>
      </c>
      <c r="B18" s="2" t="inlineStr">
        <is>
          <t>If yes, please provide the URL of the corresponding Web page:</t>
        </is>
      </c>
      <c r="C18" s="41" t="inlineStr">
        <is>
          <t>https://dmi.illinois.edu/</t>
        </is>
      </c>
    </row>
    <row r="19" ht="18" customHeight="1" s="87"/>
    <row r="20" ht="105" customHeight="1" s="87">
      <c r="A20" t="inlineStr">
        <is>
          <t>A0A</t>
        </is>
      </c>
      <c r="B20" s="2" t="inlineStr">
        <is>
          <t>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is>
      </c>
    </row>
    <row r="21">
      <c r="B21" s="2" t="n"/>
    </row>
    <row r="22"/>
    <row r="23" ht="18" customHeight="1" s="87"/>
    <row r="24" ht="18" customHeight="1" s="87">
      <c r="A24" t="inlineStr">
        <is>
          <t>A101</t>
        </is>
      </c>
      <c r="B24" t="inlineStr">
        <is>
          <t>Name of College/University:</t>
        </is>
      </c>
      <c r="C24" t="inlineStr">
        <is>
          <t>University of Illinois Urbana-Champaign</t>
        </is>
      </c>
    </row>
    <row r="25" ht="18" customHeight="1" s="87">
      <c r="A25" t="inlineStr">
        <is>
          <t>A102</t>
        </is>
      </c>
      <c r="B25" t="inlineStr">
        <is>
          <t>Mailing Address:</t>
        </is>
      </c>
      <c r="C25" s="91" t="inlineStr">
        <is>
          <t>601 East John St. Champaign,IL 61820</t>
        </is>
      </c>
      <c r="D25" s="92" t="n"/>
    </row>
    <row r="26" ht="18" customHeight="1" s="87">
      <c r="A26" t="inlineStr">
        <is>
          <t>A103</t>
        </is>
      </c>
      <c r="B26" t="inlineStr">
        <is>
          <t>City/State/Zip/Country:</t>
        </is>
      </c>
      <c r="C26" t="inlineStr">
        <is>
          <t>Champaign/Illinois/61820/United States</t>
        </is>
      </c>
    </row>
    <row r="27" ht="18" customHeight="1" s="87">
      <c r="A27" t="inlineStr">
        <is>
          <t>A104</t>
        </is>
      </c>
      <c r="B27" t="inlineStr">
        <is>
          <t>Street Address (if different):</t>
        </is>
      </c>
      <c r="C27" t="inlineStr">
        <is>
          <t>601 E John Street</t>
        </is>
      </c>
    </row>
    <row r="28" ht="18" customHeight="1" s="87">
      <c r="A28" t="inlineStr">
        <is>
          <t>A105</t>
        </is>
      </c>
      <c r="B28" t="inlineStr">
        <is>
          <t>City/State/Zip/Country:</t>
        </is>
      </c>
      <c r="C28" t="inlineStr">
        <is>
          <t>Illinois</t>
        </is>
      </c>
    </row>
    <row r="29" ht="18" customHeight="1" s="87">
      <c r="A29" t="inlineStr">
        <is>
          <t>A106</t>
        </is>
      </c>
      <c r="B29" t="inlineStr">
        <is>
          <t>Main Phone Number:</t>
        </is>
      </c>
      <c r="C29" t="inlineStr">
        <is>
          <t>217-333-1000</t>
        </is>
      </c>
    </row>
    <row r="30" ht="18" customHeight="1" s="87">
      <c r="A30" t="inlineStr">
        <is>
          <t>A107</t>
        </is>
      </c>
      <c r="B30" t="inlineStr">
        <is>
          <t>WWW Home Page Address:</t>
        </is>
      </c>
      <c r="C30" t="inlineStr">
        <is>
          <t>https://illinois.edu</t>
        </is>
      </c>
    </row>
    <row r="31" ht="18" customHeight="1" s="87">
      <c r="A31" t="inlineStr">
        <is>
          <t>A108</t>
        </is>
      </c>
      <c r="B31" t="inlineStr">
        <is>
          <t>Admissions Phone Number:</t>
        </is>
      </c>
      <c r="C31" t="inlineStr">
        <is>
          <t>217-333-0302</t>
        </is>
      </c>
    </row>
    <row r="32" ht="18" customHeight="1" s="87">
      <c r="A32" t="inlineStr">
        <is>
          <t>A109</t>
        </is>
      </c>
      <c r="B32" t="inlineStr">
        <is>
          <t>Admissions Toll-Free Phone Number:</t>
        </is>
      </c>
    </row>
    <row r="33" ht="18" customHeight="1" s="87">
      <c r="A33" t="inlineStr">
        <is>
          <t>A110</t>
        </is>
      </c>
      <c r="B33" t="inlineStr">
        <is>
          <t>Admissions Office Mailing Address:</t>
        </is>
      </c>
      <c r="C33" s="43" t="inlineStr">
        <is>
          <t>901 West Illinois St.</t>
        </is>
      </c>
    </row>
    <row r="34" ht="18" customHeight="1" s="87">
      <c r="A34" t="inlineStr">
        <is>
          <t>A111</t>
        </is>
      </c>
      <c r="B34" t="inlineStr">
        <is>
          <t>City/State/Zip/Country:</t>
        </is>
      </c>
      <c r="C34" t="inlineStr">
        <is>
          <t>Urbana/Illinois/61820/United States</t>
        </is>
      </c>
    </row>
    <row r="35" ht="18" customHeight="1" s="87">
      <c r="A35" t="inlineStr">
        <is>
          <t>A112</t>
        </is>
      </c>
      <c r="B35" t="inlineStr">
        <is>
          <t>Admissions E-mail Address:</t>
        </is>
      </c>
      <c r="C35" s="42" t="inlineStr">
        <is>
          <t xml:space="preserve">admissions@illinois.edu </t>
        </is>
      </c>
    </row>
    <row r="36" ht="18" customHeight="1" s="87"/>
    <row r="37" ht="30" customHeight="1" s="87">
      <c r="A37" t="inlineStr">
        <is>
          <t>A113</t>
        </is>
      </c>
      <c r="B37" s="2" t="inlineStr">
        <is>
          <t>If there is a separate URL for your school’s online application, please specify:</t>
        </is>
      </c>
      <c r="C37" s="41" t="inlineStr">
        <is>
          <t>https://www.admissions.illinois.edu/apply</t>
        </is>
      </c>
    </row>
    <row r="38" ht="18" customHeight="1" s="87"/>
    <row r="39" ht="60" customHeight="1" s="87">
      <c r="A39" t="inlineStr">
        <is>
          <t>A114</t>
        </is>
      </c>
      <c r="B39" s="2" t="inlineStr">
        <is>
          <t>If you have a mailing address other than the above to which applications should be sent, please provide:</t>
        </is>
      </c>
      <c r="C39" s="2" t="inlineStr">
        <is>
          <t>901 West Illinois St.
Urbana
Illinois
61801-3028</t>
        </is>
      </c>
    </row>
    <row r="40"/>
    <row r="41"/>
    <row r="42" ht="18" customHeight="1" s="87"/>
    <row r="43" ht="18" customHeight="1" s="87">
      <c r="A43" t="inlineStr">
        <is>
          <t>A201</t>
        </is>
      </c>
      <c r="B43" t="inlineStr">
        <is>
          <t>Public</t>
        </is>
      </c>
      <c r="C43" t="inlineStr">
        <is>
          <t>x</t>
        </is>
      </c>
    </row>
    <row r="44" ht="18" customHeight="1" s="87">
      <c r="A44" t="inlineStr">
        <is>
          <t>A202</t>
        </is>
      </c>
      <c r="B44" t="inlineStr">
        <is>
          <t>Private (nonprofit)</t>
        </is>
      </c>
    </row>
    <row r="45" ht="18" customHeight="1" s="87">
      <c r="A45" t="inlineStr">
        <is>
          <t>A203</t>
        </is>
      </c>
      <c r="B45" t="inlineStr">
        <is>
          <t>Proprietary</t>
        </is>
      </c>
    </row>
    <row r="46"/>
    <row r="47" ht="18" customHeight="1" s="87"/>
    <row r="48" ht="18" customHeight="1" s="87">
      <c r="A48" t="inlineStr">
        <is>
          <t>A301</t>
        </is>
      </c>
      <c r="B48" t="inlineStr">
        <is>
          <t>Coeducational college</t>
        </is>
      </c>
      <c r="C48" t="inlineStr">
        <is>
          <t>x</t>
        </is>
      </c>
    </row>
    <row r="49" ht="18" customHeight="1" s="87">
      <c r="A49" t="inlineStr">
        <is>
          <t>A302</t>
        </is>
      </c>
      <c r="B49" t="inlineStr">
        <is>
          <t>Men's college</t>
        </is>
      </c>
    </row>
    <row r="50" ht="18" customHeight="1" s="87">
      <c r="A50" t="inlineStr">
        <is>
          <t>A303</t>
        </is>
      </c>
      <c r="B50" t="inlineStr">
        <is>
          <t>Women's college</t>
        </is>
      </c>
    </row>
    <row r="51"/>
    <row r="52" ht="18" customHeight="1" s="87"/>
    <row r="53" ht="18" customHeight="1" s="87">
      <c r="A53" t="inlineStr">
        <is>
          <t>A401</t>
        </is>
      </c>
      <c r="B53" t="inlineStr">
        <is>
          <t>Semester</t>
        </is>
      </c>
      <c r="C53" t="inlineStr">
        <is>
          <t>x</t>
        </is>
      </c>
    </row>
    <row r="54" ht="18" customHeight="1" s="87">
      <c r="A54" t="inlineStr">
        <is>
          <t>A402</t>
        </is>
      </c>
      <c r="B54" t="inlineStr">
        <is>
          <t>Quarter</t>
        </is>
      </c>
    </row>
    <row r="55" ht="18" customHeight="1" s="87">
      <c r="A55" t="inlineStr">
        <is>
          <t>A403</t>
        </is>
      </c>
      <c r="B55" t="inlineStr">
        <is>
          <t>Trimester</t>
        </is>
      </c>
    </row>
    <row r="56" ht="18" customHeight="1" s="87">
      <c r="A56" t="inlineStr">
        <is>
          <t>A404</t>
        </is>
      </c>
      <c r="B56" t="inlineStr">
        <is>
          <t>4-1-4</t>
        </is>
      </c>
    </row>
    <row r="57" ht="18" customHeight="1" s="87">
      <c r="A57" t="inlineStr">
        <is>
          <t>A405</t>
        </is>
      </c>
      <c r="B57" t="inlineStr">
        <is>
          <t>Continuous</t>
        </is>
      </c>
    </row>
    <row r="58"/>
    <row r="59" ht="18" customHeight="1" s="87">
      <c r="A59" t="inlineStr">
        <is>
          <t>A406</t>
        </is>
      </c>
      <c r="B59" t="inlineStr">
        <is>
          <t>Differs by program (describe):</t>
        </is>
      </c>
    </row>
    <row r="60" ht="18" customHeight="1" s="87">
      <c r="A60" t="inlineStr">
        <is>
          <t>A407</t>
        </is>
      </c>
      <c r="B60" t="inlineStr">
        <is>
          <t>Other (describe)</t>
        </is>
      </c>
    </row>
    <row r="61"/>
    <row r="62" ht="18" customHeight="1" s="87"/>
    <row r="63" ht="18" customHeight="1" s="87">
      <c r="A63" t="inlineStr">
        <is>
          <t>A501</t>
        </is>
      </c>
      <c r="B63" t="inlineStr">
        <is>
          <t>Certificate</t>
        </is>
      </c>
      <c r="C63" t="inlineStr">
        <is>
          <t>x</t>
        </is>
      </c>
    </row>
    <row r="64" ht="18" customHeight="1" s="87">
      <c r="A64" t="inlineStr">
        <is>
          <t>A502</t>
        </is>
      </c>
      <c r="B64" t="inlineStr">
        <is>
          <t>Diploma</t>
        </is>
      </c>
      <c r="C64" t="inlineStr">
        <is>
          <t>x</t>
        </is>
      </c>
    </row>
    <row r="65" ht="18" customHeight="1" s="87">
      <c r="A65" t="inlineStr">
        <is>
          <t>A503</t>
        </is>
      </c>
      <c r="B65" t="inlineStr">
        <is>
          <t>Associate</t>
        </is>
      </c>
    </row>
    <row r="66" ht="18" customHeight="1" s="87">
      <c r="A66" t="inlineStr">
        <is>
          <t>A504</t>
        </is>
      </c>
      <c r="B66" t="inlineStr">
        <is>
          <t>Transfer Associate</t>
        </is>
      </c>
    </row>
    <row r="67" ht="18" customHeight="1" s="87">
      <c r="A67" t="inlineStr">
        <is>
          <t>A505</t>
        </is>
      </c>
      <c r="B67" t="inlineStr">
        <is>
          <t>Terminal Associate</t>
        </is>
      </c>
    </row>
    <row r="68" ht="18" customHeight="1" s="87">
      <c r="A68" t="inlineStr">
        <is>
          <t>A506</t>
        </is>
      </c>
      <c r="B68" t="inlineStr">
        <is>
          <t>Bachelor's</t>
        </is>
      </c>
      <c r="C68" t="inlineStr">
        <is>
          <t>x</t>
        </is>
      </c>
    </row>
    <row r="69" ht="18" customHeight="1" s="87">
      <c r="A69" t="inlineStr">
        <is>
          <t>A507</t>
        </is>
      </c>
      <c r="B69" t="inlineStr">
        <is>
          <t>Postbachelor's certificate</t>
        </is>
      </c>
      <c r="C69" t="inlineStr">
        <is>
          <t>x</t>
        </is>
      </c>
    </row>
    <row r="70" ht="18" customHeight="1" s="87">
      <c r="A70" t="inlineStr">
        <is>
          <t>A508</t>
        </is>
      </c>
      <c r="B70" t="inlineStr">
        <is>
          <t>Master's</t>
        </is>
      </c>
      <c r="C70" t="inlineStr">
        <is>
          <t>x</t>
        </is>
      </c>
    </row>
    <row r="71" ht="18" customHeight="1" s="87">
      <c r="A71" t="inlineStr">
        <is>
          <t>A509</t>
        </is>
      </c>
      <c r="B71" t="inlineStr">
        <is>
          <t>Post-master's certificate</t>
        </is>
      </c>
      <c r="C71" t="inlineStr">
        <is>
          <t>x</t>
        </is>
      </c>
    </row>
    <row r="72" ht="18" customHeight="1" s="87">
      <c r="A72" t="inlineStr">
        <is>
          <t>A510</t>
        </is>
      </c>
      <c r="B72" t="inlineStr">
        <is>
          <t>Doctoral degree research/scholarship</t>
        </is>
      </c>
      <c r="C72" t="inlineStr">
        <is>
          <t>x</t>
        </is>
      </c>
    </row>
    <row r="73" ht="18" customHeight="1" s="87">
      <c r="A73" t="inlineStr">
        <is>
          <t>A511</t>
        </is>
      </c>
      <c r="B73" t="inlineStr">
        <is>
          <t>Doctoral degree – professional practice</t>
        </is>
      </c>
      <c r="C73" t="inlineStr">
        <is>
          <t>x</t>
        </is>
      </c>
    </row>
    <row r="74" ht="18" customHeight="1" s="87">
      <c r="A74" t="inlineStr">
        <is>
          <t>A512</t>
        </is>
      </c>
      <c r="B74" t="inlineStr">
        <is>
          <t>Doctoral degree -- other</t>
        </is>
      </c>
    </row>
    <row r="75"/>
    <row r="76" ht="18" customHeight="1" s="87"/>
    <row r="77" ht="45" customHeight="1" s="87">
      <c r="A77" t="inlineStr">
        <is>
          <t>A601</t>
        </is>
      </c>
      <c r="B77" s="2" t="inlineStr">
        <is>
          <t>If you have a diversity, equity, and inclusion office or department, please provide the URL of the corresponding Web page:</t>
        </is>
      </c>
      <c r="C77" s="40" t="inlineStr">
        <is>
          <t>https://diversity.illinois.edu/</t>
        </is>
      </c>
    </row>
  </sheetData>
  <autoFilter ref="A1:L77"/>
  <mergeCells count="1">
    <mergeCell ref="C25:D25"/>
  </mergeCells>
  <hyperlinks>
    <hyperlink xmlns:r="http://schemas.openxmlformats.org/officeDocument/2006/relationships" ref="C13" r:id="rId1"/>
    <hyperlink xmlns:r="http://schemas.openxmlformats.org/officeDocument/2006/relationships" ref="C18" r:id="rId2"/>
    <hyperlink xmlns:r="http://schemas.openxmlformats.org/officeDocument/2006/relationships" ref="C35" r:id="rId3"/>
    <hyperlink xmlns:r="http://schemas.openxmlformats.org/officeDocument/2006/relationships" ref="C37" r:id="rId4"/>
    <hyperlink xmlns:r="http://schemas.openxmlformats.org/officeDocument/2006/relationships" ref="C77" r:id="rId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432"/>
  <sheetViews>
    <sheetView zoomScaleNormal="100" workbookViewId="0">
      <pane ySplit="1" topLeftCell="A2" activePane="bottomLeft" state="frozen"/>
      <selection pane="bottomLeft" activeCell="A2" sqref="A2"/>
    </sheetView>
  </sheetViews>
  <sheetFormatPr baseColWidth="8" defaultColWidth="8.85546875" defaultRowHeight="15"/>
  <cols>
    <col width="8.140625" customWidth="1" style="87" min="1" max="1"/>
    <col width="45.42578125" customWidth="1" style="2" min="2" max="2"/>
    <col width="33.42578125" customWidth="1" style="87" min="3" max="3"/>
  </cols>
  <sheetData>
    <row r="1">
      <c r="A1" t="inlineStr">
        <is>
          <t>Question Number</t>
        </is>
      </c>
      <c r="B1" s="2" t="inlineStr">
        <is>
          <t>Question</t>
        </is>
      </c>
      <c r="C1" t="inlineStr">
        <is>
          <t>Answer</t>
        </is>
      </c>
    </row>
    <row r="2"/>
    <row r="3"/>
    <row r="4"/>
    <row r="5" ht="18" customHeight="1" s="87"/>
    <row r="6"/>
    <row r="7"/>
    <row r="8"/>
    <row r="9"/>
    <row r="10"/>
    <row r="11"/>
    <row r="12"/>
    <row r="13"/>
    <row r="14"/>
    <row r="15" ht="17.45" customHeight="1" s="87"/>
    <row r="16" ht="18" customHeight="1" s="87">
      <c r="A16" t="inlineStr">
        <is>
          <t>B101</t>
        </is>
      </c>
      <c r="B16" s="2" t="inlineStr">
        <is>
          <t>Degree-seeking, first-time first-year students: men</t>
        </is>
      </c>
      <c r="C16" s="50" t="n">
        <v>4535</v>
      </c>
    </row>
    <row r="17" ht="18" customHeight="1" s="87">
      <c r="A17" t="inlineStr">
        <is>
          <t>B102</t>
        </is>
      </c>
      <c r="B17" s="2" t="inlineStr">
        <is>
          <t>Degree-seeking, first-time first-year students: women</t>
        </is>
      </c>
      <c r="C17" s="50" t="n">
        <v>4468</v>
      </c>
    </row>
    <row r="18" ht="30.75" customHeight="1" s="87">
      <c r="A18" t="inlineStr">
        <is>
          <t>B103</t>
        </is>
      </c>
      <c r="B18" s="2" t="inlineStr">
        <is>
          <t>Degree-seeking, first-time first-year students: another gender</t>
        </is>
      </c>
      <c r="C18" s="50" t="n">
        <v>0</v>
      </c>
    </row>
    <row r="19" ht="30.75" customHeight="1" s="87">
      <c r="A19" t="inlineStr">
        <is>
          <t>B104</t>
        </is>
      </c>
      <c r="B19" s="2" t="inlineStr">
        <is>
          <t>Degree-seeking, first-time first-year students: unknown</t>
        </is>
      </c>
      <c r="C19" s="50" t="n">
        <v>1</v>
      </c>
    </row>
    <row r="20">
      <c r="C20" s="50" t="n"/>
    </row>
    <row r="21" ht="18" customHeight="1" s="87">
      <c r="A21" t="inlineStr">
        <is>
          <t>B105</t>
        </is>
      </c>
      <c r="B21" s="2" t="inlineStr">
        <is>
          <t>Other first-year, degree-seeking: men</t>
        </is>
      </c>
      <c r="C21" s="50" t="n">
        <v>284</v>
      </c>
    </row>
    <row r="22" ht="18" customHeight="1" s="87">
      <c r="A22" t="inlineStr">
        <is>
          <t>B106</t>
        </is>
      </c>
      <c r="B22" s="2" t="inlineStr">
        <is>
          <t>Other first-year, degree-seeking: women</t>
        </is>
      </c>
      <c r="C22" s="50" t="n">
        <v>273</v>
      </c>
    </row>
    <row r="23" ht="18" customHeight="1" s="87">
      <c r="A23" t="inlineStr">
        <is>
          <t>B107</t>
        </is>
      </c>
      <c r="B23" s="2" t="inlineStr">
        <is>
          <t>Other first-year, degree-seeking: another gender</t>
        </is>
      </c>
      <c r="C23" s="50" t="n">
        <v>0</v>
      </c>
    </row>
    <row r="24" ht="18" customHeight="1" s="87">
      <c r="A24" t="inlineStr">
        <is>
          <t>B108</t>
        </is>
      </c>
      <c r="B24" s="2" t="inlineStr">
        <is>
          <t>Other first-year, degree-seeking:  unknown</t>
        </is>
      </c>
      <c r="C24" s="50" t="n">
        <v>0</v>
      </c>
    </row>
    <row r="25">
      <c r="C25" s="50" t="n"/>
    </row>
    <row r="26" ht="18" customHeight="1" s="87">
      <c r="A26" t="inlineStr">
        <is>
          <t>B109</t>
        </is>
      </c>
      <c r="B26" s="2" t="inlineStr">
        <is>
          <t>All other degree-seeking: men</t>
        </is>
      </c>
      <c r="C26" s="50" t="n">
        <v>13588</v>
      </c>
    </row>
    <row r="27" ht="18" customHeight="1" s="87">
      <c r="A27" t="inlineStr">
        <is>
          <t>B110</t>
        </is>
      </c>
      <c r="B27" s="2" t="inlineStr">
        <is>
          <t>All other degree-seeking: women</t>
        </is>
      </c>
      <c r="C27" s="50" t="n">
        <v>12459</v>
      </c>
    </row>
    <row r="28" ht="18" customHeight="1" s="87">
      <c r="A28" t="inlineStr">
        <is>
          <t>B111</t>
        </is>
      </c>
      <c r="B28" s="2" t="inlineStr">
        <is>
          <t>All other degree-seeking: another gender</t>
        </is>
      </c>
      <c r="C28" s="50" t="n">
        <v>0</v>
      </c>
    </row>
    <row r="29" ht="18" customHeight="1" s="87">
      <c r="A29" t="inlineStr">
        <is>
          <t>B112</t>
        </is>
      </c>
      <c r="B29" s="2" t="inlineStr">
        <is>
          <t>All other degree-seeking: unknown</t>
        </is>
      </c>
      <c r="C29" s="50" t="n">
        <v>11</v>
      </c>
    </row>
    <row r="30">
      <c r="C30" s="50" t="n"/>
    </row>
    <row r="31" ht="18" customHeight="1" s="87">
      <c r="A31" t="inlineStr">
        <is>
          <t>B113</t>
        </is>
      </c>
      <c r="B31" s="27" t="inlineStr">
        <is>
          <t>Total degree-seeking: men</t>
        </is>
      </c>
      <c r="C31" s="50" t="n">
        <v>18407</v>
      </c>
    </row>
    <row r="32" ht="18" customHeight="1" s="87">
      <c r="A32" t="inlineStr">
        <is>
          <t>B114</t>
        </is>
      </c>
      <c r="B32" s="27" t="inlineStr">
        <is>
          <t>Total degree-seeking: women</t>
        </is>
      </c>
      <c r="C32" s="50" t="n">
        <v>17200</v>
      </c>
    </row>
    <row r="33" ht="18" customHeight="1" s="87">
      <c r="A33" t="inlineStr">
        <is>
          <t>B115</t>
        </is>
      </c>
      <c r="B33" s="27" t="inlineStr">
        <is>
          <t>Total degree-seeking: another gender</t>
        </is>
      </c>
      <c r="C33" s="50" t="n">
        <v>0</v>
      </c>
    </row>
    <row r="34" ht="18" customHeight="1" s="87">
      <c r="A34" t="inlineStr">
        <is>
          <t>B116</t>
        </is>
      </c>
      <c r="B34" s="27" t="inlineStr">
        <is>
          <t>Total degree-seeking: unknown</t>
        </is>
      </c>
      <c r="C34" s="50" t="n">
        <v>12</v>
      </c>
    </row>
    <row r="35">
      <c r="C35" s="50" t="n"/>
    </row>
    <row r="36" ht="30" customHeight="1" s="87">
      <c r="A36" t="inlineStr">
        <is>
          <t>B117</t>
        </is>
      </c>
      <c r="B36" s="2" t="inlineStr">
        <is>
          <t>All other undergraduates enrolled in credit courses: men</t>
        </is>
      </c>
      <c r="C36" s="50" t="n">
        <v>332</v>
      </c>
    </row>
    <row r="37" ht="30" customHeight="1" s="87">
      <c r="A37" t="inlineStr">
        <is>
          <t>B118</t>
        </is>
      </c>
      <c r="B37" s="2" t="inlineStr">
        <is>
          <t>All other undergraduates enrolled in credit courses: women</t>
        </is>
      </c>
      <c r="C37" s="50" t="n">
        <v>153</v>
      </c>
    </row>
    <row r="38" ht="30" customHeight="1" s="87">
      <c r="A38" t="inlineStr">
        <is>
          <t>B119</t>
        </is>
      </c>
      <c r="B38" s="2" t="inlineStr">
        <is>
          <t>All other undergraduates enrolled in credit courses: another gender</t>
        </is>
      </c>
      <c r="C38" s="50" t="n">
        <v>0</v>
      </c>
    </row>
    <row r="39" ht="30" customHeight="1" s="87">
      <c r="A39" t="inlineStr">
        <is>
          <t>B120</t>
        </is>
      </c>
      <c r="B39" s="2" t="inlineStr">
        <is>
          <t>All other undergraduates enrolled in credit courses: unknown</t>
        </is>
      </c>
      <c r="C39" s="50" t="n">
        <v>0</v>
      </c>
    </row>
    <row r="40">
      <c r="C40" s="50" t="n"/>
    </row>
    <row r="41" ht="18" customHeight="1" s="87">
      <c r="A41" t="inlineStr">
        <is>
          <t>B121</t>
        </is>
      </c>
      <c r="B41" s="27" t="inlineStr">
        <is>
          <t>Total undergraduate Full-Time Students: men</t>
        </is>
      </c>
      <c r="C41" s="50" t="n">
        <v>18739</v>
      </c>
    </row>
    <row r="42" ht="18" customHeight="1" s="87">
      <c r="A42" t="inlineStr">
        <is>
          <t>B122</t>
        </is>
      </c>
      <c r="B42" s="27" t="inlineStr">
        <is>
          <t>Total undergraduate Full-Time Students: women</t>
        </is>
      </c>
      <c r="C42" s="50" t="n">
        <v>17353</v>
      </c>
    </row>
    <row r="43" ht="30" customHeight="1" s="87">
      <c r="A43" t="inlineStr">
        <is>
          <t>B123</t>
        </is>
      </c>
      <c r="B43" s="27" t="inlineStr">
        <is>
          <t>Total undergraduate Full-Time Students: another gender</t>
        </is>
      </c>
      <c r="C43" s="50" t="n">
        <v>0</v>
      </c>
    </row>
    <row r="44" ht="18" customHeight="1" s="87">
      <c r="A44" t="inlineStr">
        <is>
          <t>B124</t>
        </is>
      </c>
      <c r="B44" s="27" t="inlineStr">
        <is>
          <t>Total undergraduate Full-Time Students: unknown</t>
        </is>
      </c>
      <c r="C44" s="50" t="n">
        <v>12</v>
      </c>
    </row>
    <row r="45">
      <c r="C45" s="50" t="n"/>
    </row>
    <row r="46" ht="18" customHeight="1" s="87">
      <c r="C46" s="50" t="n"/>
    </row>
    <row r="47" ht="18" customHeight="1" s="87">
      <c r="A47" t="inlineStr">
        <is>
          <t>B125</t>
        </is>
      </c>
      <c r="B47" s="2" t="inlineStr">
        <is>
          <t>Degree-seeking, first-time first-year students: men</t>
        </is>
      </c>
      <c r="C47" s="50" t="n">
        <v>3</v>
      </c>
    </row>
    <row r="48" ht="18" customHeight="1" s="87">
      <c r="A48" t="inlineStr">
        <is>
          <t>B126</t>
        </is>
      </c>
      <c r="B48" s="2" t="inlineStr">
        <is>
          <t>Degree-seeking, first-time first-year students: women</t>
        </is>
      </c>
      <c r="C48" s="50" t="n">
        <v>1</v>
      </c>
    </row>
    <row r="49" ht="30" customHeight="1" s="87">
      <c r="A49" t="inlineStr">
        <is>
          <t>B127</t>
        </is>
      </c>
      <c r="B49" s="2" t="inlineStr">
        <is>
          <t>Degree-seeking, first-time first-year students: another gender</t>
        </is>
      </c>
      <c r="C49" s="50" t="n">
        <v>0</v>
      </c>
    </row>
    <row r="50" ht="29.25" customHeight="1" s="87">
      <c r="A50" t="inlineStr">
        <is>
          <t>B128</t>
        </is>
      </c>
      <c r="B50" s="2" t="inlineStr">
        <is>
          <t>Degree-seeking, first-time first-year students: unknown</t>
        </is>
      </c>
      <c r="C50" s="50" t="n">
        <v>0</v>
      </c>
    </row>
    <row r="51">
      <c r="C51" s="50" t="n"/>
    </row>
    <row r="52" ht="18" customHeight="1" s="87">
      <c r="A52" t="inlineStr">
        <is>
          <t>B129</t>
        </is>
      </c>
      <c r="B52" s="2" t="inlineStr">
        <is>
          <t>Other first-year, degree-seeking: men</t>
        </is>
      </c>
      <c r="C52" s="50" t="n">
        <v>7</v>
      </c>
    </row>
    <row r="53" ht="18" customHeight="1" s="87">
      <c r="A53" t="inlineStr">
        <is>
          <t>B130</t>
        </is>
      </c>
      <c r="B53" s="2" t="inlineStr">
        <is>
          <t>Other first-year, degree-seeking: women</t>
        </is>
      </c>
      <c r="C53" s="50" t="n">
        <v>5</v>
      </c>
    </row>
    <row r="54" ht="18" customHeight="1" s="87">
      <c r="A54" t="inlineStr">
        <is>
          <t>B131</t>
        </is>
      </c>
      <c r="B54" s="2" t="inlineStr">
        <is>
          <t>Other first-year, degree-seeking: another gender</t>
        </is>
      </c>
      <c r="C54" s="50" t="n">
        <v>0</v>
      </c>
    </row>
    <row r="55" ht="18" customHeight="1" s="87">
      <c r="A55" t="inlineStr">
        <is>
          <t>B132</t>
        </is>
      </c>
      <c r="B55" s="2" t="inlineStr">
        <is>
          <t>Other first-year, degree-seeking: unknown</t>
        </is>
      </c>
      <c r="C55" s="50" t="n">
        <v>0</v>
      </c>
    </row>
    <row r="56">
      <c r="C56" s="50" t="n"/>
    </row>
    <row r="57" ht="18" customHeight="1" s="87">
      <c r="A57" t="inlineStr">
        <is>
          <t>B133</t>
        </is>
      </c>
      <c r="B57" s="2" t="inlineStr">
        <is>
          <t>All other degree-seeking: men</t>
        </is>
      </c>
      <c r="C57" s="50" t="n">
        <v>425</v>
      </c>
    </row>
    <row r="58" ht="18" customHeight="1" s="87">
      <c r="A58" t="inlineStr">
        <is>
          <t>B134</t>
        </is>
      </c>
      <c r="B58" s="2" t="inlineStr">
        <is>
          <t>All other degree-seeking: women</t>
        </is>
      </c>
      <c r="C58" s="50" t="n">
        <v>197</v>
      </c>
    </row>
    <row r="59" ht="18" customHeight="1" s="87">
      <c r="A59" t="inlineStr">
        <is>
          <t>B135</t>
        </is>
      </c>
      <c r="B59" s="2" t="inlineStr">
        <is>
          <t>All other degree-seeking: another gender</t>
        </is>
      </c>
      <c r="C59" s="50" t="n">
        <v>0</v>
      </c>
    </row>
    <row r="60" ht="18" customHeight="1" s="87">
      <c r="A60" t="inlineStr">
        <is>
          <t>B136</t>
        </is>
      </c>
      <c r="B60" s="2" t="inlineStr">
        <is>
          <t>All other degree-seeking: unknown</t>
        </is>
      </c>
      <c r="C60" s="50" t="n">
        <v>1</v>
      </c>
    </row>
    <row r="61">
      <c r="C61" s="50" t="n"/>
    </row>
    <row r="62" ht="18" customHeight="1" s="87">
      <c r="A62" t="inlineStr">
        <is>
          <t>B137</t>
        </is>
      </c>
      <c r="B62" s="27" t="inlineStr">
        <is>
          <t>Total degree-seeking: men</t>
        </is>
      </c>
      <c r="C62" s="50" t="n">
        <v>435</v>
      </c>
    </row>
    <row r="63" ht="18" customHeight="1" s="87">
      <c r="A63" t="inlineStr">
        <is>
          <t>B138</t>
        </is>
      </c>
      <c r="B63" s="27" t="inlineStr">
        <is>
          <t>Total degree-seeking: women</t>
        </is>
      </c>
      <c r="C63" s="50" t="n">
        <v>203</v>
      </c>
    </row>
    <row r="64" ht="18" customHeight="1" s="87">
      <c r="A64" t="inlineStr">
        <is>
          <t>B139</t>
        </is>
      </c>
      <c r="B64" s="27" t="inlineStr">
        <is>
          <t>Total degree-seeking: another gender</t>
        </is>
      </c>
      <c r="C64" s="50" t="n">
        <v>0</v>
      </c>
    </row>
    <row r="65" ht="18" customHeight="1" s="87">
      <c r="A65" t="inlineStr">
        <is>
          <t>B140</t>
        </is>
      </c>
      <c r="B65" s="27" t="inlineStr">
        <is>
          <t>Total degree-seeking: unknown</t>
        </is>
      </c>
      <c r="C65" s="50" t="n">
        <v>1</v>
      </c>
    </row>
    <row r="66">
      <c r="C66" s="50" t="n"/>
    </row>
    <row r="67" ht="30" customHeight="1" s="87">
      <c r="A67" t="inlineStr">
        <is>
          <t>B141</t>
        </is>
      </c>
      <c r="B67" s="2" t="inlineStr">
        <is>
          <t>All other undergraduates enrolled in credit courses: men</t>
        </is>
      </c>
      <c r="C67" s="50" t="n">
        <v>208</v>
      </c>
    </row>
    <row r="68" ht="30" customHeight="1" s="87">
      <c r="A68" t="inlineStr">
        <is>
          <t>B142</t>
        </is>
      </c>
      <c r="B68" s="2" t="inlineStr">
        <is>
          <t>All other undergraduates enrolled in credit courses: women</t>
        </is>
      </c>
      <c r="C68" s="50" t="n">
        <v>180</v>
      </c>
    </row>
    <row r="69" ht="30" customHeight="1" s="87">
      <c r="A69" t="inlineStr">
        <is>
          <t>B143</t>
        </is>
      </c>
      <c r="B69" s="2" t="inlineStr">
        <is>
          <t>All other undergraduates enrolled in credit courses: another gender</t>
        </is>
      </c>
      <c r="C69" s="50" t="n">
        <v>0</v>
      </c>
    </row>
    <row r="70" ht="30" customHeight="1" s="87">
      <c r="A70" t="inlineStr">
        <is>
          <t>B144</t>
        </is>
      </c>
      <c r="B70" s="2" t="inlineStr">
        <is>
          <t>All other undergraduates enrolled in credit courses: unknown</t>
        </is>
      </c>
      <c r="C70" s="50" t="n">
        <v>9</v>
      </c>
    </row>
    <row r="71">
      <c r="C71" s="50" t="n"/>
    </row>
    <row r="72" ht="18" customHeight="1" s="87">
      <c r="A72" t="inlineStr">
        <is>
          <t>B145</t>
        </is>
      </c>
      <c r="B72" s="27" t="inlineStr">
        <is>
          <t>Total undergraduate Part-Time Students: men</t>
        </is>
      </c>
      <c r="C72" s="50" t="n">
        <v>643</v>
      </c>
    </row>
    <row r="73" ht="18" customHeight="1" s="87">
      <c r="A73" t="inlineStr">
        <is>
          <t>B146</t>
        </is>
      </c>
      <c r="B73" s="27" t="inlineStr">
        <is>
          <t>Total undergraduate Part-Time Students: women</t>
        </is>
      </c>
      <c r="C73" s="50" t="n">
        <v>383</v>
      </c>
    </row>
    <row r="74" ht="30" customHeight="1" s="87">
      <c r="A74" t="inlineStr">
        <is>
          <t>B147</t>
        </is>
      </c>
      <c r="B74" s="27" t="inlineStr">
        <is>
          <t>Total undergraduate Part-Time Students: another gender</t>
        </is>
      </c>
      <c r="C74" s="50" t="n">
        <v>0</v>
      </c>
    </row>
    <row r="75" ht="18" customHeight="1" s="87">
      <c r="A75" t="inlineStr">
        <is>
          <t>B148</t>
        </is>
      </c>
      <c r="B75" s="27" t="inlineStr">
        <is>
          <t>Total undergraduate Part-Time Students: unknown</t>
        </is>
      </c>
      <c r="C75" s="50" t="n">
        <v>10</v>
      </c>
    </row>
    <row r="76">
      <c r="C76" s="50" t="n"/>
    </row>
    <row r="77" ht="18" customHeight="1" s="87">
      <c r="C77" s="50" t="n"/>
    </row>
    <row r="78" ht="18" customHeight="1" s="87">
      <c r="A78" t="inlineStr">
        <is>
          <t>B149</t>
        </is>
      </c>
      <c r="B78" s="27" t="inlineStr">
        <is>
          <t>Total undergraduate students: men</t>
        </is>
      </c>
      <c r="C78" s="50" t="n">
        <v>19382</v>
      </c>
    </row>
    <row r="79" ht="18" customHeight="1" s="87">
      <c r="A79" t="inlineStr">
        <is>
          <t>B150</t>
        </is>
      </c>
      <c r="B79" s="27" t="inlineStr">
        <is>
          <t>Total undergraduate students: women</t>
        </is>
      </c>
      <c r="C79" s="50" t="n">
        <v>17736</v>
      </c>
    </row>
    <row r="80" ht="18" customHeight="1" s="87">
      <c r="A80" t="inlineStr">
        <is>
          <t>B151</t>
        </is>
      </c>
      <c r="B80" s="27" t="inlineStr">
        <is>
          <t>Total undergraduate students: another gender</t>
        </is>
      </c>
      <c r="C80" s="50" t="n">
        <v>0</v>
      </c>
    </row>
    <row r="81" ht="18" customHeight="1" s="87">
      <c r="A81" t="inlineStr">
        <is>
          <t>B152</t>
        </is>
      </c>
      <c r="B81" s="27" t="inlineStr">
        <is>
          <t>Total undergraduate students: unknown</t>
        </is>
      </c>
      <c r="C81" s="50" t="n">
        <v>22</v>
      </c>
    </row>
    <row r="82">
      <c r="C82" s="50" t="n"/>
    </row>
    <row r="83" ht="18" customHeight="1" s="87">
      <c r="C83" s="50" t="n"/>
    </row>
    <row r="84" ht="18" customHeight="1" s="87">
      <c r="A84" t="inlineStr">
        <is>
          <t>B153</t>
        </is>
      </c>
      <c r="B84" s="2" t="inlineStr">
        <is>
          <t>Degree-seeking, first-time: men</t>
        </is>
      </c>
      <c r="C84" s="50" t="n">
        <v>2330</v>
      </c>
    </row>
    <row r="85" ht="18" customHeight="1" s="87">
      <c r="A85" t="inlineStr">
        <is>
          <t>B154</t>
        </is>
      </c>
      <c r="B85" s="2" t="inlineStr">
        <is>
          <t>Degree-seeking, first-time: women</t>
        </is>
      </c>
      <c r="C85" s="50" t="n">
        <v>1960</v>
      </c>
    </row>
    <row r="86" ht="18" customHeight="1" s="87">
      <c r="A86" t="inlineStr">
        <is>
          <t>B155</t>
        </is>
      </c>
      <c r="B86" s="2" t="inlineStr">
        <is>
          <t>Degree-seeking, first-time: another gender</t>
        </is>
      </c>
      <c r="C86" s="50" t="n">
        <v>0</v>
      </c>
    </row>
    <row r="87" ht="18" customHeight="1" s="87">
      <c r="A87" t="inlineStr">
        <is>
          <t>B156</t>
        </is>
      </c>
      <c r="B87" s="2" t="inlineStr">
        <is>
          <t>Degree-seeking, first-time: unknown</t>
        </is>
      </c>
      <c r="C87" s="50" t="n">
        <v>19</v>
      </c>
    </row>
    <row r="88">
      <c r="C88" s="50" t="n"/>
    </row>
    <row r="89" ht="18" customHeight="1" s="87">
      <c r="A89" t="inlineStr">
        <is>
          <t>B157</t>
        </is>
      </c>
      <c r="B89" s="2" t="inlineStr">
        <is>
          <t>All other degree-seeking: men</t>
        </is>
      </c>
      <c r="C89" s="50" t="n">
        <v>5084</v>
      </c>
    </row>
    <row r="90" ht="18" customHeight="1" s="87">
      <c r="A90" t="inlineStr">
        <is>
          <t>B158</t>
        </is>
      </c>
      <c r="B90" s="2" t="inlineStr">
        <is>
          <t>All other degree-seeking: women</t>
        </is>
      </c>
      <c r="C90" s="50" t="n">
        <v>4027</v>
      </c>
    </row>
    <row r="91" ht="18" customHeight="1" s="87">
      <c r="A91" t="inlineStr">
        <is>
          <t>B159</t>
        </is>
      </c>
      <c r="B91" s="2" t="inlineStr">
        <is>
          <t>All other degree-seeking: another gender</t>
        </is>
      </c>
      <c r="C91" s="50" t="n">
        <v>0</v>
      </c>
    </row>
    <row r="92" ht="18" customHeight="1" s="87">
      <c r="A92" t="inlineStr">
        <is>
          <t>B160</t>
        </is>
      </c>
      <c r="B92" s="2" t="inlineStr">
        <is>
          <t>All other degree-seeking: unknown</t>
        </is>
      </c>
      <c r="C92" s="50" t="n">
        <v>29</v>
      </c>
    </row>
    <row r="93">
      <c r="C93" s="50" t="n"/>
    </row>
    <row r="94" ht="18" customHeight="1" s="87">
      <c r="A94" t="inlineStr">
        <is>
          <t>B161</t>
        </is>
      </c>
      <c r="B94" s="2" t="inlineStr">
        <is>
          <t>All other graduates enrolled in credit courses: men</t>
        </is>
      </c>
      <c r="C94" s="50" t="n">
        <v>34</v>
      </c>
    </row>
    <row r="95" ht="18" customHeight="1" s="87">
      <c r="A95" t="inlineStr">
        <is>
          <t>B162</t>
        </is>
      </c>
      <c r="B95" s="2" t="inlineStr">
        <is>
          <t>All other graduates enrolled in credit courses: women</t>
        </is>
      </c>
      <c r="C95" s="50" t="n">
        <v>23</v>
      </c>
    </row>
    <row r="96" ht="30" customHeight="1" s="87">
      <c r="A96" t="inlineStr">
        <is>
          <t>B163</t>
        </is>
      </c>
      <c r="B96" s="2" t="inlineStr">
        <is>
          <t>All other graduates enrolled in credit courses: another gender</t>
        </is>
      </c>
      <c r="C96" s="50" t="n">
        <v>0</v>
      </c>
    </row>
    <row r="97" ht="18" customHeight="1" s="87">
      <c r="A97" t="inlineStr">
        <is>
          <t>B164</t>
        </is>
      </c>
      <c r="B97" s="2" t="inlineStr">
        <is>
          <t>All other graduates enrolled in credit courses: unknown</t>
        </is>
      </c>
      <c r="C97" s="50" t="n">
        <v>0</v>
      </c>
    </row>
    <row r="98">
      <c r="C98" s="50" t="n"/>
    </row>
    <row r="99" ht="18" customHeight="1" s="87">
      <c r="A99" t="inlineStr">
        <is>
          <t>B165</t>
        </is>
      </c>
      <c r="B99" s="27" t="inlineStr">
        <is>
          <t>Total graduate Full-Time Students: men</t>
        </is>
      </c>
      <c r="C99" s="50" t="n">
        <v>7448</v>
      </c>
    </row>
    <row r="100" ht="18" customHeight="1" s="87">
      <c r="A100" t="inlineStr">
        <is>
          <t>B166</t>
        </is>
      </c>
      <c r="B100" s="27" t="inlineStr">
        <is>
          <t>Total graduate Full-Time Students: women</t>
        </is>
      </c>
      <c r="C100" s="50" t="n">
        <v>6010</v>
      </c>
    </row>
    <row r="101" ht="18" customHeight="1" s="87">
      <c r="A101" t="inlineStr">
        <is>
          <t>B167</t>
        </is>
      </c>
      <c r="B101" s="27" t="inlineStr">
        <is>
          <t>Total graduate Full-Time Students: another gender</t>
        </is>
      </c>
      <c r="C101" s="50" t="n">
        <v>0</v>
      </c>
    </row>
    <row r="102" ht="18" customHeight="1" s="87">
      <c r="A102" t="inlineStr">
        <is>
          <t>B168</t>
        </is>
      </c>
      <c r="B102" s="27" t="inlineStr">
        <is>
          <t>Total graduate Full-Time Students: unknown</t>
        </is>
      </c>
      <c r="C102" s="50" t="n">
        <v>48</v>
      </c>
    </row>
    <row r="103">
      <c r="B103" s="27" t="n"/>
      <c r="C103" s="50" t="n"/>
    </row>
    <row r="104" ht="18" customHeight="1" s="87">
      <c r="C104" s="50" t="n"/>
    </row>
    <row r="105" ht="18" customHeight="1" s="87">
      <c r="A105" t="inlineStr">
        <is>
          <t>B169</t>
        </is>
      </c>
      <c r="B105" s="2" t="inlineStr">
        <is>
          <t>Degree-seeking, first-time: men</t>
        </is>
      </c>
      <c r="C105" s="50" t="n">
        <v>841</v>
      </c>
    </row>
    <row r="106" ht="18" customHeight="1" s="87">
      <c r="A106" t="inlineStr">
        <is>
          <t>B170</t>
        </is>
      </c>
      <c r="B106" s="2" t="inlineStr">
        <is>
          <t>Degree-seeking, first-time: women</t>
        </is>
      </c>
      <c r="C106" s="50" t="n">
        <v>609</v>
      </c>
    </row>
    <row r="107" ht="18" customHeight="1" s="87">
      <c r="A107" t="inlineStr">
        <is>
          <t>B171</t>
        </is>
      </c>
      <c r="B107" s="2" t="inlineStr">
        <is>
          <t>Degree-seeking, first-time: another gender</t>
        </is>
      </c>
      <c r="C107" s="50" t="n">
        <v>0</v>
      </c>
    </row>
    <row r="108" ht="18" customHeight="1" s="87">
      <c r="A108" t="inlineStr">
        <is>
          <t>B172</t>
        </is>
      </c>
      <c r="B108" s="2" t="inlineStr">
        <is>
          <t>Degree-seeking, first-time: unknown</t>
        </is>
      </c>
      <c r="C108" s="50" t="n">
        <v>13</v>
      </c>
    </row>
    <row r="109">
      <c r="C109" s="50" t="n"/>
    </row>
    <row r="110" ht="18" customHeight="1" s="87">
      <c r="A110" t="inlineStr">
        <is>
          <t>B173</t>
        </is>
      </c>
      <c r="B110" s="2" t="inlineStr">
        <is>
          <t>All other degree-seeking: men</t>
        </is>
      </c>
      <c r="C110" s="50" t="n">
        <v>3709</v>
      </c>
    </row>
    <row r="111" ht="18" customHeight="1" s="87">
      <c r="A111" t="inlineStr">
        <is>
          <t>B174</t>
        </is>
      </c>
      <c r="B111" s="2" t="inlineStr">
        <is>
          <t>All other degree-seeking: women</t>
        </is>
      </c>
      <c r="C111" s="50" t="n">
        <v>2746</v>
      </c>
    </row>
    <row r="112" ht="18" customHeight="1" s="87">
      <c r="A112" t="inlineStr">
        <is>
          <t>B175</t>
        </is>
      </c>
      <c r="B112" s="2" t="inlineStr">
        <is>
          <t>All other degree-seeking: another gender</t>
        </is>
      </c>
      <c r="C112" s="50" t="n">
        <v>0</v>
      </c>
    </row>
    <row r="113" ht="18" customHeight="1" s="87">
      <c r="A113" t="inlineStr">
        <is>
          <t>B176</t>
        </is>
      </c>
      <c r="B113" s="2" t="inlineStr">
        <is>
          <t>All other degree-seeking: unknown</t>
        </is>
      </c>
      <c r="C113" s="50" t="n">
        <v>48</v>
      </c>
    </row>
    <row r="114">
      <c r="C114" s="50" t="n"/>
    </row>
    <row r="115" ht="18" customHeight="1" s="87">
      <c r="A115" t="inlineStr">
        <is>
          <t>B177</t>
        </is>
      </c>
      <c r="B115" s="2" t="inlineStr">
        <is>
          <t>All other graduates enrolled in credit courses: men</t>
        </is>
      </c>
      <c r="C115" s="50" t="n">
        <v>304</v>
      </c>
    </row>
    <row r="116" ht="18" customHeight="1" s="87">
      <c r="A116" t="inlineStr">
        <is>
          <t>B178</t>
        </is>
      </c>
      <c r="B116" s="2" t="inlineStr">
        <is>
          <t>All other graduates enrolled in credit courses: women</t>
        </is>
      </c>
      <c r="C116" s="50" t="n">
        <v>312</v>
      </c>
    </row>
    <row r="117" ht="30" customHeight="1" s="87">
      <c r="A117" t="inlineStr">
        <is>
          <t>B179</t>
        </is>
      </c>
      <c r="B117" s="2" t="inlineStr">
        <is>
          <t>All other graduates enrolled in credit courses: another gender</t>
        </is>
      </c>
      <c r="C117" s="50" t="n">
        <v>0</v>
      </c>
    </row>
    <row r="118" ht="18" customHeight="1" s="87">
      <c r="A118" t="inlineStr">
        <is>
          <t>B180</t>
        </is>
      </c>
      <c r="B118" s="2" t="inlineStr">
        <is>
          <t>All other graduates enrolled in credit courses: unknown</t>
        </is>
      </c>
      <c r="C118" s="50" t="n">
        <v>10</v>
      </c>
    </row>
    <row r="119">
      <c r="C119" s="50" t="n"/>
    </row>
    <row r="120" ht="18" customHeight="1" s="87">
      <c r="A120" t="inlineStr">
        <is>
          <t>B181</t>
        </is>
      </c>
      <c r="B120" s="27" t="inlineStr">
        <is>
          <t>Total graduate Part-Time Students: men</t>
        </is>
      </c>
      <c r="C120" s="50" t="n">
        <v>4854</v>
      </c>
    </row>
    <row r="121" ht="18" customHeight="1" s="87">
      <c r="A121" t="inlineStr">
        <is>
          <t>B182</t>
        </is>
      </c>
      <c r="B121" s="27" t="inlineStr">
        <is>
          <t>Total graduate Part-Time Students: women</t>
        </is>
      </c>
      <c r="C121" s="50" t="n">
        <v>3667</v>
      </c>
    </row>
    <row r="122" ht="18" customHeight="1" s="87">
      <c r="A122" t="inlineStr">
        <is>
          <t>B183</t>
        </is>
      </c>
      <c r="B122" s="27" t="inlineStr">
        <is>
          <t>Total graduate Part-Time Students: another gender</t>
        </is>
      </c>
      <c r="C122" s="50" t="n">
        <v>0</v>
      </c>
    </row>
    <row r="123" ht="18" customHeight="1" s="87">
      <c r="A123" t="inlineStr">
        <is>
          <t>B184</t>
        </is>
      </c>
      <c r="B123" s="27" t="inlineStr">
        <is>
          <t>Total graduate Part-Time Students: unknown</t>
        </is>
      </c>
      <c r="C123" s="50" t="n">
        <v>71</v>
      </c>
    </row>
    <row r="124">
      <c r="B124" s="27" t="n"/>
      <c r="C124" s="50" t="n"/>
    </row>
    <row r="125" ht="18" customHeight="1" s="87">
      <c r="C125" s="50" t="n"/>
    </row>
    <row r="126" ht="18" customHeight="1" s="87">
      <c r="A126" t="inlineStr">
        <is>
          <t>B185</t>
        </is>
      </c>
      <c r="B126" s="27" t="inlineStr">
        <is>
          <t>Total Graduate Students: men</t>
        </is>
      </c>
      <c r="C126" s="50" t="n">
        <v>12302</v>
      </c>
    </row>
    <row r="127" ht="18" customHeight="1" s="87">
      <c r="A127" t="inlineStr">
        <is>
          <t>B186</t>
        </is>
      </c>
      <c r="B127" s="27" t="inlineStr">
        <is>
          <t>Total Graduate Students: women</t>
        </is>
      </c>
      <c r="C127" s="50" t="n">
        <v>9677</v>
      </c>
    </row>
    <row r="128" ht="18" customHeight="1" s="87">
      <c r="A128" t="inlineStr">
        <is>
          <t>B187</t>
        </is>
      </c>
      <c r="B128" s="27" t="inlineStr">
        <is>
          <t>Total Graduate Students: another gender</t>
        </is>
      </c>
      <c r="C128" s="50" t="n">
        <v>0</v>
      </c>
    </row>
    <row r="129" ht="18" customHeight="1" s="87">
      <c r="A129" t="inlineStr">
        <is>
          <t>B188</t>
        </is>
      </c>
      <c r="B129" s="27" t="inlineStr">
        <is>
          <t>Total Graduate Students: unknown</t>
        </is>
      </c>
      <c r="C129" s="50" t="n">
        <v>119</v>
      </c>
    </row>
    <row r="130">
      <c r="C130" s="50" t="n"/>
    </row>
    <row r="131" ht="18" customHeight="1" s="87">
      <c r="C131" s="50" t="n"/>
    </row>
    <row r="132" ht="18" customHeight="1" s="87">
      <c r="A132" t="inlineStr">
        <is>
          <t>B189</t>
        </is>
      </c>
      <c r="B132" s="27" t="inlineStr">
        <is>
          <t>Total All Students: men</t>
        </is>
      </c>
      <c r="C132" s="50" t="n">
        <v>31684</v>
      </c>
    </row>
    <row r="133" ht="18" customHeight="1" s="87">
      <c r="A133" t="inlineStr">
        <is>
          <t>B190</t>
        </is>
      </c>
      <c r="B133" s="27" t="inlineStr">
        <is>
          <t>Total All Students: women</t>
        </is>
      </c>
      <c r="C133" s="50" t="n">
        <v>27413</v>
      </c>
    </row>
    <row r="134" ht="18" customHeight="1" s="87">
      <c r="A134" t="inlineStr">
        <is>
          <t>B191</t>
        </is>
      </c>
      <c r="B134" s="27" t="inlineStr">
        <is>
          <t>Total All Students: another gender</t>
        </is>
      </c>
      <c r="C134" s="50" t="n">
        <v>0</v>
      </c>
    </row>
    <row r="135" ht="18" customHeight="1" s="87">
      <c r="A135" t="inlineStr">
        <is>
          <t>B192</t>
        </is>
      </c>
      <c r="B135" s="27" t="inlineStr">
        <is>
          <t>Total All Students: unknown</t>
        </is>
      </c>
      <c r="C135" s="50" t="n">
        <v>141</v>
      </c>
    </row>
    <row r="136">
      <c r="C136" s="50" t="n"/>
    </row>
    <row r="137" ht="18" customHeight="1" s="87">
      <c r="A137" t="inlineStr">
        <is>
          <t>B193</t>
        </is>
      </c>
      <c r="B137" s="27" t="inlineStr">
        <is>
          <t>Total all undergraduates</t>
        </is>
      </c>
      <c r="C137" s="50" t="n">
        <v>37140</v>
      </c>
    </row>
    <row r="138" ht="18" customHeight="1" s="87">
      <c r="A138" t="inlineStr">
        <is>
          <t>B194</t>
        </is>
      </c>
      <c r="B138" s="27" t="inlineStr">
        <is>
          <t>Total all graduate</t>
        </is>
      </c>
      <c r="C138" s="50" t="n">
        <v>22098</v>
      </c>
    </row>
    <row r="139" ht="18" customHeight="1" s="87">
      <c r="A139" t="inlineStr">
        <is>
          <t>B195</t>
        </is>
      </c>
      <c r="B139" s="27" t="inlineStr">
        <is>
          <t>Grand Total All Students</t>
        </is>
      </c>
      <c r="C139" s="50" t="n">
        <v>59238</v>
      </c>
    </row>
    <row r="140">
      <c r="C140" s="50" t="n"/>
    </row>
    <row r="141">
      <c r="C141" s="50" t="n"/>
    </row>
    <row r="142">
      <c r="C142" s="50" t="n"/>
    </row>
    <row r="143">
      <c r="C143" s="50" t="n"/>
    </row>
    <row r="144">
      <c r="C144" s="50" t="n"/>
    </row>
    <row r="145">
      <c r="C145" s="50" t="n"/>
    </row>
    <row r="146">
      <c r="C146" s="50" t="n"/>
    </row>
    <row r="147">
      <c r="C147" s="50" t="n"/>
    </row>
    <row r="148">
      <c r="C148" s="50" t="n"/>
    </row>
    <row r="149">
      <c r="C149" s="50" t="n"/>
    </row>
    <row r="150">
      <c r="C150" s="50" t="n"/>
    </row>
    <row r="151">
      <c r="C151" s="50" t="n"/>
    </row>
    <row r="152">
      <c r="C152" s="50" t="n"/>
    </row>
    <row r="153">
      <c r="C153" s="50" t="n"/>
    </row>
    <row r="154">
      <c r="C154" s="50" t="n"/>
    </row>
    <row r="155">
      <c r="C155" s="50" t="n"/>
    </row>
    <row r="156">
      <c r="C156" s="50" t="n"/>
    </row>
    <row r="157">
      <c r="C157" s="50" t="n"/>
    </row>
    <row r="158">
      <c r="C158" s="50" t="n"/>
    </row>
    <row r="159">
      <c r="C159" s="50" t="n"/>
    </row>
    <row r="160">
      <c r="C160" s="50" t="n"/>
    </row>
    <row r="161">
      <c r="C161" s="50" t="n"/>
    </row>
    <row r="162">
      <c r="C162" s="50" t="n"/>
    </row>
    <row r="163">
      <c r="C163" s="50" t="n"/>
    </row>
    <row r="164">
      <c r="C164" s="50" t="n"/>
    </row>
    <row r="165">
      <c r="C165" s="50" t="n"/>
    </row>
    <row r="166">
      <c r="C166" s="50" t="n"/>
    </row>
    <row r="167">
      <c r="C167" s="50" t="n"/>
    </row>
    <row r="168">
      <c r="C168" s="50" t="n"/>
    </row>
    <row r="169" ht="18" customHeight="1" s="87">
      <c r="C169" s="50" t="n"/>
    </row>
    <row r="170" ht="18" customHeight="1" s="87">
      <c r="A170" t="inlineStr">
        <is>
          <t>B201</t>
        </is>
      </c>
      <c r="B170" s="2" t="inlineStr">
        <is>
          <t>Nonresidents</t>
        </is>
      </c>
      <c r="C170" s="50" t="n">
        <v>1250</v>
      </c>
    </row>
    <row r="171" ht="18" customHeight="1" s="87">
      <c r="A171" t="inlineStr">
        <is>
          <t>B202</t>
        </is>
      </c>
      <c r="B171" s="2" t="inlineStr">
        <is>
          <t>Hispanic/Latino</t>
        </is>
      </c>
      <c r="C171" s="50" t="n">
        <v>1434</v>
      </c>
    </row>
    <row r="172" ht="18" customHeight="1" s="87">
      <c r="A172" t="inlineStr">
        <is>
          <t>B203</t>
        </is>
      </c>
      <c r="B172" s="2" t="inlineStr">
        <is>
          <t>Black or African American, non-Hispanic</t>
        </is>
      </c>
      <c r="C172" s="50" t="n">
        <v>443</v>
      </c>
    </row>
    <row r="173" ht="18" customHeight="1" s="87">
      <c r="A173" t="inlineStr">
        <is>
          <t>B204</t>
        </is>
      </c>
      <c r="B173" s="2" t="inlineStr">
        <is>
          <t>White, non-Hispanic</t>
        </is>
      </c>
      <c r="C173" s="50" t="n">
        <v>3112</v>
      </c>
    </row>
    <row r="174" ht="18" customHeight="1" s="87">
      <c r="A174" t="inlineStr">
        <is>
          <t>B205</t>
        </is>
      </c>
      <c r="B174" s="2" t="inlineStr">
        <is>
          <t>American Indian or Alaska Native, non-Hispanic</t>
        </is>
      </c>
      <c r="C174" s="50" t="n">
        <v>3</v>
      </c>
    </row>
    <row r="175" ht="18" customHeight="1" s="87">
      <c r="A175" t="inlineStr">
        <is>
          <t>B206</t>
        </is>
      </c>
      <c r="B175" s="2" t="inlineStr">
        <is>
          <t>Asian, non-Hispanic</t>
        </is>
      </c>
      <c r="C175" s="50" t="n">
        <v>2153</v>
      </c>
    </row>
    <row r="176" ht="30" customHeight="1" s="87">
      <c r="A176" t="inlineStr">
        <is>
          <t>B207</t>
        </is>
      </c>
      <c r="B176" s="2" t="inlineStr">
        <is>
          <t>Native Hawaiian or other Pacific Islander, non-Hispanic</t>
        </is>
      </c>
      <c r="C176" s="50" t="n">
        <v>2</v>
      </c>
    </row>
    <row r="177" ht="18" customHeight="1" s="87">
      <c r="A177" t="inlineStr">
        <is>
          <t>B208</t>
        </is>
      </c>
      <c r="B177" s="2" t="inlineStr">
        <is>
          <t>Two or more races, non-Hispanic</t>
        </is>
      </c>
      <c r="C177" s="50" t="n">
        <v>392</v>
      </c>
    </row>
    <row r="178" ht="18" customHeight="1" s="87">
      <c r="A178" t="inlineStr">
        <is>
          <t>B209</t>
        </is>
      </c>
      <c r="B178" s="2" t="inlineStr">
        <is>
          <t>Race and/or ethnicity unknown</t>
        </is>
      </c>
      <c r="C178" s="50" t="n">
        <v>219</v>
      </c>
    </row>
    <row r="179" ht="18" customHeight="1" s="87">
      <c r="A179" t="inlineStr">
        <is>
          <t>B210</t>
        </is>
      </c>
      <c r="B179" s="2" t="inlineStr">
        <is>
          <t>TOTAL</t>
        </is>
      </c>
      <c r="C179" s="50" t="n">
        <v>9008</v>
      </c>
    </row>
    <row r="180">
      <c r="C180" s="50" t="n"/>
    </row>
    <row r="181" ht="36.6" customHeight="1" s="87">
      <c r="C181" s="50" t="n"/>
    </row>
    <row r="182" ht="18" customHeight="1" s="87">
      <c r="A182" t="inlineStr">
        <is>
          <t>B211</t>
        </is>
      </c>
      <c r="B182" s="2" t="inlineStr">
        <is>
          <t>Nonresidents</t>
        </is>
      </c>
      <c r="C182" s="50" t="n">
        <v>5045</v>
      </c>
    </row>
    <row r="183" ht="18" customHeight="1" s="87">
      <c r="A183" t="inlineStr">
        <is>
          <t>B212</t>
        </is>
      </c>
      <c r="B183" s="2" t="inlineStr">
        <is>
          <t>Hispanic/Latino</t>
        </is>
      </c>
      <c r="C183" s="50" t="n">
        <v>5226</v>
      </c>
    </row>
    <row r="184" ht="18" customHeight="1" s="87">
      <c r="A184" t="inlineStr">
        <is>
          <t>B213</t>
        </is>
      </c>
      <c r="B184" s="2" t="inlineStr">
        <is>
          <t>Black or African American, non-Hispanic</t>
        </is>
      </c>
      <c r="C184" s="50" t="n">
        <v>1925</v>
      </c>
    </row>
    <row r="185" ht="18" customHeight="1" s="87">
      <c r="A185" t="inlineStr">
        <is>
          <t>B214</t>
        </is>
      </c>
      <c r="B185" s="2" t="inlineStr">
        <is>
          <t>White, non-Hispanic</t>
        </is>
      </c>
      <c r="C185" s="50" t="n">
        <v>13609</v>
      </c>
    </row>
    <row r="186" ht="18" customHeight="1" s="87">
      <c r="A186" t="inlineStr">
        <is>
          <t>B215</t>
        </is>
      </c>
      <c r="B186" s="2" t="inlineStr">
        <is>
          <t>American Indian or Alaska Native, non-Hispanic</t>
        </is>
      </c>
      <c r="C186" s="50" t="n">
        <v>12</v>
      </c>
    </row>
    <row r="187" ht="18" customHeight="1" s="87">
      <c r="A187" t="inlineStr">
        <is>
          <t>B216</t>
        </is>
      </c>
      <c r="B187" s="2" t="inlineStr">
        <is>
          <t>Asian, non-Hispanic</t>
        </is>
      </c>
      <c r="C187" s="50" t="n">
        <v>8378</v>
      </c>
    </row>
    <row r="188" ht="30" customHeight="1" s="87">
      <c r="A188" t="inlineStr">
        <is>
          <t>B217</t>
        </is>
      </c>
      <c r="B188" s="2" t="inlineStr">
        <is>
          <t>Native Hawaiian or other Pacific Islander, non-Hispanic</t>
        </is>
      </c>
      <c r="C188" s="50" t="n">
        <v>11</v>
      </c>
    </row>
    <row r="189" ht="18" customHeight="1" s="87">
      <c r="A189" t="inlineStr">
        <is>
          <t>B218</t>
        </is>
      </c>
      <c r="B189" s="2" t="inlineStr">
        <is>
          <t>Two or more races, non-Hispanic</t>
        </is>
      </c>
      <c r="C189" s="50" t="n">
        <v>1493</v>
      </c>
    </row>
    <row r="190" ht="18" customHeight="1" s="87">
      <c r="A190" t="inlineStr">
        <is>
          <t>B219</t>
        </is>
      </c>
      <c r="B190" s="2" t="inlineStr">
        <is>
          <t>Race and/or ethnicity unknown</t>
        </is>
      </c>
      <c r="C190" s="50" t="n">
        <v>559</v>
      </c>
    </row>
    <row r="191" ht="18" customHeight="1" s="87">
      <c r="A191" t="inlineStr">
        <is>
          <t>B220</t>
        </is>
      </c>
      <c r="B191" s="2" t="inlineStr">
        <is>
          <t>TOTAL</t>
        </is>
      </c>
      <c r="C191" s="50" t="n">
        <v>36258</v>
      </c>
    </row>
    <row r="192">
      <c r="C192" s="50" t="n"/>
    </row>
    <row r="193" ht="36.6" customHeight="1" s="87">
      <c r="C193" s="50" t="n"/>
    </row>
    <row r="194" ht="18" customHeight="1" s="87">
      <c r="A194" t="inlineStr">
        <is>
          <t>B221</t>
        </is>
      </c>
      <c r="B194" s="2" t="inlineStr">
        <is>
          <t>Nonresidents</t>
        </is>
      </c>
      <c r="C194" s="50" t="n">
        <v>5533</v>
      </c>
    </row>
    <row r="195" ht="18" customHeight="1" s="87">
      <c r="A195" t="inlineStr">
        <is>
          <t>B222</t>
        </is>
      </c>
      <c r="B195" s="2" t="inlineStr">
        <is>
          <t>Hispanic/Latino</t>
        </is>
      </c>
      <c r="C195" s="50" t="n">
        <v>5266</v>
      </c>
    </row>
    <row r="196" ht="18" customHeight="1" s="87">
      <c r="A196" t="inlineStr">
        <is>
          <t>B223</t>
        </is>
      </c>
      <c r="B196" s="2" t="inlineStr">
        <is>
          <t>Black or African American, non-Hispanic</t>
        </is>
      </c>
      <c r="C196" s="50" t="n">
        <v>1944</v>
      </c>
    </row>
    <row r="197" ht="18" customHeight="1" s="87">
      <c r="A197" t="inlineStr">
        <is>
          <t>B224</t>
        </is>
      </c>
      <c r="B197" s="2" t="inlineStr">
        <is>
          <t>White, non-Hispanic</t>
        </is>
      </c>
      <c r="C197" s="50" t="n">
        <v>13824</v>
      </c>
    </row>
    <row r="198" ht="18" customHeight="1" s="87">
      <c r="A198" t="inlineStr">
        <is>
          <t>B225</t>
        </is>
      </c>
      <c r="B198" s="2" t="inlineStr">
        <is>
          <t>American Indian or Alaska Native, non-Hispanic</t>
        </is>
      </c>
      <c r="C198" s="50" t="n">
        <v>12</v>
      </c>
    </row>
    <row r="199" ht="18" customHeight="1" s="87">
      <c r="A199" t="inlineStr">
        <is>
          <t>B226</t>
        </is>
      </c>
      <c r="B199" s="2" t="inlineStr">
        <is>
          <t>Asian, non-Hispanic</t>
        </is>
      </c>
      <c r="C199" s="50" t="n">
        <v>8419</v>
      </c>
    </row>
    <row r="200" ht="18" customHeight="1" s="87">
      <c r="A200" t="inlineStr">
        <is>
          <t>B227</t>
        </is>
      </c>
      <c r="B200" s="2" t="inlineStr">
        <is>
          <t>Native Hawaiian or other Pacific Islander, non-Hispanic</t>
        </is>
      </c>
      <c r="C200" s="50" t="n">
        <v>12</v>
      </c>
    </row>
    <row r="201" ht="18" customHeight="1" s="87">
      <c r="A201" t="inlineStr">
        <is>
          <t>B228</t>
        </is>
      </c>
      <c r="B201" s="2" t="inlineStr">
        <is>
          <t>Two or more races, non-Hispanic</t>
        </is>
      </c>
      <c r="C201" s="50" t="n">
        <v>1512</v>
      </c>
    </row>
    <row r="202" ht="18" customHeight="1" s="87">
      <c r="A202" t="inlineStr">
        <is>
          <t>B229</t>
        </is>
      </c>
      <c r="B202" s="2" t="inlineStr">
        <is>
          <t>Race and/or ethnicity unknown</t>
        </is>
      </c>
      <c r="C202" s="50" t="n">
        <v>618</v>
      </c>
    </row>
    <row r="203" ht="18" customHeight="1" s="87">
      <c r="A203" t="inlineStr">
        <is>
          <t>B230</t>
        </is>
      </c>
      <c r="B203" s="2" t="inlineStr">
        <is>
          <t>TOTAL</t>
        </is>
      </c>
      <c r="C203" s="50" t="n">
        <v>37140</v>
      </c>
    </row>
    <row r="204">
      <c r="C204" s="50" t="n"/>
    </row>
    <row r="205">
      <c r="C205" s="50" t="n"/>
    </row>
    <row r="206">
      <c r="C206" s="50" t="n"/>
    </row>
    <row r="207">
      <c r="C207" s="50" t="n"/>
    </row>
    <row r="208">
      <c r="C208" s="50" t="n"/>
    </row>
    <row r="209" ht="42.95" customHeight="1" s="87">
      <c r="C209" s="50" t="n"/>
    </row>
    <row r="210" ht="18" customHeight="1" s="87">
      <c r="A210" t="inlineStr">
        <is>
          <t>B301</t>
        </is>
      </c>
      <c r="B210" s="2" t="inlineStr">
        <is>
          <t>Certificate/diploma</t>
        </is>
      </c>
      <c r="C210" s="50" t="n">
        <v>0</v>
      </c>
    </row>
    <row r="211" ht="18" customHeight="1" s="87">
      <c r="A211" t="inlineStr">
        <is>
          <t>B302</t>
        </is>
      </c>
      <c r="B211" s="2" t="inlineStr">
        <is>
          <t>Associate degrees</t>
        </is>
      </c>
      <c r="C211" s="50" t="n">
        <v>0</v>
      </c>
    </row>
    <row r="212" ht="18" customHeight="1" s="87">
      <c r="A212" t="inlineStr">
        <is>
          <t>B303</t>
        </is>
      </c>
      <c r="B212" s="2" t="inlineStr">
        <is>
          <t>Bachelor's degrees</t>
        </is>
      </c>
      <c r="C212" s="50" t="n">
        <v>8587</v>
      </c>
    </row>
    <row r="213" ht="18" customHeight="1" s="87">
      <c r="A213" t="inlineStr">
        <is>
          <t>B304</t>
        </is>
      </c>
      <c r="B213" s="2" t="inlineStr">
        <is>
          <t>Postbachelor's certificates</t>
        </is>
      </c>
      <c r="C213" s="50" t="n">
        <v>426</v>
      </c>
    </row>
    <row r="214" ht="18" customHeight="1" s="87">
      <c r="A214" t="inlineStr">
        <is>
          <t>B305</t>
        </is>
      </c>
      <c r="B214" s="2" t="inlineStr">
        <is>
          <t>Master's degrees</t>
        </is>
      </c>
      <c r="C214" s="50" t="n">
        <v>6489</v>
      </c>
    </row>
    <row r="215" ht="18" customHeight="1" s="87">
      <c r="A215" t="inlineStr">
        <is>
          <t>B306</t>
        </is>
      </c>
      <c r="B215" s="2" t="inlineStr">
        <is>
          <t>Post-Master's certificates</t>
        </is>
      </c>
      <c r="C215" s="50" t="n">
        <v>6</v>
      </c>
    </row>
    <row r="216" ht="18" customHeight="1" s="87">
      <c r="A216" t="inlineStr">
        <is>
          <t>B307</t>
        </is>
      </c>
      <c r="B216" s="2" t="inlineStr">
        <is>
          <t>Doctoral degrees – research/scholarship</t>
        </is>
      </c>
      <c r="C216" s="50" t="n">
        <v>870</v>
      </c>
    </row>
    <row r="217" ht="18" customHeight="1" s="87">
      <c r="A217" t="inlineStr">
        <is>
          <t>B308</t>
        </is>
      </c>
      <c r="B217" s="2" t="inlineStr">
        <is>
          <t>Doctoral degrees – professional practice</t>
        </is>
      </c>
      <c r="C217" s="50" t="n">
        <v>374</v>
      </c>
    </row>
    <row r="218" ht="18" customHeight="1" s="87">
      <c r="A218" t="inlineStr">
        <is>
          <t>B309</t>
        </is>
      </c>
      <c r="B218" s="2" t="inlineStr">
        <is>
          <t>Doctoral degrees – other</t>
        </is>
      </c>
      <c r="C218" s="50" t="n">
        <v>0</v>
      </c>
    </row>
    <row r="219">
      <c r="C219" s="50" t="n"/>
    </row>
    <row r="220">
      <c r="C220" s="50" t="n"/>
    </row>
    <row r="221">
      <c r="C221" s="50" t="n"/>
    </row>
    <row r="222">
      <c r="C222" s="50" t="n"/>
    </row>
    <row r="223">
      <c r="C223" s="50" t="n"/>
    </row>
    <row r="224">
      <c r="C224" s="50" t="n"/>
    </row>
    <row r="225">
      <c r="C225" s="50" t="n"/>
    </row>
    <row r="226">
      <c r="C226" s="50" t="n"/>
    </row>
    <row r="227">
      <c r="C227" s="50" t="n"/>
    </row>
    <row r="228">
      <c r="C228" s="50" t="n"/>
    </row>
    <row r="229">
      <c r="C229" s="50" t="n"/>
    </row>
    <row r="230">
      <c r="C230" s="50" t="n"/>
    </row>
    <row r="231">
      <c r="C231" s="50" t="n"/>
    </row>
    <row r="232">
      <c r="C232" s="50" t="n"/>
    </row>
    <row r="233">
      <c r="C233" s="50" t="n"/>
    </row>
    <row r="234">
      <c r="C234" s="50" t="n"/>
    </row>
    <row r="235">
      <c r="C235" s="50" t="n"/>
    </row>
    <row r="236">
      <c r="C236" s="50" t="n"/>
    </row>
    <row r="237">
      <c r="C237" s="50" t="n"/>
    </row>
    <row r="238">
      <c r="C238" s="50" t="n"/>
    </row>
    <row r="239">
      <c r="C239" s="50" t="n"/>
    </row>
    <row r="240">
      <c r="C240" s="50" t="n"/>
    </row>
    <row r="241">
      <c r="C241" s="50" t="n"/>
    </row>
    <row r="242">
      <c r="C242" s="50" t="n"/>
    </row>
    <row r="243">
      <c r="C243" s="50" t="n"/>
    </row>
    <row r="244">
      <c r="C244" s="50" t="n"/>
    </row>
    <row r="245">
      <c r="C245" s="50" t="n"/>
    </row>
    <row r="246">
      <c r="C246" s="50" t="n"/>
    </row>
    <row r="247">
      <c r="C247" s="50" t="n"/>
    </row>
    <row r="248">
      <c r="C248" s="50" t="n"/>
    </row>
    <row r="249">
      <c r="C249" s="50" t="n"/>
    </row>
    <row r="250">
      <c r="C250" s="50" t="n"/>
    </row>
    <row r="251">
      <c r="C251" s="50" t="n"/>
    </row>
    <row r="252">
      <c r="C252" s="50" t="n"/>
    </row>
    <row r="253">
      <c r="C253" s="50" t="n"/>
    </row>
    <row r="254" ht="42" customHeight="1" s="87">
      <c r="C254" s="50" t="n"/>
    </row>
    <row r="255" ht="18" customHeight="1" s="87">
      <c r="A255" t="inlineStr">
        <is>
          <t>B401</t>
        </is>
      </c>
      <c r="B255" s="2" t="inlineStr">
        <is>
          <t>Recipients of a Federal Pell Grant</t>
        </is>
      </c>
      <c r="C255" s="50" t="n">
        <v>1917</v>
      </c>
    </row>
    <row r="256" ht="30" customHeight="1" s="87">
      <c r="A256" t="inlineStr">
        <is>
          <t>B402</t>
        </is>
      </c>
      <c r="B256" s="2" t="inlineStr">
        <is>
          <t>Recipients of a Subsidized Stafford Loan who did not receive a Pell Grant</t>
        </is>
      </c>
      <c r="C256" s="50" t="n">
        <v>1074</v>
      </c>
    </row>
    <row r="257" ht="30" customHeight="1" s="87">
      <c r="A257" t="inlineStr">
        <is>
          <t>B403</t>
        </is>
      </c>
      <c r="B257" s="2" t="inlineStr">
        <is>
          <t>Students who did not receive either a Pell Grant or a subsidized Stafford Loan</t>
        </is>
      </c>
      <c r="C257" s="50" t="n">
        <v>4609</v>
      </c>
    </row>
    <row r="258" ht="18" customHeight="1" s="87">
      <c r="A258" t="inlineStr">
        <is>
          <t>B404</t>
        </is>
      </c>
      <c r="B258" s="2" t="inlineStr">
        <is>
          <t xml:space="preserve">Total </t>
        </is>
      </c>
      <c r="C258" s="50" t="n">
        <v>7600</v>
      </c>
    </row>
    <row r="259">
      <c r="C259" s="50" t="n"/>
    </row>
    <row r="260" ht="114" customHeight="1" s="87">
      <c r="C260" s="50" t="n"/>
    </row>
    <row r="261" ht="18" customHeight="1" s="87">
      <c r="A261" t="inlineStr">
        <is>
          <t>B405</t>
        </is>
      </c>
      <c r="B261" s="2" t="inlineStr">
        <is>
          <t>Recipients of a Federal Pell Grant</t>
        </is>
      </c>
      <c r="C261" s="50" t="n">
        <v>4</v>
      </c>
    </row>
    <row r="262" ht="30" customHeight="1" s="87">
      <c r="A262" t="inlineStr">
        <is>
          <t>B406</t>
        </is>
      </c>
      <c r="B262" s="2" t="inlineStr">
        <is>
          <t>Recipients of a Subsidized Stafford Loan who did not receive a Pell Grant</t>
        </is>
      </c>
      <c r="C262" s="50" t="n">
        <v>1</v>
      </c>
    </row>
    <row r="263" ht="30" customHeight="1" s="87">
      <c r="A263" t="inlineStr">
        <is>
          <t>B407</t>
        </is>
      </c>
      <c r="B263" s="2" t="inlineStr">
        <is>
          <t>Students who did not receive either a Pell Grant or a subsidized Stafford Loan</t>
        </is>
      </c>
      <c r="C263" s="50" t="n">
        <v>2</v>
      </c>
    </row>
    <row r="264" ht="18" customHeight="1" s="87">
      <c r="A264" t="inlineStr">
        <is>
          <t>B408</t>
        </is>
      </c>
      <c r="B264" s="2" t="inlineStr">
        <is>
          <t xml:space="preserve">Total </t>
        </is>
      </c>
      <c r="C264" s="50" t="n">
        <v>7</v>
      </c>
    </row>
    <row r="265">
      <c r="C265" s="50" t="n"/>
    </row>
    <row r="266" ht="42" customHeight="1" s="87">
      <c r="C266" s="50" t="n"/>
    </row>
    <row r="267" ht="18" customHeight="1" s="87">
      <c r="A267" t="inlineStr">
        <is>
          <t>B409</t>
        </is>
      </c>
      <c r="B267" s="2" t="inlineStr">
        <is>
          <t>Recipients of a Federal Pell Grant</t>
        </is>
      </c>
      <c r="C267" s="50" t="n">
        <v>1913</v>
      </c>
    </row>
    <row r="268" ht="30" customHeight="1" s="87">
      <c r="A268" t="inlineStr">
        <is>
          <t>B410</t>
        </is>
      </c>
      <c r="B268" s="2" t="inlineStr">
        <is>
          <t>Recipients of a Subsidized Stafford Loan who did not receive a Pell Grant</t>
        </is>
      </c>
      <c r="C268" s="50" t="n">
        <v>1073</v>
      </c>
    </row>
    <row r="269" ht="30" customHeight="1" s="87">
      <c r="A269" t="inlineStr">
        <is>
          <t>B411</t>
        </is>
      </c>
      <c r="B269" s="2" t="inlineStr">
        <is>
          <t>Students who did not receive either a Pell Grant or a subsidized Stafford Loan</t>
        </is>
      </c>
      <c r="C269" s="50" t="n">
        <v>4607</v>
      </c>
    </row>
    <row r="270" ht="18" customHeight="1" s="87">
      <c r="A270" t="inlineStr">
        <is>
          <t>B412</t>
        </is>
      </c>
      <c r="B270" s="2" t="inlineStr">
        <is>
          <t xml:space="preserve">Total </t>
        </is>
      </c>
      <c r="C270" s="50" t="n">
        <v>7593</v>
      </c>
    </row>
    <row r="271">
      <c r="C271" s="50" t="n"/>
    </row>
    <row r="272" ht="42" customHeight="1" s="87">
      <c r="C272" s="50" t="n"/>
    </row>
    <row r="273" ht="18" customHeight="1" s="87">
      <c r="A273" t="inlineStr">
        <is>
          <t>B413</t>
        </is>
      </c>
      <c r="B273" s="2" t="inlineStr">
        <is>
          <t>Recipients of a Federal Pell Grant</t>
        </is>
      </c>
      <c r="C273" s="50" t="n">
        <v>1198</v>
      </c>
    </row>
    <row r="274" ht="30" customHeight="1" s="87">
      <c r="A274" t="inlineStr">
        <is>
          <t>B414</t>
        </is>
      </c>
      <c r="B274" s="2" t="inlineStr">
        <is>
          <t>Recipients of a Subsidized Stafford Loan who did not receive a Pell Grant</t>
        </is>
      </c>
      <c r="C274" s="50" t="n">
        <v>796</v>
      </c>
    </row>
    <row r="275" ht="30" customHeight="1" s="87">
      <c r="A275" t="inlineStr">
        <is>
          <t>B415</t>
        </is>
      </c>
      <c r="B275" s="2" t="inlineStr">
        <is>
          <t>Students who did not receive either a Pell Grant or a subsidized Stafford Loan</t>
        </is>
      </c>
      <c r="C275" s="50" t="n">
        <v>3565</v>
      </c>
    </row>
    <row r="276" ht="18" customHeight="1" s="87">
      <c r="A276" t="inlineStr">
        <is>
          <t>B416</t>
        </is>
      </c>
      <c r="B276" s="2" t="inlineStr">
        <is>
          <t xml:space="preserve">Total </t>
        </is>
      </c>
      <c r="C276" s="50" t="n">
        <v>5559</v>
      </c>
    </row>
    <row r="277">
      <c r="C277" s="50" t="n"/>
    </row>
    <row r="278" ht="48.95" customHeight="1" s="87">
      <c r="C278" s="50" t="n"/>
    </row>
    <row r="279" ht="18" customHeight="1" s="87">
      <c r="A279" t="inlineStr">
        <is>
          <t>B417</t>
        </is>
      </c>
      <c r="B279" s="2" t="inlineStr">
        <is>
          <t>Recipients of a Federal Pell Grant</t>
        </is>
      </c>
      <c r="C279" s="50" t="n">
        <v>224</v>
      </c>
    </row>
    <row r="280" ht="30" customHeight="1" s="87">
      <c r="A280" t="inlineStr">
        <is>
          <t>B418</t>
        </is>
      </c>
      <c r="B280" s="2" t="inlineStr">
        <is>
          <t>Recipients of a Subsidized Stafford Loan who did not receive a Pell Grant</t>
        </is>
      </c>
      <c r="C280" s="50" t="n">
        <v>90</v>
      </c>
    </row>
    <row r="281" ht="30" customHeight="1" s="87">
      <c r="A281" t="inlineStr">
        <is>
          <t>B419</t>
        </is>
      </c>
      <c r="B281" s="2" t="inlineStr">
        <is>
          <t>Students who did not receive either a Pell Grant or a subsidized Stafford Loan</t>
        </is>
      </c>
      <c r="C281" s="50" t="n">
        <v>444</v>
      </c>
    </row>
    <row r="282" ht="18" customHeight="1" s="87">
      <c r="A282" t="inlineStr">
        <is>
          <t>B420</t>
        </is>
      </c>
      <c r="B282" s="2" t="inlineStr">
        <is>
          <t xml:space="preserve">Total </t>
        </is>
      </c>
      <c r="C282" s="50" t="n">
        <v>758</v>
      </c>
    </row>
    <row r="283">
      <c r="C283" s="50" t="n"/>
    </row>
    <row r="284" ht="58.5" customHeight="1" s="87">
      <c r="C284" s="50" t="n"/>
    </row>
    <row r="285" ht="18" customHeight="1" s="87">
      <c r="A285" t="inlineStr">
        <is>
          <t>B421</t>
        </is>
      </c>
      <c r="B285" s="2" t="inlineStr">
        <is>
          <t>Recipients of a Federal Pell Grant</t>
        </is>
      </c>
      <c r="C285" s="50" t="n">
        <v>50</v>
      </c>
    </row>
    <row r="286" ht="30" customHeight="1" s="87">
      <c r="A286" t="inlineStr">
        <is>
          <t>B422</t>
        </is>
      </c>
      <c r="B286" s="2" t="inlineStr">
        <is>
          <t>Recipients of a Subsidized Stafford Loan who did not receive a Pell Grant</t>
        </is>
      </c>
      <c r="C286" s="50" t="n">
        <v>13</v>
      </c>
    </row>
    <row r="287" ht="30" customHeight="1" s="87">
      <c r="A287" t="inlineStr">
        <is>
          <t>B423</t>
        </is>
      </c>
      <c r="B287" s="2" t="inlineStr">
        <is>
          <t>Students who did not receive either a Pell Grant or a subsidized Stafford Loan</t>
        </is>
      </c>
      <c r="C287" s="50" t="n">
        <v>84</v>
      </c>
    </row>
    <row r="288" ht="18" customHeight="1" s="87">
      <c r="A288" t="inlineStr">
        <is>
          <t>B424</t>
        </is>
      </c>
      <c r="B288" s="2" t="inlineStr">
        <is>
          <t xml:space="preserve">Total </t>
        </is>
      </c>
      <c r="C288" s="50" t="n">
        <v>147</v>
      </c>
    </row>
    <row r="289">
      <c r="C289" s="50" t="n"/>
    </row>
    <row r="290" ht="48.95" customHeight="1" s="87">
      <c r="C290" s="50" t="n"/>
    </row>
    <row r="291" ht="18" customHeight="1" s="87">
      <c r="A291" t="inlineStr">
        <is>
          <t>B425</t>
        </is>
      </c>
      <c r="B291" s="2" t="inlineStr">
        <is>
          <t>Recipients of a Federal Pell Grant</t>
        </is>
      </c>
      <c r="C291" s="50" t="n">
        <v>1472</v>
      </c>
    </row>
    <row r="292" ht="30" customHeight="1" s="87">
      <c r="A292" t="inlineStr">
        <is>
          <t>B426</t>
        </is>
      </c>
      <c r="B292" s="2" t="inlineStr">
        <is>
          <t>Recipients of a Subsidized Stafford Loan who did not receive a Pell Grant</t>
        </is>
      </c>
      <c r="C292" s="50" t="n">
        <v>899</v>
      </c>
    </row>
    <row r="293" ht="30" customHeight="1" s="87">
      <c r="A293" t="inlineStr">
        <is>
          <t>B427</t>
        </is>
      </c>
      <c r="B293" s="2" t="inlineStr">
        <is>
          <t>Students who did not receive either a Pell Grant or a subsidized Stafford Loan</t>
        </is>
      </c>
      <c r="C293" s="50" t="n">
        <v>4093</v>
      </c>
    </row>
    <row r="294" ht="18" customHeight="1" s="87">
      <c r="A294" t="inlineStr">
        <is>
          <t>B428</t>
        </is>
      </c>
      <c r="B294" s="2" t="inlineStr">
        <is>
          <t xml:space="preserve">Total </t>
        </is>
      </c>
      <c r="C294" s="50" t="n">
        <v>6464</v>
      </c>
    </row>
    <row r="295">
      <c r="C295" s="50" t="n"/>
    </row>
    <row r="296" ht="48.95" customHeight="1" s="87">
      <c r="C296" s="50" t="n"/>
    </row>
    <row r="297" ht="18" customHeight="1" s="87">
      <c r="A297" t="inlineStr">
        <is>
          <t>B429</t>
        </is>
      </c>
      <c r="B297" s="2" t="inlineStr">
        <is>
          <t>Recipients of a Federal Pell Grant</t>
        </is>
      </c>
      <c r="C297" s="50" t="n">
        <v>0.769472033</v>
      </c>
    </row>
    <row r="298" ht="30" customHeight="1" s="87">
      <c r="A298" t="inlineStr">
        <is>
          <t>B430</t>
        </is>
      </c>
      <c r="B298" s="2" t="inlineStr">
        <is>
          <t>Recipients of a Subsidized Stafford Loan who did not receive a Pell Grant</t>
        </is>
      </c>
      <c r="C298" s="50" t="n">
        <v>0.837837838</v>
      </c>
    </row>
    <row r="299" ht="30" customHeight="1" s="87">
      <c r="A299" t="inlineStr">
        <is>
          <t>B431</t>
        </is>
      </c>
      <c r="B299" s="2" t="inlineStr">
        <is>
          <t>Students who did not receive either a Pell Grant or a subsidized Stafford Loan</t>
        </is>
      </c>
      <c r="C299" s="50" t="n">
        <v>0.888430649</v>
      </c>
    </row>
    <row r="300" ht="18" customHeight="1" s="87">
      <c r="A300" t="inlineStr">
        <is>
          <t>B432</t>
        </is>
      </c>
      <c r="B300" s="2" t="inlineStr">
        <is>
          <t xml:space="preserve">Total </t>
        </is>
      </c>
      <c r="C300" s="50" t="n">
        <v>0.851310417</v>
      </c>
    </row>
    <row r="301">
      <c r="C301" s="50" t="n"/>
    </row>
    <row r="302">
      <c r="C302" s="50" t="n"/>
    </row>
    <row r="303">
      <c r="C303" s="50" t="n"/>
    </row>
    <row r="304">
      <c r="C304" s="50" t="n"/>
    </row>
    <row r="305">
      <c r="C305" s="50" t="n"/>
    </row>
    <row r="306">
      <c r="C306" s="50" t="n"/>
    </row>
    <row r="307" ht="42" customHeight="1" s="87">
      <c r="C307" s="50" t="n"/>
    </row>
    <row r="308" ht="18" customHeight="1" s="87">
      <c r="A308" t="inlineStr">
        <is>
          <t>B501</t>
        </is>
      </c>
      <c r="B308" s="2" t="inlineStr">
        <is>
          <t>Recipients of a Federal Pell Grant</t>
        </is>
      </c>
      <c r="C308" s="50" t="n">
        <v>1849</v>
      </c>
    </row>
    <row r="309" ht="30" customHeight="1" s="87">
      <c r="A309" t="inlineStr">
        <is>
          <t>B502</t>
        </is>
      </c>
      <c r="B309" s="2" t="inlineStr">
        <is>
          <t>Recipients of a Subsidized Stafford Loan who did not receive a Pell Grant</t>
        </is>
      </c>
      <c r="C309" s="50" t="n">
        <v>1125</v>
      </c>
    </row>
    <row r="310" ht="30" customHeight="1" s="87">
      <c r="A310" t="inlineStr">
        <is>
          <t>B503</t>
        </is>
      </c>
      <c r="B310" s="2" t="inlineStr">
        <is>
          <t>Students who did not receive either a Pell Grant or a subsidized Stafford Loan</t>
        </is>
      </c>
      <c r="C310" s="50" t="n">
        <v>4529</v>
      </c>
    </row>
    <row r="311" ht="18" customHeight="1" s="87">
      <c r="A311" t="inlineStr">
        <is>
          <t>B504</t>
        </is>
      </c>
      <c r="B311" s="2" t="inlineStr">
        <is>
          <t xml:space="preserve">Total </t>
        </is>
      </c>
      <c r="C311" s="50" t="n">
        <v>7503</v>
      </c>
    </row>
    <row r="312">
      <c r="C312" s="50" t="n"/>
    </row>
    <row r="313" ht="117.95" customHeight="1" s="87">
      <c r="C313" s="50" t="n"/>
    </row>
    <row r="314" ht="18" customHeight="1" s="87">
      <c r="A314" t="inlineStr">
        <is>
          <t>B505</t>
        </is>
      </c>
      <c r="B314" s="2" t="inlineStr">
        <is>
          <t>Recipients of a Federal Pell Grant</t>
        </is>
      </c>
      <c r="C314" s="50" t="n">
        <v>3</v>
      </c>
    </row>
    <row r="315" ht="30" customHeight="1" s="87">
      <c r="A315" t="inlineStr">
        <is>
          <t>B506</t>
        </is>
      </c>
      <c r="B315" s="2" t="inlineStr">
        <is>
          <t>Recipients of a Subsidized Stafford Loan who did not receive a Pell Grant</t>
        </is>
      </c>
      <c r="C315" s="50" t="n">
        <v>0</v>
      </c>
    </row>
    <row r="316" ht="30" customHeight="1" s="87">
      <c r="A316" t="inlineStr">
        <is>
          <t>B507</t>
        </is>
      </c>
      <c r="B316" s="2" t="inlineStr">
        <is>
          <t>Students who did not receive either a Pell Grant or a subsidized Stafford Loan</t>
        </is>
      </c>
      <c r="C316" s="50" t="n">
        <v>2</v>
      </c>
    </row>
    <row r="317" ht="18" customHeight="1" s="87">
      <c r="A317" t="inlineStr">
        <is>
          <t>B508</t>
        </is>
      </c>
      <c r="B317" s="2" t="inlineStr">
        <is>
          <t xml:space="preserve">Total </t>
        </is>
      </c>
      <c r="C317" s="50" t="n">
        <v>5</v>
      </c>
    </row>
    <row r="318">
      <c r="C318" s="50" t="n"/>
    </row>
    <row r="319" ht="42" customHeight="1" s="87">
      <c r="C319" s="50" t="n"/>
    </row>
    <row r="320" ht="18" customHeight="1" s="87">
      <c r="A320" t="inlineStr">
        <is>
          <t>B509</t>
        </is>
      </c>
      <c r="B320" s="2" t="inlineStr">
        <is>
          <t>Recipients of a Federal Pell Grant</t>
        </is>
      </c>
      <c r="C320" s="50" t="n">
        <v>1846</v>
      </c>
    </row>
    <row r="321" ht="30" customHeight="1" s="87">
      <c r="A321" t="inlineStr">
        <is>
          <t>B510</t>
        </is>
      </c>
      <c r="B321" s="2" t="inlineStr">
        <is>
          <t>Recipients of a Subsidized Stafford Loan who did not receive a Pell Grant</t>
        </is>
      </c>
      <c r="C321" s="50" t="n">
        <v>1125</v>
      </c>
    </row>
    <row r="322" ht="30" customHeight="1" s="87">
      <c r="A322" t="inlineStr">
        <is>
          <t>B511</t>
        </is>
      </c>
      <c r="B322" s="2" t="inlineStr">
        <is>
          <t>Students who did not receive either a Pell Grant or a subsidized Stafford Loan</t>
        </is>
      </c>
      <c r="C322" s="50" t="n">
        <v>4527</v>
      </c>
    </row>
    <row r="323" ht="18" customHeight="1" s="87">
      <c r="A323" t="inlineStr">
        <is>
          <t>B512</t>
        </is>
      </c>
      <c r="B323" s="2" t="inlineStr">
        <is>
          <t xml:space="preserve">Total </t>
        </is>
      </c>
      <c r="C323" s="50" t="n">
        <v>7498</v>
      </c>
    </row>
    <row r="324">
      <c r="C324" s="50" t="n"/>
    </row>
    <row r="325" ht="42" customHeight="1" s="87">
      <c r="C325" s="50" t="n"/>
    </row>
    <row r="326" ht="18" customHeight="1" s="87">
      <c r="A326" t="inlineStr">
        <is>
          <t>B513</t>
        </is>
      </c>
      <c r="B326" s="2" t="inlineStr">
        <is>
          <t>Recipients of a Federal Pell Grant</t>
        </is>
      </c>
      <c r="C326" s="50" t="n">
        <v>1171</v>
      </c>
    </row>
    <row r="327" ht="30" customHeight="1" s="87">
      <c r="A327" t="inlineStr">
        <is>
          <t>B514</t>
        </is>
      </c>
      <c r="B327" s="2" t="inlineStr">
        <is>
          <t>Recipients of a Subsidized Stafford Loan who did not receive a Pell Grant</t>
        </is>
      </c>
      <c r="C327" s="50" t="n">
        <v>847</v>
      </c>
    </row>
    <row r="328" ht="30" customHeight="1" s="87">
      <c r="A328" t="inlineStr">
        <is>
          <t>B515</t>
        </is>
      </c>
      <c r="B328" s="2" t="inlineStr">
        <is>
          <t>Students who did not receive either a Pell Grant or a subsidized Stafford Loan</t>
        </is>
      </c>
      <c r="C328" s="50" t="n">
        <v>3492</v>
      </c>
    </row>
    <row r="329" ht="18" customHeight="1" s="87">
      <c r="A329" t="inlineStr">
        <is>
          <t>B516</t>
        </is>
      </c>
      <c r="B329" s="2" t="inlineStr">
        <is>
          <t xml:space="preserve">Total </t>
        </is>
      </c>
      <c r="C329" s="50" t="n">
        <v>5510</v>
      </c>
    </row>
    <row r="330">
      <c r="C330" s="50" t="n"/>
    </row>
    <row r="331" ht="48.95" customHeight="1" s="87">
      <c r="C331" s="50" t="n"/>
    </row>
    <row r="332" ht="18" customHeight="1" s="87">
      <c r="A332" t="inlineStr">
        <is>
          <t>B517</t>
        </is>
      </c>
      <c r="B332" s="2" t="inlineStr">
        <is>
          <t>Recipients of a Federal Pell Grant</t>
        </is>
      </c>
      <c r="C332" s="50" t="n">
        <v>204</v>
      </c>
    </row>
    <row r="333" ht="30" customHeight="1" s="87">
      <c r="A333" t="inlineStr">
        <is>
          <t>B518</t>
        </is>
      </c>
      <c r="B333" s="2" t="inlineStr">
        <is>
          <t>Recipients of a Subsidized Stafford Loan who did not receive a Pell Grant</t>
        </is>
      </c>
      <c r="C333" s="50" t="n">
        <v>95</v>
      </c>
    </row>
    <row r="334" ht="30" customHeight="1" s="87">
      <c r="A334" t="inlineStr">
        <is>
          <t>B519</t>
        </is>
      </c>
      <c r="B334" s="2" t="inlineStr">
        <is>
          <t>Students who did not receive either a Pell Grant or a subsidized Stafford Loan</t>
        </is>
      </c>
      <c r="C334" s="50" t="n">
        <v>427</v>
      </c>
    </row>
    <row r="335" ht="18" customHeight="1" s="87">
      <c r="A335" t="inlineStr">
        <is>
          <t>B520</t>
        </is>
      </c>
      <c r="B335" s="2" t="inlineStr">
        <is>
          <t xml:space="preserve">Total </t>
        </is>
      </c>
      <c r="C335" s="50" t="n">
        <v>726</v>
      </c>
    </row>
    <row r="336">
      <c r="C336" s="50" t="n"/>
    </row>
    <row r="337" ht="48.95" customHeight="1" s="87">
      <c r="C337" s="50" t="n"/>
    </row>
    <row r="338" ht="18" customHeight="1" s="87">
      <c r="A338" t="inlineStr">
        <is>
          <t>B521</t>
        </is>
      </c>
      <c r="B338" s="2" t="inlineStr">
        <is>
          <t>Recipients of a Federal Pell Grant</t>
        </is>
      </c>
      <c r="C338" s="50" t="n">
        <v>41</v>
      </c>
    </row>
    <row r="339" ht="30" customHeight="1" s="87">
      <c r="A339" t="inlineStr">
        <is>
          <t>B522</t>
        </is>
      </c>
      <c r="B339" s="2" t="inlineStr">
        <is>
          <t>Recipients of a Subsidized Stafford Loan who did not receive a Pell Grant</t>
        </is>
      </c>
      <c r="C339" s="50" t="n">
        <v>13</v>
      </c>
    </row>
    <row r="340" ht="30" customHeight="1" s="87">
      <c r="A340" t="inlineStr">
        <is>
          <t>B523</t>
        </is>
      </c>
      <c r="B340" s="2" t="inlineStr">
        <is>
          <t>Students who did not receive either a Pell Grant or a subsidized Stafford Loan</t>
        </is>
      </c>
      <c r="C340" s="50" t="n">
        <v>75</v>
      </c>
    </row>
    <row r="341" ht="18" customHeight="1" s="87">
      <c r="A341" t="inlineStr">
        <is>
          <t>B524</t>
        </is>
      </c>
      <c r="B341" s="2" t="inlineStr">
        <is>
          <t xml:space="preserve">Total </t>
        </is>
      </c>
      <c r="C341" s="50" t="n">
        <v>129</v>
      </c>
    </row>
    <row r="342">
      <c r="C342" s="50" t="n"/>
    </row>
    <row r="343" ht="48.95" customHeight="1" s="87">
      <c r="C343" s="50" t="n"/>
    </row>
    <row r="344" ht="18" customHeight="1" s="87">
      <c r="A344" t="inlineStr">
        <is>
          <t>B525</t>
        </is>
      </c>
      <c r="B344" s="2" t="inlineStr">
        <is>
          <t>Recipients of a Federal Pell Grant</t>
        </is>
      </c>
      <c r="C344" s="50" t="n">
        <v>1416</v>
      </c>
    </row>
    <row r="345" ht="30" customHeight="1" s="87">
      <c r="A345" t="inlineStr">
        <is>
          <t>B526</t>
        </is>
      </c>
      <c r="B345" s="2" t="inlineStr">
        <is>
          <t>Recipients of a Subsidized Stafford Loan who did not receive a Pell Grant</t>
        </is>
      </c>
      <c r="C345" s="50" t="n">
        <v>955</v>
      </c>
    </row>
    <row r="346" ht="30" customHeight="1" s="87">
      <c r="A346" t="inlineStr">
        <is>
          <t>B527</t>
        </is>
      </c>
      <c r="B346" s="2" t="inlineStr">
        <is>
          <t>Students who did not receive either a Pell Grant or a subsidized Stafford Loan</t>
        </is>
      </c>
      <c r="C346" s="50" t="n">
        <v>3994</v>
      </c>
    </row>
    <row r="347" ht="18" customHeight="1" s="87">
      <c r="A347" t="inlineStr">
        <is>
          <t>B528</t>
        </is>
      </c>
      <c r="B347" s="2" t="inlineStr">
        <is>
          <t xml:space="preserve">Total </t>
        </is>
      </c>
      <c r="C347">
        <f>SUM(C344:C346)</f>
        <v/>
      </c>
    </row>
    <row r="348"/>
    <row r="349" ht="48.95" customHeight="1" s="87"/>
    <row r="350" ht="18" customHeight="1" s="87">
      <c r="A350" t="inlineStr">
        <is>
          <t>B529</t>
        </is>
      </c>
      <c r="B350" s="2" t="inlineStr">
        <is>
          <t>Recipients of a Federal Pell Grant</t>
        </is>
      </c>
      <c r="C350">
        <f>C344/C320</f>
        <v/>
      </c>
    </row>
    <row r="351" ht="30" customHeight="1" s="87">
      <c r="A351" t="inlineStr">
        <is>
          <t>B530</t>
        </is>
      </c>
      <c r="B351" s="2" t="inlineStr">
        <is>
          <t>Recipients of a Subsidized Stafford Loan who did not receive a Pell Grant</t>
        </is>
      </c>
      <c r="C351">
        <f>C345/C321</f>
        <v/>
      </c>
    </row>
    <row r="352" ht="30" customHeight="1" s="87">
      <c r="A352" t="inlineStr">
        <is>
          <t>B531</t>
        </is>
      </c>
      <c r="B352" s="2" t="inlineStr">
        <is>
          <t>Students who did not receive either a Pell Grant or a subsidized Stafford Loan</t>
        </is>
      </c>
      <c r="C352">
        <f>C346/C322</f>
        <v/>
      </c>
    </row>
    <row r="353" ht="18" customHeight="1" s="87">
      <c r="A353" t="inlineStr">
        <is>
          <t>B532</t>
        </is>
      </c>
      <c r="B353" s="2" t="inlineStr">
        <is>
          <t xml:space="preserve">Total </t>
        </is>
      </c>
      <c r="C353">
        <f>C347/C323</f>
        <v/>
      </c>
    </row>
    <row r="354"/>
    <row r="355"/>
    <row r="356"/>
    <row r="357"/>
    <row r="358"/>
    <row r="359"/>
    <row r="360"/>
    <row r="361"/>
    <row r="362"/>
    <row r="363" ht="18" customHeight="1" s="87">
      <c r="A363" t="inlineStr">
        <is>
          <t>B1201</t>
        </is>
      </c>
      <c r="B363" s="2" t="inlineStr">
        <is>
          <t>2021 Cohort</t>
        </is>
      </c>
      <c r="C363" t="inlineStr">
        <is>
          <t>N/A</t>
        </is>
      </c>
    </row>
    <row r="364" ht="18" customHeight="1" s="87">
      <c r="A364" t="inlineStr">
        <is>
          <t>B1202</t>
        </is>
      </c>
      <c r="B364" s="2" t="inlineStr">
        <is>
          <t>2020 Cohort</t>
        </is>
      </c>
      <c r="C364" t="inlineStr">
        <is>
          <t>N/A</t>
        </is>
      </c>
    </row>
    <row r="365"/>
    <row r="366"/>
    <row r="367"/>
    <row r="368"/>
    <row r="369"/>
    <row r="370"/>
    <row r="371"/>
    <row r="372"/>
    <row r="373"/>
    <row r="374" ht="18" customHeight="1" s="87">
      <c r="A374" t="inlineStr">
        <is>
          <t>B1301</t>
        </is>
      </c>
      <c r="B374" s="2" t="inlineStr">
        <is>
          <t>2021 Cohort</t>
        </is>
      </c>
      <c r="C374" t="inlineStr">
        <is>
          <t>N/A</t>
        </is>
      </c>
    </row>
    <row r="375" ht="18" customHeight="1" s="87">
      <c r="A375" t="inlineStr">
        <is>
          <t>B1302</t>
        </is>
      </c>
      <c r="B375" s="2" t="inlineStr">
        <is>
          <t>2020 Cohort</t>
        </is>
      </c>
      <c r="C375" t="inlineStr">
        <is>
          <t>N/A</t>
        </is>
      </c>
    </row>
    <row r="376"/>
    <row r="377"/>
    <row r="378"/>
    <row r="379" ht="18" customHeight="1" s="87">
      <c r="A379" t="inlineStr">
        <is>
          <t>B1401</t>
        </is>
      </c>
      <c r="B379" s="2" t="inlineStr">
        <is>
          <t>2021 Cohort</t>
        </is>
      </c>
      <c r="C379" t="inlineStr">
        <is>
          <t>N/A</t>
        </is>
      </c>
    </row>
    <row r="380" ht="18" customHeight="1" s="87">
      <c r="A380" t="inlineStr">
        <is>
          <t>B1402</t>
        </is>
      </c>
      <c r="B380" s="2" t="inlineStr">
        <is>
          <t>2020 Cohort</t>
        </is>
      </c>
      <c r="C380" t="inlineStr">
        <is>
          <t>N/A</t>
        </is>
      </c>
    </row>
    <row r="381"/>
    <row r="382"/>
    <row r="383"/>
    <row r="384" ht="18" customHeight="1" s="87">
      <c r="A384" t="inlineStr">
        <is>
          <t>B1501</t>
        </is>
      </c>
      <c r="B384" s="2" t="inlineStr">
        <is>
          <t>2021 Cohort</t>
        </is>
      </c>
      <c r="C384" t="inlineStr">
        <is>
          <t>N/A</t>
        </is>
      </c>
    </row>
    <row r="385" ht="18" customHeight="1" s="87">
      <c r="A385" t="inlineStr">
        <is>
          <t>B1502</t>
        </is>
      </c>
      <c r="B385" s="2" t="inlineStr">
        <is>
          <t>2020 Cohort</t>
        </is>
      </c>
      <c r="C385" t="inlineStr">
        <is>
          <t>N/A</t>
        </is>
      </c>
    </row>
    <row r="386"/>
    <row r="387"/>
    <row r="388"/>
    <row r="389" ht="18" customHeight="1" s="87">
      <c r="A389" t="inlineStr">
        <is>
          <t>B1601</t>
        </is>
      </c>
      <c r="B389" s="2" t="inlineStr">
        <is>
          <t>2021 Cohort</t>
        </is>
      </c>
      <c r="C389" t="inlineStr">
        <is>
          <t>N/A</t>
        </is>
      </c>
    </row>
    <row r="390" ht="18" customHeight="1" s="87">
      <c r="A390" t="inlineStr">
        <is>
          <t>B1602</t>
        </is>
      </c>
      <c r="B390" s="2" t="inlineStr">
        <is>
          <t>2020 Cohort</t>
        </is>
      </c>
      <c r="C390" t="inlineStr">
        <is>
          <t>N/A</t>
        </is>
      </c>
    </row>
    <row r="391"/>
    <row r="392"/>
    <row r="393"/>
    <row r="394" ht="17.1" customHeight="1" s="87">
      <c r="A394" t="inlineStr">
        <is>
          <t>B1701</t>
        </is>
      </c>
      <c r="B394" s="2" t="inlineStr">
        <is>
          <t>2021 Cohort</t>
        </is>
      </c>
      <c r="C394" t="inlineStr">
        <is>
          <t>N/A</t>
        </is>
      </c>
    </row>
    <row r="395" ht="17.1" customHeight="1" s="87">
      <c r="A395" t="inlineStr">
        <is>
          <t>B1702</t>
        </is>
      </c>
      <c r="B395" s="2" t="inlineStr">
        <is>
          <t>2020 Cohort</t>
        </is>
      </c>
      <c r="C395" t="inlineStr">
        <is>
          <t>N/A</t>
        </is>
      </c>
    </row>
    <row r="396"/>
    <row r="397"/>
    <row r="398"/>
    <row r="399" ht="18" customHeight="1" s="87">
      <c r="A399" t="inlineStr">
        <is>
          <t>B1801</t>
        </is>
      </c>
      <c r="B399" s="2" t="inlineStr">
        <is>
          <t>2021 Cohort</t>
        </is>
      </c>
      <c r="C399" t="inlineStr">
        <is>
          <t>N/A</t>
        </is>
      </c>
    </row>
    <row r="400" ht="18" customHeight="1" s="87">
      <c r="A400" t="inlineStr">
        <is>
          <t>B1802</t>
        </is>
      </c>
      <c r="B400" s="2" t="inlineStr">
        <is>
          <t>2020 Cohort</t>
        </is>
      </c>
      <c r="C400" t="inlineStr">
        <is>
          <t>N/A</t>
        </is>
      </c>
    </row>
    <row r="401" ht="18" customHeight="1" s="87"/>
    <row r="402"/>
    <row r="403"/>
    <row r="404"/>
    <row r="405" ht="18" customHeight="1" s="87">
      <c r="A405" t="inlineStr">
        <is>
          <t>B1901</t>
        </is>
      </c>
      <c r="B405" s="2" t="inlineStr">
        <is>
          <t>2021 Cohort</t>
        </is>
      </c>
      <c r="C405" t="inlineStr">
        <is>
          <t>N/A</t>
        </is>
      </c>
    </row>
    <row r="406" ht="18" customHeight="1" s="87">
      <c r="A406" t="inlineStr">
        <is>
          <t>B1902</t>
        </is>
      </c>
      <c r="B406" s="2" t="inlineStr">
        <is>
          <t>2020 Cohort</t>
        </is>
      </c>
      <c r="C406" t="inlineStr">
        <is>
          <t>N/A</t>
        </is>
      </c>
    </row>
    <row r="407" ht="18" customHeight="1" s="87"/>
    <row r="408"/>
    <row r="409"/>
    <row r="410"/>
    <row r="411" ht="18" customHeight="1" s="87">
      <c r="A411" t="inlineStr">
        <is>
          <t>B2001</t>
        </is>
      </c>
      <c r="B411" s="2" t="inlineStr">
        <is>
          <t>2021 Cohort</t>
        </is>
      </c>
      <c r="C411" t="inlineStr">
        <is>
          <t>N/A</t>
        </is>
      </c>
    </row>
    <row r="412" ht="18" customHeight="1" s="87">
      <c r="A412" t="inlineStr">
        <is>
          <t>B2002</t>
        </is>
      </c>
      <c r="B412" s="2" t="inlineStr">
        <is>
          <t>2020 Cohort</t>
        </is>
      </c>
      <c r="C412" t="inlineStr">
        <is>
          <t>N/A</t>
        </is>
      </c>
    </row>
    <row r="413" ht="18" customHeight="1" s="87"/>
    <row r="414"/>
    <row r="415"/>
    <row r="416"/>
    <row r="417" ht="18" customHeight="1" s="87">
      <c r="A417" t="inlineStr">
        <is>
          <t>B2101</t>
        </is>
      </c>
      <c r="B417" s="2" t="inlineStr">
        <is>
          <t>2021 Cohort</t>
        </is>
      </c>
      <c r="C417" t="inlineStr">
        <is>
          <t>N/A</t>
        </is>
      </c>
    </row>
    <row r="418" ht="18" customHeight="1" s="87">
      <c r="A418" t="inlineStr">
        <is>
          <t>B2102</t>
        </is>
      </c>
      <c r="B418" s="2" t="inlineStr">
        <is>
          <t>2020 Cohort</t>
        </is>
      </c>
      <c r="C418" t="inlineStr">
        <is>
          <t>N/A</t>
        </is>
      </c>
    </row>
    <row r="419"/>
    <row r="420"/>
    <row r="421"/>
    <row r="422"/>
    <row r="423"/>
    <row r="424"/>
    <row r="425"/>
    <row r="426"/>
    <row r="427"/>
    <row r="428"/>
    <row r="429"/>
    <row r="430"/>
    <row r="431" ht="18" customHeight="1" s="87"/>
    <row r="432" ht="109.5" customFormat="1" customHeight="1" s="47">
      <c r="A432" s="47" t="inlineStr">
        <is>
          <t>B2201</t>
        </is>
      </c>
      <c r="B432" s="53" t="inlineStr">
        <is>
          <t>For the cohort of all full-time bachelor’s (or equivalent) degree-seeking undergraduate students who entered your institution as first-year students in Fall 2023 (or the preceding summer term), what percentage was enrolled at your institution as of the date your institution calculates its official enrollment in Fall 2024.</t>
        </is>
      </c>
      <c r="C432" s="54" t="n">
        <v>0.948</v>
      </c>
    </row>
  </sheetData>
  <autoFilter ref="A1:L432"/>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92"/>
  <sheetViews>
    <sheetView zoomScaleNormal="100" workbookViewId="0">
      <pane ySplit="1" topLeftCell="A2" activePane="bottomLeft" state="frozen"/>
      <selection pane="bottomLeft" activeCell="A2" sqref="A2"/>
    </sheetView>
  </sheetViews>
  <sheetFormatPr baseColWidth="8" defaultColWidth="8.85546875" defaultRowHeight="15"/>
  <cols>
    <col width="8.42578125" customWidth="1" style="87" min="1" max="1"/>
    <col width="56.7109375" customWidth="1" style="87" min="2" max="2"/>
    <col width="45.42578125" customWidth="1" style="87" min="3" max="3"/>
    <col width="27" customWidth="1" style="87" min="4" max="4"/>
  </cols>
  <sheetData>
    <row r="1">
      <c r="A1" t="inlineStr">
        <is>
          <t>Question Number</t>
        </is>
      </c>
      <c r="B1" t="inlineStr">
        <is>
          <t>Question</t>
        </is>
      </c>
      <c r="C1" t="inlineStr">
        <is>
          <t>Answer</t>
        </is>
      </c>
    </row>
    <row r="2"/>
    <row r="3"/>
    <row r="4"/>
    <row r="5"/>
    <row r="6"/>
    <row r="7"/>
    <row r="8"/>
    <row r="9"/>
    <row r="10"/>
    <row r="11"/>
    <row r="12"/>
    <row r="13"/>
    <row r="14"/>
    <row r="15"/>
    <row r="16"/>
    <row r="17"/>
    <row r="18"/>
    <row r="19"/>
    <row r="20"/>
    <row r="21"/>
    <row r="22"/>
    <row r="23"/>
    <row r="24"/>
    <row r="25"/>
    <row r="26" ht="18" customHeight="1" s="87"/>
    <row r="27" ht="18" customHeight="1" s="87">
      <c r="A27" t="inlineStr">
        <is>
          <t>C101</t>
        </is>
      </c>
      <c r="B27" t="inlineStr">
        <is>
          <t>Total first-time, first-year men who applied</t>
        </is>
      </c>
      <c r="C27" s="48" t="n">
        <v>41597</v>
      </c>
    </row>
    <row r="28" ht="18" customHeight="1" s="87">
      <c r="A28" t="inlineStr">
        <is>
          <t>C102</t>
        </is>
      </c>
      <c r="B28" t="inlineStr">
        <is>
          <t>Total first-time, first-year women who applied</t>
        </is>
      </c>
      <c r="C28" s="48" t="n">
        <v>32124</v>
      </c>
    </row>
    <row r="29" ht="18" customHeight="1" s="87">
      <c r="A29" t="inlineStr">
        <is>
          <t>C103</t>
        </is>
      </c>
      <c r="B29" t="inlineStr">
        <is>
          <t>Total first-time, first-year another gender who applied</t>
        </is>
      </c>
      <c r="C29" t="n">
        <v>0</v>
      </c>
    </row>
    <row r="30" ht="18" customHeight="1" s="87">
      <c r="A30" t="inlineStr">
        <is>
          <t>C104</t>
        </is>
      </c>
      <c r="B30" t="inlineStr">
        <is>
          <t>Total first-time, first-year unknown gender who applied</t>
        </is>
      </c>
      <c r="C30" t="n">
        <v>21</v>
      </c>
    </row>
    <row r="31"/>
    <row r="32" ht="18" customHeight="1" s="87"/>
    <row r="33">
      <c r="A33" t="inlineStr">
        <is>
          <t>C105</t>
        </is>
      </c>
      <c r="B33" t="inlineStr">
        <is>
          <t>Total first-time, first-year men who were admitted</t>
        </is>
      </c>
      <c r="C33" s="48" t="n">
        <v>15134</v>
      </c>
    </row>
    <row r="34">
      <c r="A34" t="inlineStr">
        <is>
          <t>C106</t>
        </is>
      </c>
      <c r="B34" t="inlineStr">
        <is>
          <t>Total first-time, first-year women who were admitted</t>
        </is>
      </c>
      <c r="C34" s="48" t="n">
        <v>16102</v>
      </c>
    </row>
    <row r="35">
      <c r="A35" t="inlineStr">
        <is>
          <t>C107</t>
        </is>
      </c>
      <c r="B35" t="inlineStr">
        <is>
          <t>Total first-time, first-year another gender who were admitted</t>
        </is>
      </c>
      <c r="C35" t="n">
        <v>0</v>
      </c>
    </row>
    <row r="36">
      <c r="A36" t="inlineStr">
        <is>
          <t>C108</t>
        </is>
      </c>
      <c r="B36" t="inlineStr">
        <is>
          <t>Total first-time, first-year unknown gender who were admitted</t>
        </is>
      </c>
      <c r="C36" t="n">
        <v>11</v>
      </c>
    </row>
    <row r="37"/>
    <row r="38" ht="18" customHeight="1" s="87"/>
    <row r="39" ht="18" customHeight="1" s="87">
      <c r="A39" t="inlineStr">
        <is>
          <t>C109</t>
        </is>
      </c>
      <c r="B39" t="inlineStr">
        <is>
          <t>Total full-time, first-time, first-year men who enrolled</t>
        </is>
      </c>
      <c r="C39" t="n">
        <v>4538</v>
      </c>
    </row>
    <row r="40" ht="18" customHeight="1" s="87">
      <c r="A40" t="inlineStr">
        <is>
          <t>C110</t>
        </is>
      </c>
      <c r="B40" t="inlineStr">
        <is>
          <t>Total part-time, first-time, first-year men who enrolled</t>
        </is>
      </c>
      <c r="C40" t="n">
        <v>0</v>
      </c>
    </row>
    <row r="41" ht="18" customHeight="1" s="87">
      <c r="A41" t="inlineStr">
        <is>
          <t>C111</t>
        </is>
      </c>
      <c r="B41" t="inlineStr">
        <is>
          <t>Total full-time, first-time, first-year women who enrolled</t>
        </is>
      </c>
      <c r="C41" t="n">
        <v>4469</v>
      </c>
    </row>
    <row r="42" ht="18" customHeight="1" s="87">
      <c r="A42" t="inlineStr">
        <is>
          <t>C112</t>
        </is>
      </c>
      <c r="B42" t="inlineStr">
        <is>
          <t>Total part-time, first-time, first-year women who enrolled</t>
        </is>
      </c>
      <c r="C42" t="n">
        <v>0</v>
      </c>
    </row>
    <row r="43" ht="18" customHeight="1" s="87">
      <c r="A43" t="inlineStr">
        <is>
          <t>C113</t>
        </is>
      </c>
      <c r="B43" t="inlineStr">
        <is>
          <t>Total full-time, first-time, first-year another gender who enrolled</t>
        </is>
      </c>
      <c r="C43" t="n">
        <v>0</v>
      </c>
    </row>
    <row r="44" ht="18" customHeight="1" s="87">
      <c r="A44" t="inlineStr">
        <is>
          <t>C114</t>
        </is>
      </c>
      <c r="B44" t="inlineStr">
        <is>
          <t>Total part-time, first-time, first-year another gender who enrolled</t>
        </is>
      </c>
      <c r="C44" t="n">
        <v>0</v>
      </c>
    </row>
    <row r="45" ht="18" customHeight="1" s="87">
      <c r="A45" t="inlineStr">
        <is>
          <t>C115</t>
        </is>
      </c>
      <c r="B45" t="inlineStr">
        <is>
          <t>Total full-time, first-time, first-year unknown gender who enrolled</t>
        </is>
      </c>
      <c r="C45" t="n">
        <v>1</v>
      </c>
    </row>
    <row r="46" ht="18" customHeight="1" s="87">
      <c r="A46" t="inlineStr">
        <is>
          <t>C116</t>
        </is>
      </c>
      <c r="B46" t="inlineStr">
        <is>
          <t>Total part-time, first-time, first-year unknown gender who enrolled</t>
        </is>
      </c>
      <c r="C46" t="n">
        <v>0</v>
      </c>
    </row>
    <row r="47">
      <c r="C47">
        <f>SUM(C39:C46)</f>
        <v/>
      </c>
    </row>
    <row r="48" ht="18" customHeight="1" s="87"/>
    <row r="49" ht="18" customHeight="1" s="87">
      <c r="A49" t="inlineStr">
        <is>
          <t>C117</t>
        </is>
      </c>
      <c r="B49" t="inlineStr">
        <is>
          <t>Total first-time, first-year students who applied</t>
        </is>
      </c>
      <c r="C49">
        <f>SUM(C27:C30)</f>
        <v/>
      </c>
    </row>
    <row r="50" ht="18" customHeight="1" s="87">
      <c r="A50" t="inlineStr">
        <is>
          <t>C118</t>
        </is>
      </c>
      <c r="B50" t="inlineStr">
        <is>
          <t>Total first-time, first-year students who were admitted</t>
        </is>
      </c>
      <c r="C50">
        <f>SUM(C33:C36)</f>
        <v/>
      </c>
    </row>
    <row r="51" ht="18" customHeight="1" s="87">
      <c r="A51" t="inlineStr">
        <is>
          <t>C119</t>
        </is>
      </c>
      <c r="B51" t="inlineStr">
        <is>
          <t>Total first-time, first-year students who enrolled</t>
        </is>
      </c>
      <c r="C51">
        <f>SUM(C39:C46)</f>
        <v/>
      </c>
    </row>
    <row r="52"/>
    <row r="53"/>
    <row r="54"/>
    <row r="55"/>
    <row r="56"/>
    <row r="57"/>
    <row r="58">
      <c r="B58" s="1" t="n"/>
    </row>
    <row r="59" ht="18" customHeight="1" s="87"/>
    <row r="60" ht="18" customHeight="1" s="87">
      <c r="A60" t="inlineStr">
        <is>
          <t>C120</t>
        </is>
      </c>
      <c r="B60" t="inlineStr">
        <is>
          <t>Total first-time, first-year who applied</t>
        </is>
      </c>
      <c r="C60" s="44" t="n">
        <v>27730</v>
      </c>
    </row>
    <row r="61" ht="18" customHeight="1" s="87">
      <c r="A61" t="inlineStr">
        <is>
          <t>C121</t>
        </is>
      </c>
      <c r="B61" t="inlineStr">
        <is>
          <t>Total first-time, first-year who were admitted</t>
        </is>
      </c>
      <c r="C61" t="n">
        <v>15083</v>
      </c>
    </row>
    <row r="62" ht="18" customHeight="1" s="87">
      <c r="A62" t="inlineStr">
        <is>
          <t>C122</t>
        </is>
      </c>
      <c r="B62" t="inlineStr">
        <is>
          <t>Total first-time, first-year who enrolled</t>
        </is>
      </c>
      <c r="C62" t="n">
        <v>6429</v>
      </c>
    </row>
    <row r="63"/>
    <row r="64" ht="18" customHeight="1" s="87"/>
    <row r="65" ht="18" customHeight="1" s="87">
      <c r="A65" t="inlineStr">
        <is>
          <t>C123</t>
        </is>
      </c>
      <c r="B65" t="inlineStr">
        <is>
          <t>Total first-time, first-year who applied</t>
        </is>
      </c>
      <c r="C65" t="n">
        <v>27575</v>
      </c>
    </row>
    <row r="66" ht="18" customHeight="1" s="87">
      <c r="A66" t="inlineStr">
        <is>
          <t>C124</t>
        </is>
      </c>
      <c r="B66" t="inlineStr">
        <is>
          <t>Total first-time, first-year who were admitted</t>
        </is>
      </c>
      <c r="C66" t="n">
        <v>9983</v>
      </c>
    </row>
    <row r="67" ht="18" customHeight="1" s="87">
      <c r="A67" t="inlineStr">
        <is>
          <t>C125</t>
        </is>
      </c>
      <c r="B67" t="inlineStr">
        <is>
          <t>Total first-time, first-year who enrolled</t>
        </is>
      </c>
      <c r="C67">
        <f>1346</f>
        <v/>
      </c>
    </row>
    <row r="68"/>
    <row r="69" ht="18" customHeight="1" s="87"/>
    <row r="70" ht="18" customHeight="1" s="87">
      <c r="A70" t="inlineStr">
        <is>
          <t>C126</t>
        </is>
      </c>
      <c r="B70" t="inlineStr">
        <is>
          <t>Total first-time, first-year who applied</t>
        </is>
      </c>
      <c r="C70" t="n">
        <v>18437</v>
      </c>
    </row>
    <row r="71" ht="18" customHeight="1" s="87">
      <c r="A71" t="inlineStr">
        <is>
          <t>C127</t>
        </is>
      </c>
      <c r="B71" t="inlineStr">
        <is>
          <t>Total first-time, first-year who were admitted</t>
        </is>
      </c>
      <c r="C71" t="n">
        <v>6181</v>
      </c>
    </row>
    <row r="72" ht="18" customHeight="1" s="87">
      <c r="A72" t="inlineStr">
        <is>
          <t>C128</t>
        </is>
      </c>
      <c r="B72" t="inlineStr">
        <is>
          <t>Total first-time, first-year who enrolled</t>
        </is>
      </c>
      <c r="C72" t="n">
        <v>1233</v>
      </c>
    </row>
    <row r="73"/>
    <row r="74" ht="18" customHeight="1" s="87"/>
    <row r="75" ht="18" customHeight="1" s="87">
      <c r="A75" t="inlineStr">
        <is>
          <t>C129</t>
        </is>
      </c>
      <c r="B75" t="inlineStr">
        <is>
          <t>Total first-time, first-year who applied</t>
        </is>
      </c>
      <c r="C75" s="47" t="inlineStr">
        <is>
          <t>N/A</t>
        </is>
      </c>
    </row>
    <row r="76" ht="18" customHeight="1" s="87">
      <c r="A76" t="inlineStr">
        <is>
          <t>C130</t>
        </is>
      </c>
      <c r="B76" t="inlineStr">
        <is>
          <t>Total first-time, first-year who were admitted</t>
        </is>
      </c>
      <c r="C76" s="47" t="inlineStr">
        <is>
          <t>N/A</t>
        </is>
      </c>
    </row>
    <row r="77" ht="18" customHeight="1" s="87">
      <c r="A77" t="inlineStr">
        <is>
          <t>C131</t>
        </is>
      </c>
      <c r="B77" t="inlineStr">
        <is>
          <t>Total first-time, first-year who enrolled</t>
        </is>
      </c>
      <c r="C77" s="47" t="inlineStr">
        <is>
          <t>N/A</t>
        </is>
      </c>
    </row>
    <row r="78"/>
    <row r="79"/>
    <row r="80"/>
    <row r="81"/>
    <row r="82"/>
    <row r="83"/>
    <row r="84" ht="18" customHeight="1" s="87"/>
    <row r="85" ht="18" customHeight="1" s="87">
      <c r="A85" t="inlineStr">
        <is>
          <t>C201</t>
        </is>
      </c>
      <c r="B85" t="inlineStr">
        <is>
          <t>Do you have a policy of placing students on a waiting list?</t>
        </is>
      </c>
      <c r="C85" t="inlineStr">
        <is>
          <t>Y</t>
        </is>
      </c>
    </row>
    <row r="86"/>
    <row r="87"/>
    <row r="88"/>
    <row r="89"/>
    <row r="90"/>
    <row r="91" ht="18" customHeight="1" s="87">
      <c r="A91" t="inlineStr">
        <is>
          <t>C202</t>
        </is>
      </c>
      <c r="B91" t="inlineStr">
        <is>
          <t>Number of qualified applicants offered a place on waiting list:</t>
        </is>
      </c>
      <c r="C91" s="45" t="n">
        <v>2794</v>
      </c>
    </row>
    <row r="92" ht="18" customHeight="1" s="87">
      <c r="A92" t="inlineStr">
        <is>
          <t>C203</t>
        </is>
      </c>
      <c r="B92" t="inlineStr">
        <is>
          <t>Number accepting a place on the waiting list:</t>
        </is>
      </c>
      <c r="C92" s="45" t="n">
        <v>1874</v>
      </c>
    </row>
    <row r="93" ht="18" customHeight="1" s="87">
      <c r="A93" t="inlineStr">
        <is>
          <t>C204</t>
        </is>
      </c>
      <c r="B93" t="inlineStr">
        <is>
          <t>Number of wait-listed students admitted:</t>
        </is>
      </c>
      <c r="C93" s="45" t="n">
        <v>1</v>
      </c>
    </row>
    <row r="94"/>
    <row r="95" ht="18" customHeight="1" s="87"/>
    <row r="96" ht="18" customHeight="1" s="87">
      <c r="A96" t="inlineStr">
        <is>
          <t>C205</t>
        </is>
      </c>
      <c r="B96" t="inlineStr">
        <is>
          <t>Is your waiting list ranked?</t>
        </is>
      </c>
      <c r="C96" t="inlineStr">
        <is>
          <t>N</t>
        </is>
      </c>
    </row>
    <row r="97" ht="18" customHeight="1" s="87">
      <c r="A97" t="inlineStr">
        <is>
          <t>C206</t>
        </is>
      </c>
      <c r="B97" t="inlineStr">
        <is>
          <t>If yes, do you release that information to students?</t>
        </is>
      </c>
    </row>
    <row r="98" ht="18" customHeight="1" s="87">
      <c r="A98" t="inlineStr">
        <is>
          <t>C207</t>
        </is>
      </c>
      <c r="B98" t="inlineStr">
        <is>
          <t>Do you release that information to school counselors?</t>
        </is>
      </c>
    </row>
    <row r="99"/>
    <row r="100"/>
    <row r="101"/>
    <row r="102"/>
    <row r="103"/>
    <row r="104"/>
    <row r="105"/>
    <row r="106"/>
    <row r="107"/>
    <row r="108"/>
    <row r="109"/>
    <row r="110" ht="18" customHeight="1" s="87">
      <c r="A110" t="inlineStr">
        <is>
          <t>C301</t>
        </is>
      </c>
      <c r="B110" t="inlineStr">
        <is>
          <t>High school diploma is required and GED is accepted</t>
        </is>
      </c>
      <c r="C110" t="inlineStr">
        <is>
          <t>X</t>
        </is>
      </c>
    </row>
    <row r="111" ht="18" customHeight="1" s="87">
      <c r="A111" t="inlineStr">
        <is>
          <t>C302</t>
        </is>
      </c>
      <c r="B111" t="inlineStr">
        <is>
          <t>High school diploma is required and GED is not accepted</t>
        </is>
      </c>
    </row>
    <row r="112" ht="18" customHeight="1" s="87">
      <c r="A112" t="inlineStr">
        <is>
          <t>C303</t>
        </is>
      </c>
      <c r="B112" t="inlineStr">
        <is>
          <t>High school diploma or equivalent is not required</t>
        </is>
      </c>
    </row>
    <row r="113"/>
    <row r="114"/>
    <row r="115"/>
    <row r="116"/>
    <row r="117"/>
    <row r="118" ht="18" customHeight="1" s="87">
      <c r="A118" t="inlineStr">
        <is>
          <t>C401</t>
        </is>
      </c>
      <c r="B118" t="inlineStr">
        <is>
          <t>Require</t>
        </is>
      </c>
    </row>
    <row r="119" ht="18" customHeight="1" s="87">
      <c r="A119" t="inlineStr">
        <is>
          <t>C402</t>
        </is>
      </c>
      <c r="B119" t="inlineStr">
        <is>
          <t>Recommend</t>
        </is>
      </c>
    </row>
    <row r="120" ht="18" customHeight="1" s="87">
      <c r="A120" t="inlineStr">
        <is>
          <t>C403</t>
        </is>
      </c>
      <c r="B120" t="inlineStr">
        <is>
          <t>Neither require nor recommend</t>
        </is>
      </c>
      <c r="C120" t="inlineStr">
        <is>
          <t>X</t>
        </is>
      </c>
    </row>
    <row r="121"/>
    <row r="122"/>
    <row r="123" ht="18" customHeight="1" s="87"/>
    <row r="124"/>
    <row r="125"/>
    <row r="126"/>
    <row r="127"/>
    <row r="128"/>
    <row r="129"/>
    <row r="130" ht="18" customHeight="1" s="87"/>
    <row r="131" ht="18" customHeight="1" s="87">
      <c r="A131" t="inlineStr">
        <is>
          <t>C501</t>
        </is>
      </c>
      <c r="B131" t="inlineStr">
        <is>
          <t>Total academic units</t>
        </is>
      </c>
      <c r="C131" s="93" t="n">
        <v>15</v>
      </c>
    </row>
    <row r="132" ht="18" customHeight="1" s="87">
      <c r="A132" t="inlineStr">
        <is>
          <t>C502</t>
        </is>
      </c>
      <c r="B132" t="inlineStr">
        <is>
          <t>English</t>
        </is>
      </c>
      <c r="C132" s="93" t="n">
        <v>4</v>
      </c>
    </row>
    <row r="133" ht="18" customHeight="1" s="87">
      <c r="A133" t="inlineStr">
        <is>
          <t>C503</t>
        </is>
      </c>
      <c r="B133" t="inlineStr">
        <is>
          <t>Mathematics</t>
        </is>
      </c>
      <c r="C133" s="93" t="n">
        <v>3</v>
      </c>
    </row>
    <row r="134" ht="18" customHeight="1" s="87">
      <c r="A134" t="inlineStr">
        <is>
          <t>C504</t>
        </is>
      </c>
      <c r="B134" t="inlineStr">
        <is>
          <t>Science</t>
        </is>
      </c>
      <c r="C134" s="93" t="n">
        <v>2</v>
      </c>
    </row>
    <row r="135" ht="18" customHeight="1" s="87">
      <c r="A135" t="inlineStr">
        <is>
          <t>C505</t>
        </is>
      </c>
      <c r="B135" t="inlineStr">
        <is>
          <t xml:space="preserve">    Of these, units that must be lab</t>
        </is>
      </c>
      <c r="C135" s="93" t="n">
        <v>2</v>
      </c>
    </row>
    <row r="136" ht="18" customHeight="1" s="87">
      <c r="A136" t="inlineStr">
        <is>
          <t>C506</t>
        </is>
      </c>
      <c r="B136" t="inlineStr">
        <is>
          <t>Foreign language</t>
        </is>
      </c>
      <c r="C136" s="93" t="n">
        <v>2</v>
      </c>
    </row>
    <row r="137" ht="18" customHeight="1" s="87">
      <c r="A137" t="inlineStr">
        <is>
          <t>C507</t>
        </is>
      </c>
      <c r="B137" t="inlineStr">
        <is>
          <t>Social studies</t>
        </is>
      </c>
      <c r="C137" s="93" t="n">
        <v>2</v>
      </c>
    </row>
    <row r="138" ht="18" customHeight="1" s="87">
      <c r="A138" t="inlineStr">
        <is>
          <t>C508</t>
        </is>
      </c>
      <c r="B138" t="inlineStr">
        <is>
          <t>History</t>
        </is>
      </c>
      <c r="C138" s="93" t="n">
        <v>0</v>
      </c>
    </row>
    <row r="139" ht="18" customHeight="1" s="87">
      <c r="A139" t="inlineStr">
        <is>
          <t>C509</t>
        </is>
      </c>
      <c r="B139" t="inlineStr">
        <is>
          <t>Academic electives</t>
        </is>
      </c>
      <c r="C139" s="93" t="n">
        <v>2</v>
      </c>
    </row>
    <row r="140" ht="18" customHeight="1" s="87">
      <c r="A140" t="inlineStr">
        <is>
          <t>C510</t>
        </is>
      </c>
      <c r="B140" t="inlineStr">
        <is>
          <t>Computer Science</t>
        </is>
      </c>
      <c r="C140" s="93" t="n">
        <v>0</v>
      </c>
    </row>
    <row r="141" ht="18" customHeight="1" s="87">
      <c r="A141" t="inlineStr">
        <is>
          <t>C511</t>
        </is>
      </c>
      <c r="B141" t="inlineStr">
        <is>
          <t>Visual/Performing Arts</t>
        </is>
      </c>
      <c r="C141" t="n">
        <v>0</v>
      </c>
    </row>
    <row r="142" ht="18" customHeight="1" s="87"/>
    <row r="143" ht="18" customHeight="1" s="87">
      <c r="A143" t="inlineStr">
        <is>
          <t>C512</t>
        </is>
      </c>
      <c r="B143" t="inlineStr">
        <is>
          <t>Other (specify)</t>
        </is>
      </c>
    </row>
    <row r="144" ht="18" customHeight="1" s="87"/>
    <row r="145" ht="18" customHeight="1" s="87">
      <c r="A145" t="inlineStr">
        <is>
          <t>C513</t>
        </is>
      </c>
      <c r="B145" t="inlineStr">
        <is>
          <t>Total academic units</t>
        </is>
      </c>
      <c r="C145" t="n">
        <v>24</v>
      </c>
    </row>
    <row r="146" ht="18" customHeight="1" s="87">
      <c r="A146" t="inlineStr">
        <is>
          <t>C514</t>
        </is>
      </c>
      <c r="B146" t="inlineStr">
        <is>
          <t>English</t>
        </is>
      </c>
      <c r="C146" t="n">
        <v>4</v>
      </c>
    </row>
    <row r="147" ht="18" customHeight="1" s="87">
      <c r="A147" t="inlineStr">
        <is>
          <t>C515</t>
        </is>
      </c>
      <c r="B147" t="inlineStr">
        <is>
          <t>Mathematics</t>
        </is>
      </c>
      <c r="C147" t="n">
        <v>4</v>
      </c>
    </row>
    <row r="148" ht="18" customHeight="1" s="87">
      <c r="A148" t="inlineStr">
        <is>
          <t>C516</t>
        </is>
      </c>
      <c r="B148" t="inlineStr">
        <is>
          <t>Science</t>
        </is>
      </c>
      <c r="C148" t="n">
        <v>4</v>
      </c>
    </row>
    <row r="149" ht="18" customHeight="1" s="87">
      <c r="A149" t="inlineStr">
        <is>
          <t>C517</t>
        </is>
      </c>
      <c r="B149" t="inlineStr">
        <is>
          <t xml:space="preserve">    Of these, units that must be lab</t>
        </is>
      </c>
      <c r="C149" t="n">
        <v>4</v>
      </c>
    </row>
    <row r="150" ht="18" customHeight="1" s="87">
      <c r="A150" t="inlineStr">
        <is>
          <t>C518</t>
        </is>
      </c>
      <c r="B150" t="inlineStr">
        <is>
          <t>Foreign language</t>
        </is>
      </c>
      <c r="C150" t="n">
        <v>4</v>
      </c>
    </row>
    <row r="151" ht="18" customHeight="1" s="87">
      <c r="A151" t="inlineStr">
        <is>
          <t>C519</t>
        </is>
      </c>
      <c r="B151" t="inlineStr">
        <is>
          <t>Social studies</t>
        </is>
      </c>
      <c r="C151" t="n">
        <v>4</v>
      </c>
    </row>
    <row r="152" ht="18" customHeight="1" s="87">
      <c r="A152" t="inlineStr">
        <is>
          <t>C520</t>
        </is>
      </c>
      <c r="B152" t="inlineStr">
        <is>
          <t>History</t>
        </is>
      </c>
      <c r="C152" t="n">
        <v>0</v>
      </c>
    </row>
    <row r="153" ht="18" customHeight="1" s="87">
      <c r="A153" t="inlineStr">
        <is>
          <t>C521</t>
        </is>
      </c>
      <c r="B153" t="inlineStr">
        <is>
          <t>Academic electives</t>
        </is>
      </c>
      <c r="C153" t="n">
        <v>4</v>
      </c>
    </row>
    <row r="154" ht="18" customHeight="1" s="87">
      <c r="A154" t="inlineStr">
        <is>
          <t>C522</t>
        </is>
      </c>
      <c r="B154" t="inlineStr">
        <is>
          <t>Computer Science</t>
        </is>
      </c>
      <c r="C154" t="n">
        <v>0</v>
      </c>
    </row>
    <row r="155" ht="18" customHeight="1" s="87">
      <c r="A155" t="inlineStr">
        <is>
          <t>C523</t>
        </is>
      </c>
      <c r="B155" t="inlineStr">
        <is>
          <t>Visual/Performing Arts</t>
        </is>
      </c>
      <c r="C155" t="n">
        <v>0</v>
      </c>
    </row>
    <row r="156" ht="18" customHeight="1" s="87">
      <c r="A156" t="inlineStr">
        <is>
          <t>C524</t>
        </is>
      </c>
      <c r="B156" t="inlineStr">
        <is>
          <t>Other (specify)</t>
        </is>
      </c>
    </row>
    <row r="157"/>
    <row r="158"/>
    <row r="159"/>
    <row r="160"/>
    <row r="161" ht="18" customHeight="1" s="87"/>
    <row r="162"/>
    <row r="163"/>
    <row r="164"/>
    <row r="165"/>
    <row r="166"/>
    <row r="167" ht="18" customHeight="1" s="87">
      <c r="A167" t="inlineStr">
        <is>
          <t>C601</t>
        </is>
      </c>
      <c r="B167" t="inlineStr">
        <is>
          <t xml:space="preserve">Open admission policy as described above for all students </t>
        </is>
      </c>
    </row>
    <row r="168"/>
    <row r="169" ht="27.75" customHeight="1" s="87"/>
    <row r="170"/>
    <row r="171" ht="18" customHeight="1" s="87">
      <c r="A171" t="inlineStr">
        <is>
          <t>C602</t>
        </is>
      </c>
      <c r="B171" s="3" t="inlineStr">
        <is>
          <t>selective admission for out-of-state students</t>
        </is>
      </c>
    </row>
    <row r="172" ht="18" customHeight="1" s="87">
      <c r="A172" t="inlineStr">
        <is>
          <t>C603</t>
        </is>
      </c>
      <c r="B172" s="3" t="inlineStr">
        <is>
          <t>selective admission to some programs</t>
        </is>
      </c>
    </row>
    <row r="173">
      <c r="B173" s="3" t="n"/>
    </row>
    <row r="174" ht="18" customHeight="1" s="87">
      <c r="A174" t="inlineStr">
        <is>
          <t>C604</t>
        </is>
      </c>
      <c r="B174" s="3" t="inlineStr">
        <is>
          <t>other (explain):</t>
        </is>
      </c>
      <c r="C174" t="inlineStr">
        <is>
          <t>x - Selective Admission for all students</t>
        </is>
      </c>
    </row>
    <row r="175"/>
    <row r="176"/>
    <row r="177"/>
    <row r="178"/>
    <row r="179">
      <c r="C179" t="inlineStr">
        <is>
          <t>Very Important</t>
        </is>
      </c>
    </row>
    <row r="180">
      <c r="C180" t="inlineStr">
        <is>
          <t>Important</t>
        </is>
      </c>
    </row>
    <row r="181">
      <c r="C181" t="inlineStr">
        <is>
          <t>Considered</t>
        </is>
      </c>
    </row>
    <row r="182">
      <c r="C182" t="inlineStr">
        <is>
          <t>Not Considered</t>
        </is>
      </c>
    </row>
    <row r="183"/>
    <row r="184"/>
    <row r="185" ht="18" customHeight="1" s="87"/>
    <row r="186" ht="18" customHeight="1" s="87">
      <c r="A186" t="inlineStr">
        <is>
          <t>C701</t>
        </is>
      </c>
      <c r="B186" t="inlineStr">
        <is>
          <t>Rigor of secondary school record</t>
        </is>
      </c>
      <c r="C186" s="74" t="inlineStr">
        <is>
          <t>Very Important</t>
        </is>
      </c>
    </row>
    <row r="187" ht="18" customHeight="1" s="87">
      <c r="A187" t="inlineStr">
        <is>
          <t>C702</t>
        </is>
      </c>
      <c r="B187" t="inlineStr">
        <is>
          <t>Class rank</t>
        </is>
      </c>
      <c r="C187" s="74" t="inlineStr">
        <is>
          <t>Not Considered</t>
        </is>
      </c>
    </row>
    <row r="188" ht="18" customHeight="1" s="87">
      <c r="A188" t="inlineStr">
        <is>
          <t>C703</t>
        </is>
      </c>
      <c r="B188" t="inlineStr">
        <is>
          <t>Academic GPA</t>
        </is>
      </c>
      <c r="C188" s="74" t="inlineStr">
        <is>
          <t>Very Important</t>
        </is>
      </c>
    </row>
    <row r="189" ht="18" customHeight="1" s="87">
      <c r="A189" t="inlineStr">
        <is>
          <t>C704</t>
        </is>
      </c>
      <c r="B189" t="inlineStr">
        <is>
          <t>Standardized test scores</t>
        </is>
      </c>
      <c r="C189" s="74" t="inlineStr">
        <is>
          <t>Considered</t>
        </is>
      </c>
    </row>
    <row r="190" ht="18" customHeight="1" s="87">
      <c r="A190" t="inlineStr">
        <is>
          <t>C705</t>
        </is>
      </c>
      <c r="B190" t="inlineStr">
        <is>
          <t>Application Essay</t>
        </is>
      </c>
      <c r="C190" s="74" t="inlineStr">
        <is>
          <t>Important</t>
        </is>
      </c>
    </row>
    <row r="191" ht="18" customHeight="1" s="87">
      <c r="A191" t="inlineStr">
        <is>
          <t>C706</t>
        </is>
      </c>
      <c r="B191" t="inlineStr">
        <is>
          <t>Recommendation(s)</t>
        </is>
      </c>
      <c r="C191" s="74" t="inlineStr">
        <is>
          <t>Not Considered</t>
        </is>
      </c>
    </row>
    <row r="192" ht="18" customHeight="1" s="87"/>
    <row r="193" ht="18" customHeight="1" s="87"/>
    <row r="194" ht="18" customHeight="1" s="87">
      <c r="A194" t="inlineStr">
        <is>
          <t>C707</t>
        </is>
      </c>
      <c r="B194" t="inlineStr">
        <is>
          <t>Interview</t>
        </is>
      </c>
      <c r="C194" t="inlineStr">
        <is>
          <t>Not Considered</t>
        </is>
      </c>
    </row>
    <row r="195" ht="18" customHeight="1" s="87">
      <c r="A195" t="inlineStr">
        <is>
          <t>C708</t>
        </is>
      </c>
      <c r="B195" t="inlineStr">
        <is>
          <t>Extracurricular activities</t>
        </is>
      </c>
      <c r="C195" t="inlineStr">
        <is>
          <t>Important</t>
        </is>
      </c>
    </row>
    <row r="196" ht="18" customHeight="1" s="87">
      <c r="A196" t="inlineStr">
        <is>
          <t>C709</t>
        </is>
      </c>
      <c r="B196" t="inlineStr">
        <is>
          <t>Talent/ability</t>
        </is>
      </c>
      <c r="C196" t="inlineStr">
        <is>
          <t>Important</t>
        </is>
      </c>
    </row>
    <row r="197" ht="18" customHeight="1" s="87">
      <c r="A197" t="inlineStr">
        <is>
          <t>C710</t>
        </is>
      </c>
      <c r="B197" t="inlineStr">
        <is>
          <t>Character/personal qualities</t>
        </is>
      </c>
      <c r="C197" t="inlineStr">
        <is>
          <t>Important</t>
        </is>
      </c>
    </row>
    <row r="198" ht="18" customHeight="1" s="87">
      <c r="A198" t="inlineStr">
        <is>
          <t>C711</t>
        </is>
      </c>
      <c r="B198" t="inlineStr">
        <is>
          <t xml:space="preserve">First generation </t>
        </is>
      </c>
      <c r="C198" t="inlineStr">
        <is>
          <t>Important</t>
        </is>
      </c>
    </row>
    <row r="199" ht="18" customHeight="1" s="87">
      <c r="A199" t="inlineStr">
        <is>
          <t>C712</t>
        </is>
      </c>
      <c r="B199" t="inlineStr">
        <is>
          <t>Alumni/ae relation</t>
        </is>
      </c>
      <c r="C199" t="inlineStr">
        <is>
          <t>Not Considered</t>
        </is>
      </c>
    </row>
    <row r="200" ht="18" customHeight="1" s="87">
      <c r="A200" t="inlineStr">
        <is>
          <t>C713</t>
        </is>
      </c>
      <c r="B200" t="inlineStr">
        <is>
          <t>Geographical residence</t>
        </is>
      </c>
      <c r="C200" t="inlineStr">
        <is>
          <t>Considered</t>
        </is>
      </c>
    </row>
    <row r="201" ht="18" customHeight="1" s="87">
      <c r="A201" t="inlineStr">
        <is>
          <t>C714</t>
        </is>
      </c>
      <c r="B201" t="inlineStr">
        <is>
          <t>State residency</t>
        </is>
      </c>
      <c r="C201" t="inlineStr">
        <is>
          <t>Considered</t>
        </is>
      </c>
    </row>
    <row r="202" ht="18" customHeight="1" s="87">
      <c r="A202" t="inlineStr">
        <is>
          <t>C715</t>
        </is>
      </c>
      <c r="B202" t="inlineStr">
        <is>
          <t>Religious affiliation/commitment</t>
        </is>
      </c>
      <c r="C202" t="inlineStr">
        <is>
          <t>Not Considered</t>
        </is>
      </c>
    </row>
    <row r="203" ht="18" customHeight="1" s="87">
      <c r="A203" t="inlineStr">
        <is>
          <t>C716</t>
        </is>
      </c>
      <c r="B203" t="inlineStr">
        <is>
          <t>Volunteer work</t>
        </is>
      </c>
      <c r="C203" t="inlineStr">
        <is>
          <t>Considered</t>
        </is>
      </c>
    </row>
    <row r="204" ht="18" customHeight="1" s="87">
      <c r="A204" t="inlineStr">
        <is>
          <t>C717</t>
        </is>
      </c>
      <c r="B204" t="inlineStr">
        <is>
          <t>Work experience</t>
        </is>
      </c>
      <c r="C204" t="inlineStr">
        <is>
          <t>Considered</t>
        </is>
      </c>
    </row>
    <row r="205" ht="18" customHeight="1" s="87">
      <c r="A205" t="inlineStr">
        <is>
          <t>C718</t>
        </is>
      </c>
      <c r="B205" t="inlineStr">
        <is>
          <t>Level of applicant’s interest</t>
        </is>
      </c>
      <c r="C205" t="inlineStr">
        <is>
          <t>Not Considered</t>
        </is>
      </c>
    </row>
    <row r="206" ht="60" customHeight="1" s="87">
      <c r="B206" t="inlineStr">
        <is>
          <t>Additional Information</t>
        </is>
      </c>
      <c r="C206" s="2" t="inlineStr">
        <is>
          <t>We admit by major. Fit to major and competitiveness of the applicant pool are factors. There are varied levels of importance placed on some of the above factors based on major.</t>
        </is>
      </c>
    </row>
    <row r="207"/>
    <row r="208"/>
    <row r="209"/>
    <row r="210" ht="18" customHeight="1" s="87"/>
    <row r="211" ht="45" customHeight="1" s="87">
      <c r="A211" t="inlineStr">
        <is>
          <t>C801</t>
        </is>
      </c>
      <c r="B211" s="2" t="inlineStr">
        <is>
          <t xml:space="preserve">Does your institution make use of SAT or ACT scores in admission decisions for first-time, first-year, degree-seeking applicants?   </t>
        </is>
      </c>
      <c r="C211" t="inlineStr">
        <is>
          <t>Y</t>
        </is>
      </c>
    </row>
    <row r="212"/>
    <row r="213">
      <c r="C213" t="inlineStr">
        <is>
          <t>Required to be considered for admission</t>
        </is>
      </c>
    </row>
    <row r="214">
      <c r="C214" t="inlineStr">
        <is>
          <t>Required for some</t>
        </is>
      </c>
    </row>
    <row r="215">
      <c r="C215" t="inlineStr">
        <is>
          <t>Recommended</t>
        </is>
      </c>
    </row>
    <row r="216">
      <c r="C216" t="inlineStr">
        <is>
          <t>Not required for admission, but considered if submitted</t>
        </is>
      </c>
    </row>
    <row r="217">
      <c r="C217" t="inlineStr">
        <is>
          <t xml:space="preserve">Not considered for admission, even if submitted </t>
        </is>
      </c>
    </row>
    <row r="218"/>
    <row r="219"/>
    <row r="220"/>
    <row r="221" ht="18" customHeight="1" s="87">
      <c r="A221" t="inlineStr">
        <is>
          <t>C802</t>
        </is>
      </c>
      <c r="B221" t="inlineStr">
        <is>
          <t>SAT or ACT</t>
        </is>
      </c>
      <c r="C221" t="inlineStr">
        <is>
          <t>Not required for admission, but considered if submitted</t>
        </is>
      </c>
    </row>
    <row r="222" ht="18" customHeight="1" s="87">
      <c r="A222" t="inlineStr">
        <is>
          <t>C803</t>
        </is>
      </c>
      <c r="B222" t="inlineStr">
        <is>
          <t>ACT Only</t>
        </is>
      </c>
      <c r="C222" t="inlineStr">
        <is>
          <t>Not required for admission, but considered if submitted</t>
        </is>
      </c>
    </row>
    <row r="223" ht="18" customHeight="1" s="87">
      <c r="A223" t="inlineStr">
        <is>
          <t>C804</t>
        </is>
      </c>
      <c r="B223" t="inlineStr">
        <is>
          <t>SAT Only</t>
        </is>
      </c>
      <c r="C223" t="inlineStr">
        <is>
          <t>Not required for admission, but considered if submitted</t>
        </is>
      </c>
    </row>
    <row r="224"/>
    <row r="225"/>
    <row r="226"/>
    <row r="227"/>
    <row r="228"/>
    <row r="229" ht="18" customHeight="1" s="87"/>
    <row r="230" ht="30" customHeight="1" s="87">
      <c r="A230" t="inlineStr">
        <is>
          <t>C8D</t>
        </is>
      </c>
      <c r="B230" s="2" t="inlineStr">
        <is>
          <t>In addition, does your institution use applicants' test scores for academic advising?</t>
        </is>
      </c>
      <c r="C230" t="inlineStr">
        <is>
          <t>Y</t>
        </is>
      </c>
    </row>
    <row r="231"/>
    <row r="232" ht="30" customHeight="1" s="87">
      <c r="A232" t="inlineStr">
        <is>
          <t>C8E</t>
        </is>
      </c>
      <c r="B232" s="2" t="inlineStr">
        <is>
          <t>Latest date by which SAT or ACT scores must be received for fall-term admission</t>
        </is>
      </c>
      <c r="C232" s="73" t="n">
        <v>45839</v>
      </c>
    </row>
    <row r="233"/>
    <row r="234" ht="75" customHeight="1" s="87">
      <c r="A234" t="inlineStr">
        <is>
          <t>C8F</t>
        </is>
      </c>
      <c r="B234" s="2" t="inlineStr">
        <is>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  </t>
        </is>
      </c>
      <c r="C234" t="inlineStr">
        <is>
          <t>test optional</t>
        </is>
      </c>
    </row>
    <row r="235"/>
    <row r="236" ht="18" customHeight="1" s="87"/>
    <row r="237" ht="30" customHeight="1" s="87">
      <c r="A237" t="inlineStr">
        <is>
          <t>C8G</t>
        </is>
      </c>
      <c r="B237" s="2" t="inlineStr">
        <is>
          <t>Please indicate which tests your institution uses for placement (e.g., state tests):</t>
        </is>
      </c>
    </row>
    <row r="238" ht="18" customHeight="1" s="87">
      <c r="A238" t="inlineStr">
        <is>
          <t>C8G01</t>
        </is>
      </c>
      <c r="B238" t="inlineStr">
        <is>
          <t>SAT</t>
        </is>
      </c>
      <c r="C238" t="inlineStr">
        <is>
          <t>x</t>
        </is>
      </c>
    </row>
    <row r="239" ht="18" customHeight="1" s="87">
      <c r="A239" t="inlineStr">
        <is>
          <t>C8G02</t>
        </is>
      </c>
      <c r="B239" t="inlineStr">
        <is>
          <t>ACT</t>
        </is>
      </c>
      <c r="C239" t="inlineStr">
        <is>
          <t>x</t>
        </is>
      </c>
    </row>
    <row r="240" ht="18" customHeight="1" s="87">
      <c r="A240" t="inlineStr">
        <is>
          <t>C8G03</t>
        </is>
      </c>
      <c r="B240" t="inlineStr">
        <is>
          <t>AP</t>
        </is>
      </c>
      <c r="C240" t="inlineStr">
        <is>
          <t>x</t>
        </is>
      </c>
    </row>
    <row r="241" ht="18" customHeight="1" s="87">
      <c r="A241" t="inlineStr">
        <is>
          <t>C8G04</t>
        </is>
      </c>
      <c r="B241" t="inlineStr">
        <is>
          <t>CLEP</t>
        </is>
      </c>
    </row>
    <row r="242" ht="18" customHeight="1" s="87">
      <c r="A242" t="inlineStr">
        <is>
          <t>C8G05</t>
        </is>
      </c>
      <c r="B242" t="inlineStr">
        <is>
          <t>Institutional Exam</t>
        </is>
      </c>
      <c r="C242" t="inlineStr">
        <is>
          <t>x</t>
        </is>
      </c>
    </row>
    <row r="243" ht="18" customHeight="1" s="87">
      <c r="A243" t="inlineStr">
        <is>
          <t>C8G06</t>
        </is>
      </c>
      <c r="B243" t="inlineStr">
        <is>
          <t>State Exam (specify):</t>
        </is>
      </c>
    </row>
    <row r="244"/>
    <row r="245"/>
    <row r="246"/>
    <row r="247" ht="30.75" customHeight="1" s="87"/>
    <row r="248"/>
    <row r="249"/>
    <row r="250"/>
    <row r="251"/>
    <row r="252"/>
    <row r="253"/>
    <row r="254"/>
    <row r="255"/>
    <row r="256"/>
    <row r="257"/>
    <row r="258"/>
    <row r="259"/>
    <row r="260"/>
    <row r="261" ht="18" customHeight="1" s="87"/>
    <row r="262" ht="18" customHeight="1" s="87">
      <c r="A262" t="inlineStr">
        <is>
          <t>C901</t>
        </is>
      </c>
      <c r="B262" t="inlineStr">
        <is>
          <t>Submitting SAT Scores</t>
        </is>
      </c>
      <c r="C262" s="78" t="n">
        <v>0.4128</v>
      </c>
    </row>
    <row r="263" ht="18" customHeight="1" s="87">
      <c r="A263" t="inlineStr">
        <is>
          <t>C902</t>
        </is>
      </c>
      <c r="B263" t="inlineStr">
        <is>
          <t>Submitting ACT Scores</t>
        </is>
      </c>
      <c r="C263" s="78" t="n">
        <v>0.1433</v>
      </c>
    </row>
    <row r="264" ht="18" customHeight="1" s="87"/>
    <row r="265" ht="18" customHeight="1" s="87">
      <c r="A265" t="inlineStr">
        <is>
          <t>C903</t>
        </is>
      </c>
      <c r="B265" t="inlineStr">
        <is>
          <t>Submitting SAT Scores</t>
        </is>
      </c>
      <c r="C265" t="n">
        <v>3719</v>
      </c>
    </row>
    <row r="266" ht="18" customHeight="1" s="87">
      <c r="A266" t="inlineStr">
        <is>
          <t>C904</t>
        </is>
      </c>
      <c r="B266" t="inlineStr">
        <is>
          <t>Submitting ACT Scores</t>
        </is>
      </c>
      <c r="C266" t="n">
        <v>1291</v>
      </c>
    </row>
    <row r="267"/>
    <row r="268"/>
    <row r="269"/>
    <row r="270"/>
    <row r="271"/>
    <row r="272"/>
    <row r="273"/>
    <row r="274" ht="18" customHeight="1" s="87"/>
    <row r="275" ht="18" customHeight="1" s="87">
      <c r="A275" t="inlineStr">
        <is>
          <t>C905</t>
        </is>
      </c>
      <c r="B275" t="inlineStr">
        <is>
          <t>SAT Composite: 25th Percentile</t>
        </is>
      </c>
      <c r="C275" t="n">
        <v>1390</v>
      </c>
    </row>
    <row r="276" ht="18" customHeight="1" s="87">
      <c r="A276" t="inlineStr">
        <is>
          <t>C906</t>
        </is>
      </c>
      <c r="B276" t="inlineStr">
        <is>
          <t>SAT Composite: 50th Percentile</t>
        </is>
      </c>
      <c r="C276" t="n">
        <v>1470</v>
      </c>
    </row>
    <row r="277" ht="18" customHeight="1" s="87">
      <c r="A277" t="inlineStr">
        <is>
          <t>C907</t>
        </is>
      </c>
      <c r="B277" t="inlineStr">
        <is>
          <t>SAT Composite: 75th Percentile</t>
        </is>
      </c>
      <c r="C277" t="n">
        <v>1520</v>
      </c>
    </row>
    <row r="278" ht="18" customHeight="1" s="87"/>
    <row r="279" ht="18" customHeight="1" s="87">
      <c r="A279" t="inlineStr">
        <is>
          <t>C908</t>
        </is>
      </c>
      <c r="B279" t="inlineStr">
        <is>
          <t>SAT Evidence-Based Reading and Writing: 25th Percentile</t>
        </is>
      </c>
      <c r="C279" t="n">
        <v>680</v>
      </c>
    </row>
    <row r="280" ht="18" customHeight="1" s="87">
      <c r="A280" t="inlineStr">
        <is>
          <t>C909</t>
        </is>
      </c>
      <c r="B280" t="inlineStr">
        <is>
          <t>SAT Evidence-Based Reading and Writing: 50th Percentile</t>
        </is>
      </c>
      <c r="C280" t="n">
        <v>720</v>
      </c>
    </row>
    <row r="281" ht="18" customHeight="1" s="87">
      <c r="A281" t="inlineStr">
        <is>
          <t>C910</t>
        </is>
      </c>
      <c r="B281" t="inlineStr">
        <is>
          <t>SAT Evidence-Based Reading and Writing: 75th Percentile</t>
        </is>
      </c>
      <c r="C281" t="n">
        <v>750</v>
      </c>
    </row>
    <row r="282" ht="18" customHeight="1" s="87"/>
    <row r="283" ht="18" customHeight="1" s="87">
      <c r="A283" t="inlineStr">
        <is>
          <t>C911</t>
        </is>
      </c>
      <c r="B283" t="inlineStr">
        <is>
          <t>SAT Math: 25th Percentile</t>
        </is>
      </c>
      <c r="C283" t="n">
        <v>700</v>
      </c>
    </row>
    <row r="284" ht="18" customHeight="1" s="87">
      <c r="A284" t="inlineStr">
        <is>
          <t>C912</t>
        </is>
      </c>
      <c r="B284" t="inlineStr">
        <is>
          <t>SAT Math: 50th Percentile</t>
        </is>
      </c>
      <c r="C284" t="n">
        <v>770</v>
      </c>
    </row>
    <row r="285" ht="18" customHeight="1" s="87">
      <c r="A285" t="inlineStr">
        <is>
          <t>C913</t>
        </is>
      </c>
      <c r="B285" t="inlineStr">
        <is>
          <t>SAT Math: 75th Percentile</t>
        </is>
      </c>
      <c r="C285" t="n">
        <v>790</v>
      </c>
    </row>
    <row r="286"/>
    <row r="287" ht="18" customHeight="1" s="87"/>
    <row r="288" ht="18" customHeight="1" s="87">
      <c r="A288" t="inlineStr">
        <is>
          <t>C914</t>
        </is>
      </c>
      <c r="B288" t="inlineStr">
        <is>
          <t>ACT Composite: 25th Percentile</t>
        </is>
      </c>
      <c r="C288" t="n">
        <v>30</v>
      </c>
    </row>
    <row r="289" ht="18" customHeight="1" s="87">
      <c r="A289" t="inlineStr">
        <is>
          <t>C915</t>
        </is>
      </c>
      <c r="B289" t="inlineStr">
        <is>
          <t>ACT Composite: 50th Percentile</t>
        </is>
      </c>
      <c r="C289" t="n">
        <v>33</v>
      </c>
    </row>
    <row r="290" ht="18" customHeight="1" s="87">
      <c r="A290" t="inlineStr">
        <is>
          <t>C916</t>
        </is>
      </c>
      <c r="B290" t="inlineStr">
        <is>
          <t>ACT Composite: 75th Percentile</t>
        </is>
      </c>
      <c r="C290" t="n">
        <v>34</v>
      </c>
    </row>
    <row r="291" ht="18" customHeight="1" s="87"/>
    <row r="292" ht="18" customHeight="1" s="87">
      <c r="A292" t="inlineStr">
        <is>
          <t>C917</t>
        </is>
      </c>
      <c r="B292" t="inlineStr">
        <is>
          <t>ACT Math: 25th Percentile</t>
        </is>
      </c>
      <c r="C292" t="n">
        <v>29</v>
      </c>
    </row>
    <row r="293" ht="18" customHeight="1" s="87">
      <c r="A293" t="inlineStr">
        <is>
          <t>C918</t>
        </is>
      </c>
      <c r="B293" t="inlineStr">
        <is>
          <t>ACT Math: 50th Percentile</t>
        </is>
      </c>
      <c r="C293" t="n">
        <v>32</v>
      </c>
    </row>
    <row r="294" ht="18" customHeight="1" s="87">
      <c r="A294" t="inlineStr">
        <is>
          <t>C919</t>
        </is>
      </c>
      <c r="B294" t="inlineStr">
        <is>
          <t>ACT Math: 75th Percentile</t>
        </is>
      </c>
      <c r="C294" t="n">
        <v>35</v>
      </c>
    </row>
    <row r="295" ht="18" customHeight="1" s="87"/>
    <row r="296" ht="18" customHeight="1" s="87">
      <c r="A296" t="inlineStr">
        <is>
          <t>C920</t>
        </is>
      </c>
      <c r="B296" t="inlineStr">
        <is>
          <t>ACT English: 25th Percentile</t>
        </is>
      </c>
      <c r="C296" t="n">
        <v>32</v>
      </c>
    </row>
    <row r="297" ht="18" customHeight="1" s="87">
      <c r="A297" t="inlineStr">
        <is>
          <t>C921</t>
        </is>
      </c>
      <c r="B297" t="inlineStr">
        <is>
          <t>ACT English: 50th Percentile</t>
        </is>
      </c>
      <c r="C297" t="n">
        <v>34</v>
      </c>
    </row>
    <row r="298" ht="18" customHeight="1" s="87">
      <c r="A298" t="inlineStr">
        <is>
          <t>C922</t>
        </is>
      </c>
      <c r="B298" t="inlineStr">
        <is>
          <t>ACT English: 75th Percentile</t>
        </is>
      </c>
      <c r="C298" t="n">
        <v>35</v>
      </c>
    </row>
    <row r="299" ht="18" customHeight="1" s="87"/>
    <row r="300" ht="18" customHeight="1" s="87">
      <c r="A300" t="inlineStr">
        <is>
          <t>C923</t>
        </is>
      </c>
      <c r="B300" t="inlineStr">
        <is>
          <t>ACT Writing: 25th Percentile</t>
        </is>
      </c>
    </row>
    <row r="301" ht="18" customHeight="1" s="87">
      <c r="A301" t="inlineStr">
        <is>
          <t>C924</t>
        </is>
      </c>
      <c r="B301" t="inlineStr">
        <is>
          <t>ACT Writing: 50th Percentile</t>
        </is>
      </c>
    </row>
    <row r="302" ht="18" customHeight="1" s="87">
      <c r="A302" t="inlineStr">
        <is>
          <t>C925</t>
        </is>
      </c>
      <c r="B302" t="inlineStr">
        <is>
          <t>ACT Writing: 75th Percentile</t>
        </is>
      </c>
    </row>
    <row r="303" ht="18" customHeight="1" s="87"/>
    <row r="304" ht="18" customHeight="1" s="87">
      <c r="A304" t="inlineStr">
        <is>
          <t>C926</t>
        </is>
      </c>
      <c r="B304" t="inlineStr">
        <is>
          <t>ACT Science: 25th Percentile</t>
        </is>
      </c>
    </row>
    <row r="305" ht="18" customHeight="1" s="87">
      <c r="A305" t="inlineStr">
        <is>
          <t>C927</t>
        </is>
      </c>
      <c r="B305" t="inlineStr">
        <is>
          <t>ACT Science: 50th Percentile</t>
        </is>
      </c>
    </row>
    <row r="306" ht="18" customHeight="1" s="87">
      <c r="A306" t="inlineStr">
        <is>
          <t>C928</t>
        </is>
      </c>
      <c r="B306" t="inlineStr">
        <is>
          <t>ACT Science: 75th Percentile</t>
        </is>
      </c>
    </row>
    <row r="307" ht="18" customHeight="1" s="87"/>
    <row r="308" ht="18" customHeight="1" s="87">
      <c r="A308" t="inlineStr">
        <is>
          <t>C929</t>
        </is>
      </c>
      <c r="B308" t="inlineStr">
        <is>
          <t>ACT Reading: 25th Percentile</t>
        </is>
      </c>
    </row>
    <row r="309" ht="18" customHeight="1" s="87">
      <c r="A309" t="inlineStr">
        <is>
          <t>C930</t>
        </is>
      </c>
      <c r="B309" t="inlineStr">
        <is>
          <t>ACT Reading: 50th Percentile</t>
        </is>
      </c>
    </row>
    <row r="310" ht="18" customHeight="1" s="87">
      <c r="A310" t="inlineStr">
        <is>
          <t>C931</t>
        </is>
      </c>
      <c r="B310" t="inlineStr">
        <is>
          <t>ACT Reading: 75th Percentile</t>
        </is>
      </c>
    </row>
    <row r="311" ht="18" customHeight="1" s="87"/>
    <row r="312" ht="18" customHeight="1" s="87"/>
    <row r="313" ht="18" customHeight="1" s="87"/>
    <row r="314" ht="18" customHeight="1" s="87"/>
    <row r="315" ht="18" customHeight="1" s="87">
      <c r="A315" t="inlineStr">
        <is>
          <t>C932</t>
        </is>
      </c>
      <c r="B315" t="inlineStr">
        <is>
          <t>SAT Evidence-Based Reading and Writing: 700-800</t>
        </is>
      </c>
      <c r="C315" s="46" t="n">
        <v>0.6558533145</v>
      </c>
    </row>
    <row r="316" ht="18" customHeight="1" s="87">
      <c r="A316" t="inlineStr">
        <is>
          <t>C933</t>
        </is>
      </c>
      <c r="B316" t="inlineStr">
        <is>
          <t>SAT Evidence-Based Reading and Writing: 600-699</t>
        </is>
      </c>
      <c r="C316" s="46" t="n">
        <v>0.301551481</v>
      </c>
    </row>
    <row r="317" ht="18" customHeight="1" s="87">
      <c r="A317" t="inlineStr">
        <is>
          <t>C934</t>
        </is>
      </c>
      <c r="B317" t="inlineStr">
        <is>
          <t>SAT Evidence-Based Reading and Writing: 500-599</t>
        </is>
      </c>
      <c r="C317" s="46" t="n">
        <v>0.04033850494</v>
      </c>
    </row>
    <row r="318" ht="18" customHeight="1" s="87">
      <c r="A318" t="inlineStr">
        <is>
          <t>C935</t>
        </is>
      </c>
      <c r="B318" t="inlineStr">
        <is>
          <t>SAT Evidence-Based Reading and Writing: 400-499</t>
        </is>
      </c>
      <c r="C318" s="46" t="n">
        <v>0.00225669958</v>
      </c>
    </row>
    <row r="319" ht="18" customHeight="1" s="87">
      <c r="A319" t="inlineStr">
        <is>
          <t>C936</t>
        </is>
      </c>
      <c r="B319" t="inlineStr">
        <is>
          <t>SAT Evidence-Based Reading and Writing: 300-399</t>
        </is>
      </c>
      <c r="C319" s="45" t="n">
        <v>0</v>
      </c>
    </row>
    <row r="320" ht="18" customHeight="1" s="87">
      <c r="A320" t="inlineStr">
        <is>
          <t>C937</t>
        </is>
      </c>
      <c r="B320" t="inlineStr">
        <is>
          <t>SAT Evidence-Based Reading and Writing: 200-299</t>
        </is>
      </c>
      <c r="C320" s="45" t="n">
        <v>0</v>
      </c>
    </row>
    <row r="321" ht="18" customHeight="1" s="87">
      <c r="A321" t="inlineStr">
        <is>
          <t>C938</t>
        </is>
      </c>
      <c r="B321" t="inlineStr">
        <is>
          <t>SAT Evidence-Based Reading and Writing: Total</t>
        </is>
      </c>
      <c r="C321" s="38">
        <f>SUM(C315:C320)</f>
        <v/>
      </c>
    </row>
    <row r="322"/>
    <row r="323" ht="18" customHeight="1" s="87"/>
    <row r="324" ht="18" customHeight="1" s="87">
      <c r="A324" t="inlineStr">
        <is>
          <t>C939</t>
        </is>
      </c>
      <c r="B324" t="inlineStr">
        <is>
          <t>SAT Math: 700-800</t>
        </is>
      </c>
      <c r="C324" s="46" t="n">
        <v>0.7737658674</v>
      </c>
    </row>
    <row r="325" ht="18" customHeight="1" s="87">
      <c r="A325" t="inlineStr">
        <is>
          <t>C940</t>
        </is>
      </c>
      <c r="B325" t="inlineStr">
        <is>
          <t>SAT Math: 600-699</t>
        </is>
      </c>
      <c r="C325" s="46" t="n">
        <v>0.1689703808</v>
      </c>
    </row>
    <row r="326" ht="18" customHeight="1" s="87">
      <c r="A326" t="inlineStr">
        <is>
          <t>C941</t>
        </is>
      </c>
      <c r="B326" t="inlineStr">
        <is>
          <t>SAT Math: 500-599</t>
        </is>
      </c>
      <c r="C326" s="46" t="n">
        <v>0.05500705219</v>
      </c>
    </row>
    <row r="327" ht="18" customHeight="1" s="87">
      <c r="A327" t="inlineStr">
        <is>
          <t>C942</t>
        </is>
      </c>
      <c r="B327" t="inlineStr">
        <is>
          <t>SAT Math: 400-499</t>
        </is>
      </c>
      <c r="C327" s="46" t="n">
        <v>0.00197461213</v>
      </c>
    </row>
    <row r="328" ht="18" customHeight="1" s="87">
      <c r="A328" t="inlineStr">
        <is>
          <t>C943</t>
        </is>
      </c>
      <c r="B328" t="inlineStr">
        <is>
          <t>SAT Math: 300-399</t>
        </is>
      </c>
      <c r="C328" s="46" t="n">
        <v>0.00028208745</v>
      </c>
    </row>
    <row r="329" ht="18" customHeight="1" s="87">
      <c r="A329" t="inlineStr">
        <is>
          <t>C944</t>
        </is>
      </c>
      <c r="B329" t="inlineStr">
        <is>
          <t>SAT Math: 200-299</t>
        </is>
      </c>
      <c r="C329" s="45" t="n">
        <v>0</v>
      </c>
    </row>
    <row r="330" ht="18" customHeight="1" s="87">
      <c r="A330" t="inlineStr">
        <is>
          <t>C945</t>
        </is>
      </c>
      <c r="B330" t="inlineStr">
        <is>
          <t>SAT Math: Total</t>
        </is>
      </c>
      <c r="C330" s="38">
        <f>SUM(C324:C329)</f>
        <v/>
      </c>
    </row>
    <row r="331"/>
    <row r="332" ht="18" customHeight="1" s="87"/>
    <row r="333" ht="18" customHeight="1" s="87">
      <c r="A333" t="inlineStr">
        <is>
          <t>C946</t>
        </is>
      </c>
      <c r="B333" t="inlineStr">
        <is>
          <t>SAT Composite: 1400-1600</t>
        </is>
      </c>
      <c r="C333" s="46" t="n">
        <v>0.7382228491</v>
      </c>
    </row>
    <row r="334" ht="18" customHeight="1" s="87">
      <c r="A334" t="inlineStr">
        <is>
          <t>C947</t>
        </is>
      </c>
      <c r="B334" t="inlineStr">
        <is>
          <t>SAT Composite: 1200-1399</t>
        </is>
      </c>
      <c r="C334" s="46" t="n">
        <v>0.2197461213</v>
      </c>
    </row>
    <row r="335" ht="18" customHeight="1" s="87">
      <c r="A335" t="inlineStr">
        <is>
          <t>C948</t>
        </is>
      </c>
      <c r="B335" t="inlineStr">
        <is>
          <t>SAT Composite: 1000-1199</t>
        </is>
      </c>
      <c r="C335" s="46" t="n">
        <v>0.04062059238</v>
      </c>
    </row>
    <row r="336" ht="18" customHeight="1" s="87">
      <c r="A336" t="inlineStr">
        <is>
          <t>C949</t>
        </is>
      </c>
      <c r="B336" t="inlineStr">
        <is>
          <t>SAT Composite: 800-999</t>
        </is>
      </c>
      <c r="C336" s="46" t="n">
        <v>0.00112834979</v>
      </c>
    </row>
    <row r="337" ht="18" customHeight="1" s="87">
      <c r="A337" t="inlineStr">
        <is>
          <t>C950</t>
        </is>
      </c>
      <c r="B337" t="inlineStr">
        <is>
          <t>SAT Composite: 600-799</t>
        </is>
      </c>
      <c r="C337" s="46" t="n">
        <v>0.00028208745</v>
      </c>
    </row>
    <row r="338" ht="18" customHeight="1" s="87">
      <c r="A338" t="inlineStr">
        <is>
          <t>C951</t>
        </is>
      </c>
      <c r="B338" t="inlineStr">
        <is>
          <t>SAT Composite: 400-599</t>
        </is>
      </c>
      <c r="C338" s="45" t="n">
        <v>0</v>
      </c>
    </row>
    <row r="339" ht="18" customHeight="1" s="87">
      <c r="A339" t="inlineStr">
        <is>
          <t>C952</t>
        </is>
      </c>
      <c r="B339" t="inlineStr">
        <is>
          <t>SAT Composite: Total</t>
        </is>
      </c>
      <c r="C339" s="38">
        <f>SUM(C333:C338)</f>
        <v/>
      </c>
    </row>
    <row r="340"/>
    <row r="341" ht="18" customHeight="1" s="87"/>
    <row r="342" ht="18" customHeight="1" s="87">
      <c r="A342" t="inlineStr">
        <is>
          <t>C953</t>
        </is>
      </c>
      <c r="B342" t="inlineStr">
        <is>
          <t>ACT Composite: 30-36</t>
        </is>
      </c>
      <c r="C342" s="46" t="n">
        <v>0.8266932271</v>
      </c>
    </row>
    <row r="343" ht="18" customHeight="1" s="87">
      <c r="A343" t="inlineStr">
        <is>
          <t>C954</t>
        </is>
      </c>
      <c r="B343" t="inlineStr">
        <is>
          <t>ACT Composite: 24-29</t>
        </is>
      </c>
      <c r="C343" s="46" t="n">
        <v>0.1623505976</v>
      </c>
    </row>
    <row r="344" ht="18" customHeight="1" s="87">
      <c r="A344" t="inlineStr">
        <is>
          <t>C955</t>
        </is>
      </c>
      <c r="B344" t="inlineStr">
        <is>
          <t>ACT Composite: 18-23</t>
        </is>
      </c>
      <c r="C344" s="46" t="n">
        <v>0.0109561753</v>
      </c>
    </row>
    <row r="345" ht="18" customHeight="1" s="87">
      <c r="A345" t="inlineStr">
        <is>
          <t>C956</t>
        </is>
      </c>
      <c r="B345" t="inlineStr">
        <is>
          <t>ACT Composite: 12-17</t>
        </is>
      </c>
      <c r="C345" s="45" t="n">
        <v>0</v>
      </c>
    </row>
    <row r="346" ht="18" customHeight="1" s="87">
      <c r="A346" t="inlineStr">
        <is>
          <t>C957</t>
        </is>
      </c>
      <c r="B346" t="inlineStr">
        <is>
          <t>ACT Composite: 6-11</t>
        </is>
      </c>
      <c r="C346" s="45" t="n">
        <v>0</v>
      </c>
    </row>
    <row r="347" ht="18" customHeight="1" s="87">
      <c r="A347" t="inlineStr">
        <is>
          <t>C958</t>
        </is>
      </c>
      <c r="B347" t="inlineStr">
        <is>
          <t>ACT Composite: Below 6</t>
        </is>
      </c>
      <c r="C347" s="45" t="n">
        <v>0</v>
      </c>
    </row>
    <row r="348" ht="18" customHeight="1" s="87">
      <c r="A348" t="inlineStr">
        <is>
          <t>C959</t>
        </is>
      </c>
      <c r="B348" t="inlineStr">
        <is>
          <t>ACT Composite: Total</t>
        </is>
      </c>
      <c r="C348" s="38">
        <f>SUM(C342:C347)</f>
        <v/>
      </c>
    </row>
    <row r="349"/>
    <row r="350" ht="18" customHeight="1" s="87"/>
    <row r="351" ht="18" customHeight="1" s="87">
      <c r="A351" t="inlineStr">
        <is>
          <t>C960</t>
        </is>
      </c>
      <c r="B351" t="inlineStr">
        <is>
          <t>ACT Math: 30-36</t>
        </is>
      </c>
      <c r="C351" s="46" t="n">
        <v>0.7051792829</v>
      </c>
    </row>
    <row r="352" ht="18" customHeight="1" s="87">
      <c r="A352" t="inlineStr">
        <is>
          <t>C961</t>
        </is>
      </c>
      <c r="B352" t="inlineStr">
        <is>
          <t>ACT Math: 24-29</t>
        </is>
      </c>
      <c r="C352" s="46" t="n">
        <v>0.2589641434</v>
      </c>
    </row>
    <row r="353" ht="18" customHeight="1" s="87">
      <c r="A353" t="inlineStr">
        <is>
          <t>C962</t>
        </is>
      </c>
      <c r="B353" t="inlineStr">
        <is>
          <t>ACT Math: 18-23</t>
        </is>
      </c>
      <c r="C353" s="46" t="n">
        <v>0.0328685259</v>
      </c>
    </row>
    <row r="354" ht="18" customHeight="1" s="87">
      <c r="A354" t="inlineStr">
        <is>
          <t>C963</t>
        </is>
      </c>
      <c r="B354" t="inlineStr">
        <is>
          <t>ACT Math: 12-17</t>
        </is>
      </c>
      <c r="C354" s="46" t="n">
        <v>0.00298804781</v>
      </c>
    </row>
    <row r="355" ht="18" customHeight="1" s="87">
      <c r="A355" t="inlineStr">
        <is>
          <t>C964</t>
        </is>
      </c>
      <c r="B355" t="inlineStr">
        <is>
          <t>ACT Math: 6-11</t>
        </is>
      </c>
      <c r="C355" s="45" t="n">
        <v>0</v>
      </c>
    </row>
    <row r="356" ht="18" customHeight="1" s="87">
      <c r="A356" t="inlineStr">
        <is>
          <t>C965</t>
        </is>
      </c>
      <c r="B356" t="inlineStr">
        <is>
          <t>ACT Math: Below 6</t>
        </is>
      </c>
      <c r="C356" s="45" t="n">
        <v>0</v>
      </c>
    </row>
    <row r="357" ht="18" customHeight="1" s="87">
      <c r="A357" t="inlineStr">
        <is>
          <t>C966</t>
        </is>
      </c>
      <c r="B357" t="inlineStr">
        <is>
          <t>ACT Math: Total</t>
        </is>
      </c>
      <c r="C357" s="38">
        <f>SUM(C351:C356)</f>
        <v/>
      </c>
    </row>
    <row r="358"/>
    <row r="359" ht="18" customHeight="1" s="87"/>
    <row r="360" ht="18" customHeight="1" s="87">
      <c r="A360" t="inlineStr">
        <is>
          <t>C967</t>
        </is>
      </c>
      <c r="B360" t="inlineStr">
        <is>
          <t>ACT English: 30-36</t>
        </is>
      </c>
      <c r="C360" s="46" t="n">
        <v>0.8545816733</v>
      </c>
    </row>
    <row r="361" ht="18" customHeight="1" s="87">
      <c r="A361" t="inlineStr">
        <is>
          <t>C968</t>
        </is>
      </c>
      <c r="B361" t="inlineStr">
        <is>
          <t>ACT English: 24-29</t>
        </is>
      </c>
      <c r="C361" s="46" t="n">
        <v>0.1235059761</v>
      </c>
    </row>
    <row r="362" ht="18" customHeight="1" s="87">
      <c r="A362" t="inlineStr">
        <is>
          <t>C969</t>
        </is>
      </c>
      <c r="B362" t="inlineStr">
        <is>
          <t>ACT English: 18-23</t>
        </is>
      </c>
      <c r="C362" s="46" t="n">
        <v>0.01992031873</v>
      </c>
    </row>
    <row r="363" ht="18" customHeight="1" s="87">
      <c r="A363" t="inlineStr">
        <is>
          <t>C970</t>
        </is>
      </c>
      <c r="B363" t="inlineStr">
        <is>
          <t>ACT English: 12-17</t>
        </is>
      </c>
      <c r="C363" s="46" t="n">
        <v>0.00199203187</v>
      </c>
    </row>
    <row r="364" ht="18" customHeight="1" s="87">
      <c r="A364" t="inlineStr">
        <is>
          <t>C971</t>
        </is>
      </c>
      <c r="B364" t="inlineStr">
        <is>
          <t>ACT English: 6-11</t>
        </is>
      </c>
      <c r="C364" s="45" t="n">
        <v>0</v>
      </c>
    </row>
    <row r="365" ht="18" customHeight="1" s="87">
      <c r="A365" t="inlineStr">
        <is>
          <t>C972</t>
        </is>
      </c>
      <c r="B365" t="inlineStr">
        <is>
          <t>ACT English: Below 6</t>
        </is>
      </c>
      <c r="C365" s="45" t="n">
        <v>0</v>
      </c>
    </row>
    <row r="366" ht="18" customHeight="1" s="87">
      <c r="A366" t="inlineStr">
        <is>
          <t>C973</t>
        </is>
      </c>
      <c r="B366" t="inlineStr">
        <is>
          <t>ACT English: Total</t>
        </is>
      </c>
      <c r="C366" s="38">
        <f>SUM(C360:C365)</f>
        <v/>
      </c>
    </row>
    <row r="367"/>
    <row r="368" ht="18" customHeight="1" s="87"/>
    <row r="369" ht="18" customHeight="1" s="87">
      <c r="A369" t="inlineStr">
        <is>
          <t>C974</t>
        </is>
      </c>
      <c r="B369" t="inlineStr">
        <is>
          <t>ACT Writing: 30-36</t>
        </is>
      </c>
      <c r="C369" s="78" t="n"/>
    </row>
    <row r="370" ht="18" customHeight="1" s="87">
      <c r="A370" t="inlineStr">
        <is>
          <t>C975</t>
        </is>
      </c>
      <c r="B370" t="inlineStr">
        <is>
          <t>ACT Writing: 24-29</t>
        </is>
      </c>
      <c r="C370" s="78" t="n"/>
    </row>
    <row r="371" ht="18" customHeight="1" s="87">
      <c r="A371" t="inlineStr">
        <is>
          <t>C976</t>
        </is>
      </c>
      <c r="B371" t="inlineStr">
        <is>
          <t>ACT Writing: 18-23</t>
        </is>
      </c>
      <c r="C371" s="78" t="n"/>
    </row>
    <row r="372" ht="18" customHeight="1" s="87">
      <c r="A372" t="inlineStr">
        <is>
          <t>C977</t>
        </is>
      </c>
      <c r="B372" t="inlineStr">
        <is>
          <t>ACT Writing: 12-17</t>
        </is>
      </c>
      <c r="C372" s="78" t="n"/>
    </row>
    <row r="373" ht="18" customHeight="1" s="87">
      <c r="A373" t="inlineStr">
        <is>
          <t>C978</t>
        </is>
      </c>
      <c r="B373" t="inlineStr">
        <is>
          <t>ACT Writing: 6-11</t>
        </is>
      </c>
      <c r="C373" s="78" t="n"/>
    </row>
    <row r="374" ht="18" customHeight="1" s="87">
      <c r="A374" t="inlineStr">
        <is>
          <t>C979</t>
        </is>
      </c>
      <c r="B374" t="inlineStr">
        <is>
          <t>ACT Writing: Below 6</t>
        </is>
      </c>
      <c r="C374" s="78" t="n"/>
    </row>
    <row r="375" ht="18" customHeight="1" s="87">
      <c r="A375" t="inlineStr">
        <is>
          <t>C980</t>
        </is>
      </c>
      <c r="B375" t="inlineStr">
        <is>
          <t>ACT Writing: Total</t>
        </is>
      </c>
      <c r="C375" s="38">
        <f>SUM(C369:C374)</f>
        <v/>
      </c>
    </row>
    <row r="376"/>
    <row r="377" ht="18" customHeight="1" s="87"/>
    <row r="378" ht="18" customHeight="1" s="87">
      <c r="A378" t="inlineStr">
        <is>
          <t>C981</t>
        </is>
      </c>
      <c r="B378" t="inlineStr">
        <is>
          <t>ACT Science: 30-36</t>
        </is>
      </c>
      <c r="C378" s="78" t="n"/>
    </row>
    <row r="379" ht="18" customHeight="1" s="87">
      <c r="A379" t="inlineStr">
        <is>
          <t>C982</t>
        </is>
      </c>
      <c r="B379" t="inlineStr">
        <is>
          <t>ACT Science: 24-29</t>
        </is>
      </c>
      <c r="C379" s="78" t="n"/>
    </row>
    <row r="380" ht="18" customHeight="1" s="87">
      <c r="A380" t="inlineStr">
        <is>
          <t>C983</t>
        </is>
      </c>
      <c r="B380" t="inlineStr">
        <is>
          <t>ACT Science: 18-23</t>
        </is>
      </c>
      <c r="C380" s="78" t="n"/>
    </row>
    <row r="381" ht="18" customHeight="1" s="87">
      <c r="A381" t="inlineStr">
        <is>
          <t>C984</t>
        </is>
      </c>
      <c r="B381" t="inlineStr">
        <is>
          <t>ACT Science: 12-17</t>
        </is>
      </c>
      <c r="C381" s="78" t="n"/>
    </row>
    <row r="382" ht="18" customHeight="1" s="87">
      <c r="A382" t="inlineStr">
        <is>
          <t>C985</t>
        </is>
      </c>
      <c r="B382" t="inlineStr">
        <is>
          <t>ACT Science: 6-11</t>
        </is>
      </c>
      <c r="C382" s="78" t="n"/>
    </row>
    <row r="383" ht="18" customHeight="1" s="87">
      <c r="A383" t="inlineStr">
        <is>
          <t>C986</t>
        </is>
      </c>
      <c r="B383" t="inlineStr">
        <is>
          <t>ACT Science: Below 6</t>
        </is>
      </c>
      <c r="C383" s="78" t="n"/>
    </row>
    <row r="384" ht="18" customHeight="1" s="87">
      <c r="A384" t="inlineStr">
        <is>
          <t>C987</t>
        </is>
      </c>
      <c r="B384" t="inlineStr">
        <is>
          <t>ACT Science: Total</t>
        </is>
      </c>
      <c r="C384" s="38">
        <f>SUM(C378:C383)</f>
        <v/>
      </c>
    </row>
    <row r="385"/>
    <row r="386" ht="18" customHeight="1" s="87"/>
    <row r="387" ht="18" customHeight="1" s="87">
      <c r="A387" t="inlineStr">
        <is>
          <t>C988</t>
        </is>
      </c>
      <c r="B387" t="inlineStr">
        <is>
          <t>ACT Reading: 30-36</t>
        </is>
      </c>
      <c r="C387" s="78" t="n"/>
    </row>
    <row r="388" ht="18" customHeight="1" s="87">
      <c r="A388" t="inlineStr">
        <is>
          <t>C989</t>
        </is>
      </c>
      <c r="B388" t="inlineStr">
        <is>
          <t>ACT Reading: 24-29</t>
        </is>
      </c>
      <c r="C388" s="78" t="n"/>
    </row>
    <row r="389" ht="18" customHeight="1" s="87">
      <c r="A389" t="inlineStr">
        <is>
          <t>C990</t>
        </is>
      </c>
      <c r="B389" t="inlineStr">
        <is>
          <t>ACT Reading: 18-23</t>
        </is>
      </c>
      <c r="C389" s="78" t="n"/>
    </row>
    <row r="390" ht="18" customHeight="1" s="87">
      <c r="A390" t="inlineStr">
        <is>
          <t>C991</t>
        </is>
      </c>
      <c r="B390" t="inlineStr">
        <is>
          <t>ACT Reading: 12-17</t>
        </is>
      </c>
      <c r="C390" s="78" t="n"/>
    </row>
    <row r="391" ht="18" customHeight="1" s="87">
      <c r="A391" t="inlineStr">
        <is>
          <t>C992</t>
        </is>
      </c>
      <c r="B391" t="inlineStr">
        <is>
          <t>ACT Reading: 6-11</t>
        </is>
      </c>
      <c r="C391" s="78" t="n"/>
    </row>
    <row r="392" ht="18" customHeight="1" s="87">
      <c r="A392" t="inlineStr">
        <is>
          <t>C993</t>
        </is>
      </c>
      <c r="B392" t="inlineStr">
        <is>
          <t>ACT Reading: Below 6</t>
        </is>
      </c>
      <c r="C392" s="78" t="n"/>
    </row>
    <row r="393" ht="18" customHeight="1" s="87">
      <c r="A393" t="inlineStr">
        <is>
          <t>C994</t>
        </is>
      </c>
      <c r="B393" t="inlineStr">
        <is>
          <t>ACT Reading: Total</t>
        </is>
      </c>
      <c r="C393" s="38">
        <f>SUM(C387:C392)</f>
        <v/>
      </c>
    </row>
    <row r="394"/>
    <row r="395"/>
    <row r="396" ht="18" customHeight="1" s="87"/>
    <row r="397" ht="18" customHeight="1" s="87"/>
    <row r="398" ht="18" customHeight="1" s="87"/>
    <row r="399" ht="18" customHeight="1" s="87"/>
    <row r="400" ht="18" customHeight="1" s="87"/>
    <row r="401" ht="18" customHeight="1" s="87"/>
    <row r="402" ht="18" customHeight="1" s="87">
      <c r="A402" t="inlineStr">
        <is>
          <t>C1001</t>
        </is>
      </c>
      <c r="B402" t="inlineStr">
        <is>
          <t>Percent in top tenth of high school graduating class</t>
        </is>
      </c>
      <c r="C402" t="n">
        <v>56.078431372549</v>
      </c>
    </row>
    <row r="403" ht="18" customHeight="1" s="87">
      <c r="A403" t="inlineStr">
        <is>
          <t>C1002</t>
        </is>
      </c>
      <c r="B403" t="inlineStr">
        <is>
          <t>Percent in top quarter of high school graduating class</t>
        </is>
      </c>
      <c r="C403" t="n">
        <v>85.29411764705883</v>
      </c>
    </row>
    <row r="404" ht="18" customHeight="1" s="87">
      <c r="A404" t="inlineStr">
        <is>
          <t>C1003</t>
        </is>
      </c>
      <c r="B404" t="inlineStr">
        <is>
          <t>Percent in top half of high school graduating class</t>
        </is>
      </c>
      <c r="C404" t="n">
        <v>98.13725490196077</v>
      </c>
    </row>
    <row r="405" ht="18" customHeight="1" s="87">
      <c r="A405" t="inlineStr">
        <is>
          <t>C1004</t>
        </is>
      </c>
      <c r="B405" t="inlineStr">
        <is>
          <t>Percent in bottom half of high school graduating class</t>
        </is>
      </c>
      <c r="C405" t="n">
        <v>1.862745098039216</v>
      </c>
    </row>
    <row r="406" ht="18" customHeight="1" s="87">
      <c r="A406" t="inlineStr">
        <is>
          <t>C1005</t>
        </is>
      </c>
      <c r="B406" t="inlineStr">
        <is>
          <t>Percent in bottom quarter of high school graduating class</t>
        </is>
      </c>
      <c r="C406" t="n">
        <v>0.196078431372549</v>
      </c>
    </row>
    <row r="407" ht="30" customHeight="1" s="87">
      <c r="A407" t="inlineStr">
        <is>
          <t>C1006</t>
        </is>
      </c>
      <c r="B407" s="2" t="inlineStr">
        <is>
          <t>Percent of total first-time, first-year students who submitted high school class rank:</t>
        </is>
      </c>
      <c r="C407" t="n">
        <v>22.64653641207815</v>
      </c>
    </row>
    <row r="408" ht="18" customHeight="1" s="87"/>
    <row r="409"/>
    <row r="410"/>
    <row r="411"/>
    <row r="412"/>
    <row r="413"/>
    <row r="414"/>
    <row r="415"/>
    <row r="416"/>
    <row r="417"/>
    <row r="418"/>
    <row r="419"/>
    <row r="420"/>
    <row r="421" ht="18" customHeight="1" s="87"/>
    <row r="422" ht="18" customHeight="1" s="87">
      <c r="A422" t="inlineStr">
        <is>
          <t>C1101</t>
        </is>
      </c>
      <c r="B422" t="inlineStr">
        <is>
          <t>Percent who had GPA of 4.0</t>
        </is>
      </c>
      <c r="C422" s="78" t="n"/>
    </row>
    <row r="423" ht="18" customHeight="1" s="87">
      <c r="A423" t="inlineStr">
        <is>
          <t>C1102</t>
        </is>
      </c>
      <c r="B423" t="inlineStr">
        <is>
          <t>Percent who had GPA between 3.75 and 3.99</t>
        </is>
      </c>
      <c r="C423" s="78" t="n"/>
    </row>
    <row r="424" ht="18" customHeight="1" s="87">
      <c r="A424" t="inlineStr">
        <is>
          <t>C1103</t>
        </is>
      </c>
      <c r="B424" t="inlineStr">
        <is>
          <t>Percent who had GPA between 3.50 and 3.74</t>
        </is>
      </c>
      <c r="C424" s="78" t="n"/>
    </row>
    <row r="425" ht="18" customHeight="1" s="87">
      <c r="A425" t="inlineStr">
        <is>
          <t>C1104</t>
        </is>
      </c>
      <c r="B425" t="inlineStr">
        <is>
          <t>Percent who had GPA between 3.25 and 3.49</t>
        </is>
      </c>
      <c r="C425" s="78" t="n"/>
    </row>
    <row r="426" ht="18" customHeight="1" s="87">
      <c r="A426" t="inlineStr">
        <is>
          <t>C1105</t>
        </is>
      </c>
      <c r="B426" t="inlineStr">
        <is>
          <t>Percent who had GPA between 3.00 and 3.24</t>
        </is>
      </c>
      <c r="C426" s="78" t="n"/>
    </row>
    <row r="427" ht="18" customHeight="1" s="87">
      <c r="A427" t="inlineStr">
        <is>
          <t>C1106</t>
        </is>
      </c>
      <c r="B427" s="2" t="inlineStr">
        <is>
          <t>Percent who had GPA between 2.50 and 2.99</t>
        </is>
      </c>
      <c r="C427" s="78" t="n"/>
    </row>
    <row r="428" ht="18" customHeight="1" s="87">
      <c r="A428" t="inlineStr">
        <is>
          <t>C1107</t>
        </is>
      </c>
      <c r="B428" t="inlineStr">
        <is>
          <t>Percent who had GPA between 2.0 and 2.49</t>
        </is>
      </c>
      <c r="C428" s="78" t="n"/>
    </row>
    <row r="429" ht="18" customHeight="1" s="87">
      <c r="A429" t="inlineStr">
        <is>
          <t>C1108</t>
        </is>
      </c>
      <c r="B429" t="inlineStr">
        <is>
          <t>Percent who had GPA between 1.0 and 1.99</t>
        </is>
      </c>
      <c r="C429" s="78" t="n"/>
    </row>
    <row r="430" ht="18" customHeight="1" s="87">
      <c r="A430" t="inlineStr">
        <is>
          <t>C1109</t>
        </is>
      </c>
      <c r="B430" t="inlineStr">
        <is>
          <t>Percent who had GPA below 1.0</t>
        </is>
      </c>
      <c r="C430" s="78" t="n"/>
    </row>
    <row r="431" ht="18" customHeight="1" s="87">
      <c r="A431" t="inlineStr">
        <is>
          <t>C1110</t>
        </is>
      </c>
      <c r="B431" t="inlineStr">
        <is>
          <t>Total</t>
        </is>
      </c>
      <c r="C431" s="38">
        <f>SUM(C422:C430)</f>
        <v/>
      </c>
    </row>
    <row r="432"/>
    <row r="433" ht="18" customHeight="1" s="87"/>
    <row r="434" ht="18" customHeight="1" s="87">
      <c r="A434" t="inlineStr">
        <is>
          <t>C1111</t>
        </is>
      </c>
      <c r="B434" t="inlineStr">
        <is>
          <t>Percent who had GPA of 4.0</t>
        </is>
      </c>
      <c r="C434" s="78" t="n"/>
    </row>
    <row r="435" ht="18" customHeight="1" s="87">
      <c r="A435" t="inlineStr">
        <is>
          <t>C1112</t>
        </is>
      </c>
      <c r="B435" t="inlineStr">
        <is>
          <t>Percent who had GPA between 3.75 and 3.99</t>
        </is>
      </c>
      <c r="C435" s="78" t="n"/>
    </row>
    <row r="436" ht="18" customHeight="1" s="87">
      <c r="A436" t="inlineStr">
        <is>
          <t>C1113</t>
        </is>
      </c>
      <c r="B436" t="inlineStr">
        <is>
          <t>Percent who had GPA between 3.50 and 3.74</t>
        </is>
      </c>
      <c r="C436" s="78" t="n"/>
    </row>
    <row r="437" ht="18" customHeight="1" s="87">
      <c r="A437" t="inlineStr">
        <is>
          <t>C1114</t>
        </is>
      </c>
      <c r="B437" t="inlineStr">
        <is>
          <t>Percent who had GPA between 3.25 and 3.49</t>
        </is>
      </c>
      <c r="C437" s="78" t="n"/>
    </row>
    <row r="438" ht="18" customHeight="1" s="87">
      <c r="A438" t="inlineStr">
        <is>
          <t>C1115</t>
        </is>
      </c>
      <c r="B438" t="inlineStr">
        <is>
          <t>Percent who had GPA between 3.00 and 3.24</t>
        </is>
      </c>
      <c r="C438" s="78" t="n"/>
    </row>
    <row r="439" ht="18" customHeight="1" s="87">
      <c r="A439" t="inlineStr">
        <is>
          <t>C1116</t>
        </is>
      </c>
      <c r="B439" s="2" t="inlineStr">
        <is>
          <t>Percent who had GPA between 2.50 and 2.99</t>
        </is>
      </c>
      <c r="C439" s="78" t="n"/>
    </row>
    <row r="440" ht="18" customHeight="1" s="87">
      <c r="A440" t="inlineStr">
        <is>
          <t>C1117</t>
        </is>
      </c>
      <c r="B440" t="inlineStr">
        <is>
          <t>Percent who had GPA between 2.0 and 2.49</t>
        </is>
      </c>
      <c r="C440" s="78" t="n"/>
    </row>
    <row r="441" ht="18" customHeight="1" s="87">
      <c r="A441" t="inlineStr">
        <is>
          <t>C1118</t>
        </is>
      </c>
      <c r="B441" t="inlineStr">
        <is>
          <t>Percent who had GPA between 1.0 and 1.99</t>
        </is>
      </c>
      <c r="C441" s="78" t="n"/>
    </row>
    <row r="442" ht="18" customHeight="1" s="87">
      <c r="A442" t="inlineStr">
        <is>
          <t>C1119</t>
        </is>
      </c>
      <c r="B442" t="inlineStr">
        <is>
          <t>Percent who had GPA below 1.0</t>
        </is>
      </c>
      <c r="C442" s="78" t="n"/>
    </row>
    <row r="443" ht="18" customHeight="1" s="87">
      <c r="A443" t="inlineStr">
        <is>
          <t>C1120</t>
        </is>
      </c>
      <c r="B443" t="inlineStr">
        <is>
          <t>Total</t>
        </is>
      </c>
      <c r="C443" s="38">
        <f>SUM(C434:C442)</f>
        <v/>
      </c>
    </row>
    <row r="444"/>
    <row r="445" ht="18" customHeight="1" s="87"/>
    <row r="446" ht="18" customHeight="1" s="87">
      <c r="A446" t="inlineStr">
        <is>
          <t>C1121</t>
        </is>
      </c>
      <c r="B446" t="inlineStr">
        <is>
          <t>Percent who had GPA of 4.0</t>
        </is>
      </c>
      <c r="C446" s="78" t="n"/>
    </row>
    <row r="447" ht="18" customHeight="1" s="87">
      <c r="A447" t="inlineStr">
        <is>
          <t>C1122</t>
        </is>
      </c>
      <c r="B447" t="inlineStr">
        <is>
          <t>Percent who had GPA between 3.75 and 3.99</t>
        </is>
      </c>
      <c r="C447" s="78" t="n"/>
    </row>
    <row r="448" ht="18" customHeight="1" s="87">
      <c r="A448" t="inlineStr">
        <is>
          <t>C1123</t>
        </is>
      </c>
      <c r="B448" t="inlineStr">
        <is>
          <t>Percent who had GPA between 3.50 and 3.74</t>
        </is>
      </c>
      <c r="C448" s="78" t="n"/>
    </row>
    <row r="449" ht="18" customHeight="1" s="87">
      <c r="A449" t="inlineStr">
        <is>
          <t>C1124</t>
        </is>
      </c>
      <c r="B449" t="inlineStr">
        <is>
          <t>Percent who had GPA between 3.25 and 3.49</t>
        </is>
      </c>
      <c r="C449" s="78" t="n"/>
    </row>
    <row r="450" ht="18" customHeight="1" s="87">
      <c r="A450" t="inlineStr">
        <is>
          <t>C1125</t>
        </is>
      </c>
      <c r="B450" t="inlineStr">
        <is>
          <t>Percent who had GPA between 3.00 and 3.24</t>
        </is>
      </c>
      <c r="C450" s="78" t="n"/>
    </row>
    <row r="451" ht="18" customHeight="1" s="87">
      <c r="A451" t="inlineStr">
        <is>
          <t>C1126</t>
        </is>
      </c>
      <c r="B451" s="2" t="inlineStr">
        <is>
          <t>Percent who had GPA between 2.50 and 2.99</t>
        </is>
      </c>
      <c r="C451" s="78" t="n"/>
    </row>
    <row r="452" ht="18" customHeight="1" s="87">
      <c r="A452" t="inlineStr">
        <is>
          <t>C1127</t>
        </is>
      </c>
      <c r="B452" t="inlineStr">
        <is>
          <t>Percent who had GPA between 2.0 and 2.49</t>
        </is>
      </c>
      <c r="C452" s="78" t="n"/>
    </row>
    <row r="453" ht="18" customHeight="1" s="87">
      <c r="A453" t="inlineStr">
        <is>
          <t>C1128</t>
        </is>
      </c>
      <c r="B453" t="inlineStr">
        <is>
          <t>Percent who had GPA between 1.0 and 1.99</t>
        </is>
      </c>
      <c r="C453" s="78" t="n"/>
    </row>
    <row r="454" ht="18" customHeight="1" s="87">
      <c r="A454" t="inlineStr">
        <is>
          <t>C1129</t>
        </is>
      </c>
      <c r="B454" t="inlineStr">
        <is>
          <t>Percent who had GPA below 1.0</t>
        </is>
      </c>
      <c r="C454" s="78" t="n"/>
    </row>
    <row r="455" ht="18" customHeight="1" s="87">
      <c r="A455" t="inlineStr">
        <is>
          <t>C1130</t>
        </is>
      </c>
      <c r="B455" t="inlineStr">
        <is>
          <t>Total</t>
        </is>
      </c>
      <c r="C455" s="38">
        <f>SUM(C446:C454)</f>
        <v/>
      </c>
    </row>
    <row r="456"/>
    <row r="457"/>
    <row r="458" ht="18" customHeight="1" s="87"/>
    <row r="459" ht="30" customHeight="1" s="87">
      <c r="A459" t="inlineStr">
        <is>
          <t>C1201</t>
        </is>
      </c>
      <c r="B459" s="2" t="inlineStr">
        <is>
          <t>Average high school GPA of all degree-seeking, first-time, first-year students who submitted GPA:</t>
        </is>
      </c>
      <c r="C459" s="76" t="n">
        <v>0</v>
      </c>
    </row>
    <row r="460"/>
    <row r="461" ht="18" customHeight="1" s="87"/>
    <row r="462" ht="30" customHeight="1" s="87">
      <c r="A462" t="inlineStr">
        <is>
          <t>C1202</t>
        </is>
      </c>
      <c r="B462" s="2" t="inlineStr">
        <is>
          <t xml:space="preserve">Percent of total first-time, first-year students who submitted high school GPA:  </t>
        </is>
      </c>
      <c r="C462" s="38" t="n">
        <v>0</v>
      </c>
    </row>
    <row r="463"/>
    <row r="464"/>
    <row r="465"/>
    <row r="466"/>
    <row r="467"/>
    <row r="468"/>
    <row r="469"/>
    <row r="470"/>
    <row r="471"/>
    <row r="472" ht="18" customHeight="1" s="87"/>
    <row r="473" ht="18" customHeight="1" s="87">
      <c r="A473" t="inlineStr">
        <is>
          <t>C1301</t>
        </is>
      </c>
      <c r="B473" t="inlineStr">
        <is>
          <t>Does your institution have an application fee?</t>
        </is>
      </c>
      <c r="C473" t="inlineStr">
        <is>
          <t>Y</t>
        </is>
      </c>
    </row>
    <row r="474"/>
    <row r="475" ht="18" customHeight="1" s="87"/>
    <row r="476" ht="18" customHeight="1" s="87">
      <c r="A476" t="inlineStr">
        <is>
          <t>C1302</t>
        </is>
      </c>
      <c r="B476" t="inlineStr">
        <is>
          <t>Amount of application fee:</t>
        </is>
      </c>
      <c r="C476" s="94" t="inlineStr">
        <is>
          <t xml:space="preserve">$50/$75 </t>
        </is>
      </c>
    </row>
    <row r="477"/>
    <row r="478" ht="18" customHeight="1" s="87"/>
    <row r="479" ht="18" customHeight="1" s="87">
      <c r="A479" t="inlineStr">
        <is>
          <t>C1303</t>
        </is>
      </c>
      <c r="B479" t="inlineStr">
        <is>
          <t>Can it be waived for applicants with financial need?</t>
        </is>
      </c>
      <c r="C479" t="inlineStr">
        <is>
          <t>Y</t>
        </is>
      </c>
    </row>
    <row r="480"/>
    <row r="481" ht="18" customHeight="1" s="87">
      <c r="B481" s="2" t="n"/>
    </row>
    <row r="482">
      <c r="B482" s="2" t="n"/>
    </row>
    <row r="483">
      <c r="B483" s="2" t="n"/>
    </row>
    <row r="484" ht="18" customHeight="1" s="87">
      <c r="A484" t="inlineStr">
        <is>
          <t>C1304</t>
        </is>
      </c>
      <c r="B484" s="3" t="inlineStr">
        <is>
          <t>Same fee</t>
        </is>
      </c>
      <c r="C484" t="inlineStr">
        <is>
          <t>x</t>
        </is>
      </c>
    </row>
    <row r="485" ht="18" customHeight="1" s="87">
      <c r="A485" t="inlineStr">
        <is>
          <t>C1305</t>
        </is>
      </c>
      <c r="B485" s="3" t="inlineStr">
        <is>
          <t>Free</t>
        </is>
      </c>
    </row>
    <row r="486" ht="18" customHeight="1" s="87">
      <c r="A486" t="inlineStr">
        <is>
          <t>C1306</t>
        </is>
      </c>
      <c r="B486" s="3" t="inlineStr">
        <is>
          <t>Reduced</t>
        </is>
      </c>
    </row>
    <row r="487"/>
    <row r="488" ht="18" customHeight="1" s="87"/>
    <row r="489" ht="33.75" customHeight="1" s="87">
      <c r="A489" t="inlineStr">
        <is>
          <t>C1307</t>
        </is>
      </c>
      <c r="B489" s="2" t="inlineStr">
        <is>
          <t>Can on-line application fee be waived for applicants with financial need?</t>
        </is>
      </c>
      <c r="C489" t="inlineStr">
        <is>
          <t>Y</t>
        </is>
      </c>
    </row>
    <row r="490"/>
    <row r="491"/>
    <row r="492"/>
    <row r="493"/>
    <row r="494" ht="18" customHeight="1" s="87"/>
    <row r="495" ht="18" customHeight="1" s="87">
      <c r="A495" t="inlineStr">
        <is>
          <t>C1401</t>
        </is>
      </c>
      <c r="B495" t="inlineStr">
        <is>
          <t>Does your institution have an application closing date?</t>
        </is>
      </c>
      <c r="C495" t="inlineStr">
        <is>
          <t>Y</t>
        </is>
      </c>
    </row>
    <row r="496"/>
    <row r="497" ht="18" customHeight="1" s="87"/>
    <row r="498" ht="18" customHeight="1" s="87">
      <c r="A498" t="inlineStr">
        <is>
          <t>C1402</t>
        </is>
      </c>
      <c r="B498" s="3" t="inlineStr">
        <is>
          <t>Application closing date (fall)</t>
        </is>
      </c>
      <c r="C498" s="77" t="n">
        <v>45662</v>
      </c>
    </row>
    <row r="499" ht="18" customHeight="1" s="87">
      <c r="A499" t="inlineStr">
        <is>
          <t>C1403</t>
        </is>
      </c>
      <c r="B499" s="3" t="inlineStr">
        <is>
          <t>Priority Date</t>
        </is>
      </c>
      <c r="C499" s="77" t="n">
        <v>45962</v>
      </c>
    </row>
    <row r="500"/>
    <row r="501" ht="18" customHeight="1" s="87"/>
    <row r="502" ht="18" customHeight="1" s="87"/>
    <row r="503" ht="27.75" customHeight="1" s="87">
      <c r="A503" t="inlineStr">
        <is>
          <t>C1501</t>
        </is>
      </c>
      <c r="B503" s="2" t="inlineStr">
        <is>
          <t>Are first-time, first-year students accepted for terms other than the fall?</t>
        </is>
      </c>
      <c r="C503" t="inlineStr">
        <is>
          <t>N</t>
        </is>
      </c>
    </row>
    <row r="504">
      <c r="B504" s="2" t="n"/>
    </row>
    <row r="505" ht="18" customHeight="1" s="87"/>
    <row r="506"/>
    <row r="507" ht="18" customHeight="1" s="87">
      <c r="A507" t="inlineStr">
        <is>
          <t>C1601</t>
        </is>
      </c>
      <c r="B507" s="4" t="inlineStr">
        <is>
          <t xml:space="preserve">Yes, on a rolling basis:  </t>
        </is>
      </c>
      <c r="C507" s="47" t="n"/>
    </row>
    <row r="508" ht="18" customHeight="1" s="87">
      <c r="A508" t="inlineStr">
        <is>
          <t>C1602</t>
        </is>
      </c>
      <c r="B508" s="3" t="inlineStr">
        <is>
          <t>Beginning date</t>
        </is>
      </c>
    </row>
    <row r="509" ht="18" customHeight="1" s="87">
      <c r="A509" t="inlineStr">
        <is>
          <t>C1603</t>
        </is>
      </c>
      <c r="B509" s="4" t="inlineStr">
        <is>
          <t xml:space="preserve">Yes, by:  </t>
        </is>
      </c>
    </row>
    <row r="510" ht="18" customHeight="1" s="87">
      <c r="A510" t="inlineStr">
        <is>
          <t>C1604</t>
        </is>
      </c>
      <c r="B510" s="3" t="inlineStr">
        <is>
          <t>Date</t>
        </is>
      </c>
      <c r="C510" t="inlineStr">
        <is>
          <t>2/28 (no rolling)</t>
        </is>
      </c>
    </row>
    <row r="511" ht="18" customHeight="1" s="87">
      <c r="A511" t="inlineStr">
        <is>
          <t>C1605</t>
        </is>
      </c>
      <c r="B511" s="4" t="inlineStr">
        <is>
          <t xml:space="preserve">Yes, other:  </t>
        </is>
      </c>
    </row>
    <row r="512" ht="18" customHeight="1" s="87">
      <c r="A512" t="inlineStr">
        <is>
          <t>C1606</t>
        </is>
      </c>
      <c r="B512" s="3" t="inlineStr">
        <is>
          <t>Other Date</t>
        </is>
      </c>
    </row>
    <row r="513">
      <c r="B513" s="3" t="n"/>
    </row>
    <row r="514" ht="18" customHeight="1" s="87"/>
    <row r="515" ht="18" customHeight="1" s="87"/>
    <row r="516" ht="18" customHeight="1" s="87">
      <c r="B516" s="3" t="inlineStr">
        <is>
          <t>Must reply by:</t>
        </is>
      </c>
    </row>
    <row r="517" ht="18" customHeight="1" s="87">
      <c r="A517" t="inlineStr">
        <is>
          <t>C1701</t>
        </is>
      </c>
      <c r="B517" s="3" t="inlineStr">
        <is>
          <t>Date</t>
        </is>
      </c>
    </row>
    <row r="518" ht="18" customHeight="1" s="87">
      <c r="A518" t="inlineStr">
        <is>
          <t>C1702</t>
        </is>
      </c>
      <c r="B518" s="3" t="inlineStr">
        <is>
          <t>No set Date</t>
        </is>
      </c>
    </row>
    <row r="519" ht="18" customHeight="1" s="87">
      <c r="B519" s="4" t="n"/>
    </row>
    <row r="520" ht="18" customHeight="1" s="87">
      <c r="A520" t="inlineStr">
        <is>
          <t>C1703</t>
        </is>
      </c>
      <c r="B520" s="3" t="inlineStr">
        <is>
          <t>Must reply by May 1st or within____weeks if notified after</t>
        </is>
      </c>
      <c r="C520" t="inlineStr">
        <is>
          <t xml:space="preserve">x </t>
        </is>
      </c>
    </row>
    <row r="521" ht="18" customHeight="1" s="87">
      <c r="A521" t="inlineStr">
        <is>
          <t>C1704</t>
        </is>
      </c>
      <c r="B521" s="3" t="inlineStr">
        <is>
          <t>Other</t>
        </is>
      </c>
    </row>
    <row r="522" ht="18" customHeight="1" s="87">
      <c r="A522" t="inlineStr">
        <is>
          <t>C1705</t>
        </is>
      </c>
      <c r="B522" s="3" t="inlineStr">
        <is>
          <t>Other Date</t>
        </is>
      </c>
    </row>
    <row r="523"/>
    <row r="524" ht="18" customHeight="1" s="87">
      <c r="A524" t="inlineStr">
        <is>
          <t>C1706</t>
        </is>
      </c>
      <c r="B524" t="inlineStr">
        <is>
          <t xml:space="preserve">Deadline for housing deposit (MMDD): </t>
        </is>
      </c>
      <c r="C524" s="58" t="n">
        <v>45785</v>
      </c>
    </row>
    <row r="525" ht="18" customHeight="1" s="87"/>
    <row r="526" ht="18" customHeight="1" s="87">
      <c r="A526" t="inlineStr">
        <is>
          <t>C1707</t>
        </is>
      </c>
      <c r="B526" t="inlineStr">
        <is>
          <t>Amount of housing deposit:</t>
        </is>
      </c>
      <c r="C526" s="95" t="n">
        <v>100</v>
      </c>
    </row>
    <row r="527"/>
    <row r="528"/>
    <row r="529" ht="18" customHeight="1" s="87"/>
    <row r="530" ht="18" customHeight="1" s="87">
      <c r="A530" t="inlineStr">
        <is>
          <t>C1708</t>
        </is>
      </c>
      <c r="B530" t="inlineStr">
        <is>
          <t>Yes, in full</t>
        </is>
      </c>
      <c r="C530" t="inlineStr">
        <is>
          <t>x</t>
        </is>
      </c>
    </row>
    <row r="531" ht="18" customHeight="1" s="87">
      <c r="A531" t="inlineStr">
        <is>
          <t>C1709</t>
        </is>
      </c>
      <c r="B531" t="inlineStr">
        <is>
          <t>Yes, in part</t>
        </is>
      </c>
    </row>
    <row r="532" ht="18" customHeight="1" s="87">
      <c r="A532" t="inlineStr">
        <is>
          <t>C1710</t>
        </is>
      </c>
      <c r="B532" t="inlineStr">
        <is>
          <t>No</t>
        </is>
      </c>
    </row>
    <row r="533"/>
    <row r="534"/>
    <row r="535" ht="18" customHeight="1" s="87"/>
    <row r="536" ht="18" customHeight="1" s="87"/>
    <row r="537" ht="18" customHeight="1" s="87"/>
    <row r="538" ht="30" customHeight="1" s="87">
      <c r="A538" t="inlineStr">
        <is>
          <t>C1801</t>
        </is>
      </c>
      <c r="B538" s="2" t="inlineStr">
        <is>
          <t>Does your institution allow students to postpone enrollment after admission?</t>
        </is>
      </c>
      <c r="C538" t="inlineStr">
        <is>
          <t>Y</t>
        </is>
      </c>
    </row>
    <row r="539" ht="18" customHeight="1" s="87">
      <c r="B539" s="2" t="n"/>
    </row>
    <row r="540" ht="18" customHeight="1" s="87">
      <c r="A540" t="inlineStr">
        <is>
          <t>C1802</t>
        </is>
      </c>
      <c r="B540" s="3" t="inlineStr">
        <is>
          <t>If yes, maximum period of postponement:</t>
        </is>
      </c>
      <c r="C540" t="inlineStr">
        <is>
          <t>1 year or 2 years for U.S. Military</t>
        </is>
      </c>
    </row>
    <row r="541"/>
    <row r="542"/>
    <row r="543"/>
    <row r="544"/>
    <row r="545" ht="18" customHeight="1" s="87"/>
    <row r="546" ht="45" customHeight="1" s="87">
      <c r="A546" t="inlineStr">
        <is>
          <t>C1901</t>
        </is>
      </c>
      <c r="B546" s="2" t="inlineStr">
        <is>
          <t>Does your institution allow high school students to enroll as full-time, first-time, first-year students one year or more before high school graduation?</t>
        </is>
      </c>
      <c r="C546" t="inlineStr">
        <is>
          <t>N</t>
        </is>
      </c>
    </row>
    <row r="547">
      <c r="B547" s="3" t="n"/>
    </row>
    <row r="548"/>
    <row r="549"/>
    <row r="550"/>
    <row r="551"/>
    <row r="552"/>
    <row r="553"/>
    <row r="554"/>
    <row r="555"/>
    <row r="556"/>
    <row r="557"/>
    <row r="558"/>
    <row r="559" ht="18" customHeight="1" s="87"/>
    <row r="560" ht="90" customHeight="1" s="87">
      <c r="A560" t="inlineStr">
        <is>
          <t>C2101</t>
        </is>
      </c>
      <c r="B560" s="2" t="inlineStr">
        <is>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is>
      </c>
      <c r="C560" s="2" t="inlineStr">
        <is>
          <t>N</t>
        </is>
      </c>
    </row>
    <row r="561"/>
    <row r="562"/>
    <row r="563"/>
    <row r="564" ht="18" customHeight="1" s="87"/>
    <row r="565" ht="18" customHeight="1" s="87">
      <c r="A565" t="inlineStr">
        <is>
          <t>C2102</t>
        </is>
      </c>
      <c r="B565" s="3" t="inlineStr">
        <is>
          <t>First or only early decision plan closing date</t>
        </is>
      </c>
      <c r="C565" s="3" t="n"/>
    </row>
    <row r="566" ht="18" customHeight="1" s="87">
      <c r="A566" t="inlineStr">
        <is>
          <t>C2103</t>
        </is>
      </c>
      <c r="B566" s="3" t="inlineStr">
        <is>
          <t>First or only early decision plan notification date</t>
        </is>
      </c>
      <c r="C566" s="3" t="n"/>
    </row>
    <row r="567" ht="18" customHeight="1" s="87">
      <c r="A567" t="inlineStr">
        <is>
          <t>C2104</t>
        </is>
      </c>
      <c r="B567" s="3" t="inlineStr">
        <is>
          <t>Other early decision plan closing date</t>
        </is>
      </c>
      <c r="C567" s="3" t="n"/>
    </row>
    <row r="568" ht="18" customHeight="1" s="87">
      <c r="A568" t="inlineStr">
        <is>
          <t>C2105</t>
        </is>
      </c>
      <c r="B568" s="3" t="inlineStr">
        <is>
          <t>Other early decision plan notification date</t>
        </is>
      </c>
      <c r="C568" s="3" t="n"/>
    </row>
    <row r="569"/>
    <row r="570"/>
    <row r="571"/>
    <row r="572" ht="18" customHeight="1" s="87">
      <c r="A572" t="inlineStr">
        <is>
          <t>C2106</t>
        </is>
      </c>
      <c r="B572" s="3" t="inlineStr">
        <is>
          <t>Number of early decision applications received by your institution</t>
        </is>
      </c>
    </row>
    <row r="573" ht="18" customHeight="1" s="87">
      <c r="A573" t="inlineStr">
        <is>
          <t>C2107</t>
        </is>
      </c>
      <c r="B573" s="3" t="inlineStr">
        <is>
          <t>Number of applicants admitted under early decision plan</t>
        </is>
      </c>
    </row>
    <row r="574">
      <c r="B574" s="3" t="n"/>
    </row>
    <row r="575" ht="18" customHeight="1" s="87">
      <c r="B575" s="3" t="n"/>
    </row>
    <row r="576" ht="18" customHeight="1" s="87">
      <c r="A576" t="inlineStr">
        <is>
          <t>C2108</t>
        </is>
      </c>
      <c r="B576" s="3" t="inlineStr">
        <is>
          <t xml:space="preserve">Please provide significant details about your early decision plan:  </t>
        </is>
      </c>
    </row>
    <row r="577"/>
    <row r="578"/>
    <row r="579"/>
    <row r="580"/>
    <row r="581"/>
    <row r="582" ht="18" customHeight="1" s="87"/>
    <row r="583" ht="60" customHeight="1" s="87">
      <c r="A583" t="inlineStr">
        <is>
          <t>C2201</t>
        </is>
      </c>
      <c r="B583" s="2" t="inlineStr">
        <is>
          <t>Do you have a nonbinding early action plan whereby students are notified of an admission decision well in advance of the regular notification date but do not have to commit to attending your college?</t>
        </is>
      </c>
      <c r="C583" t="inlineStr">
        <is>
          <t>Y</t>
        </is>
      </c>
    </row>
    <row r="584"/>
    <row r="585"/>
    <row r="586"/>
    <row r="587" ht="18" customHeight="1" s="87"/>
    <row r="588" ht="18" customHeight="1" s="87">
      <c r="A588" t="inlineStr">
        <is>
          <t>C2202</t>
        </is>
      </c>
      <c r="B588" s="3" t="inlineStr">
        <is>
          <t>Early action closing date</t>
        </is>
      </c>
      <c r="C588" s="77" t="n">
        <v>45962</v>
      </c>
    </row>
    <row r="589" ht="18" customHeight="1" s="87">
      <c r="A589" t="inlineStr">
        <is>
          <t>C2203</t>
        </is>
      </c>
      <c r="B589" s="3" t="inlineStr">
        <is>
          <t>Early action notification date</t>
        </is>
      </c>
      <c r="C589" s="77" t="n">
        <v>45688</v>
      </c>
    </row>
    <row r="590">
      <c r="B590" s="3" t="n"/>
    </row>
    <row r="591" ht="18" customHeight="1" s="87"/>
    <row r="592" ht="30" customHeight="1" s="87">
      <c r="A592" t="inlineStr">
        <is>
          <t>C2204</t>
        </is>
      </c>
      <c r="B592" s="2" t="inlineStr">
        <is>
          <t>Is your early action plan a “restrictive” plan under which you limit students from applying to other early plans?</t>
        </is>
      </c>
      <c r="C592" s="2" t="inlineStr">
        <is>
          <t>N</t>
        </is>
      </c>
    </row>
  </sheetData>
  <autoFilter ref="A1:L592"/>
  <dataValidations count="4">
    <dataValidation sqref="C224" showDropDown="0" showInputMessage="1" showErrorMessage="1" allowBlank="1" type="list">
      <formula1>$C$213:$C$216</formula1>
    </dataValidation>
    <dataValidation sqref="C186:C192 C194:C205" showDropDown="0" showInputMessage="1" showErrorMessage="1" allowBlank="1" type="list">
      <formula1>$C$179:$C$182</formula1>
    </dataValidation>
    <dataValidation sqref="C221:C223" showDropDown="0" showInputMessage="1" showErrorMessage="1" allowBlank="1" type="list">
      <formula1>$C$213:$C$217</formula1>
    </dataValidation>
    <dataValidation sqref="C131:C140" showDropDown="0" showInputMessage="1" showErrorMessage="1" allowBlank="1" type="decimal">
      <formula1>0</formula1>
      <formula2>1000000</formula2>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77"/>
  <sheetViews>
    <sheetView zoomScaleNormal="100" workbookViewId="0">
      <pane ySplit="1" topLeftCell="A2" activePane="bottomLeft" state="frozen"/>
      <selection pane="bottomLeft" activeCell="A2" sqref="A2"/>
    </sheetView>
  </sheetViews>
  <sheetFormatPr baseColWidth="8" defaultColWidth="8.85546875" defaultRowHeight="15"/>
  <cols>
    <col width="6.42578125" customWidth="1" style="87" min="1" max="1"/>
    <col width="41.42578125" customWidth="1" style="87" min="2" max="2"/>
    <col width="38.42578125" customWidth="1" style="87" min="3" max="3"/>
  </cols>
  <sheetData>
    <row r="1">
      <c r="A1" t="inlineStr">
        <is>
          <t>Question Number</t>
        </is>
      </c>
      <c r="B1" t="inlineStr">
        <is>
          <t>Question</t>
        </is>
      </c>
      <c r="C1" t="inlineStr">
        <is>
          <t>Answer</t>
        </is>
      </c>
    </row>
    <row r="2"/>
    <row r="3"/>
    <row r="4"/>
    <row r="5"/>
    <row r="6"/>
    <row r="7"/>
    <row r="8" ht="18" customHeight="1" s="87"/>
    <row r="9" ht="62.25" customHeight="1" s="87">
      <c r="A9" t="inlineStr">
        <is>
          <t>D101</t>
        </is>
      </c>
      <c r="B9" s="2" t="inlineStr">
        <is>
          <t>Does your institution enroll transfer students? (If no, please skip to Section E)</t>
        </is>
      </c>
      <c r="C9" t="inlineStr">
        <is>
          <t>Yes</t>
        </is>
      </c>
    </row>
    <row r="10" ht="65.25" customHeight="1" s="87">
      <c r="A10" t="inlineStr">
        <is>
          <t>D102</t>
        </is>
      </c>
      <c r="B10" s="2" t="inlineStr">
        <is>
          <t>If yes, may transfer students earn advanced standing credit by transferring credits earned from course work completed at other colleges/universities?</t>
        </is>
      </c>
      <c r="C10" t="inlineStr">
        <is>
          <t>Yes</t>
        </is>
      </c>
    </row>
    <row r="11">
      <c r="B11" s="2" t="n"/>
    </row>
    <row r="12" ht="18" customHeight="1" s="87">
      <c r="B12" s="2" t="n"/>
      <c r="C12" s="2" t="n"/>
    </row>
    <row r="13">
      <c r="B13" s="2" t="n"/>
      <c r="C13" s="2" t="n"/>
    </row>
    <row r="14">
      <c r="B14" s="2" t="n"/>
      <c r="C14" s="2" t="n"/>
    </row>
    <row r="15">
      <c r="B15" s="2" t="n"/>
      <c r="C15" s="2" t="n"/>
    </row>
    <row r="16">
      <c r="B16" s="2" t="n"/>
      <c r="C16" s="2" t="n"/>
    </row>
    <row r="17"/>
    <row r="18" ht="18" customHeight="1" s="87"/>
    <row r="19" ht="18" customHeight="1" s="87">
      <c r="A19" t="inlineStr">
        <is>
          <t>D201</t>
        </is>
      </c>
      <c r="B19" t="inlineStr">
        <is>
          <t>Men</t>
        </is>
      </c>
      <c r="C19" s="48" t="n">
        <v>3370</v>
      </c>
    </row>
    <row r="20" ht="18" customHeight="1" s="87">
      <c r="A20" t="inlineStr">
        <is>
          <t>D202</t>
        </is>
      </c>
      <c r="B20" t="inlineStr">
        <is>
          <t>Women</t>
        </is>
      </c>
      <c r="C20" s="48" t="n">
        <v>2335</v>
      </c>
    </row>
    <row r="21" ht="18" customHeight="1" s="87">
      <c r="A21" t="inlineStr">
        <is>
          <t>D203</t>
        </is>
      </c>
      <c r="B21" t="inlineStr">
        <is>
          <t>Another Gender</t>
        </is>
      </c>
      <c r="C21" t="n">
        <v>0</v>
      </c>
    </row>
    <row r="22" ht="18" customHeight="1" s="87">
      <c r="A22" t="inlineStr">
        <is>
          <t>D204</t>
        </is>
      </c>
      <c r="B22" t="inlineStr">
        <is>
          <t>Unknown</t>
        </is>
      </c>
      <c r="C22" s="49" t="n">
        <v>10</v>
      </c>
    </row>
    <row r="23" ht="18" customHeight="1" s="87">
      <c r="A23" t="inlineStr">
        <is>
          <t>D205</t>
        </is>
      </c>
      <c r="B23" t="inlineStr">
        <is>
          <t>Total</t>
        </is>
      </c>
      <c r="C23" s="6">
        <f>SUM(C19:C22)</f>
        <v/>
      </c>
    </row>
    <row r="24">
      <c r="C24" s="5" t="n"/>
    </row>
    <row r="25"/>
    <row r="26" ht="18" customHeight="1" s="87"/>
    <row r="27" ht="18" customHeight="1" s="87">
      <c r="A27" t="inlineStr">
        <is>
          <t>D206</t>
        </is>
      </c>
      <c r="B27" t="inlineStr">
        <is>
          <t>Men</t>
        </is>
      </c>
      <c r="C27" s="48" t="n">
        <v>1526</v>
      </c>
    </row>
    <row r="28" ht="18" customHeight="1" s="87">
      <c r="A28" t="inlineStr">
        <is>
          <t>D207</t>
        </is>
      </c>
      <c r="B28" t="inlineStr">
        <is>
          <t>Women</t>
        </is>
      </c>
      <c r="C28" s="48" t="n">
        <v>1218</v>
      </c>
    </row>
    <row r="29" ht="18" customHeight="1" s="87">
      <c r="A29" t="inlineStr">
        <is>
          <t>D208</t>
        </is>
      </c>
      <c r="B29" t="inlineStr">
        <is>
          <t>Another Gender</t>
        </is>
      </c>
      <c r="C29" t="n">
        <v>0</v>
      </c>
    </row>
    <row r="30" ht="18" customHeight="1" s="87">
      <c r="A30" t="inlineStr">
        <is>
          <t>D209</t>
        </is>
      </c>
      <c r="B30" t="inlineStr">
        <is>
          <t>Unknown</t>
        </is>
      </c>
      <c r="C30" t="n">
        <v>4</v>
      </c>
    </row>
    <row r="31" ht="18" customHeight="1" s="87">
      <c r="A31" t="inlineStr">
        <is>
          <t>D210</t>
        </is>
      </c>
      <c r="B31" t="inlineStr">
        <is>
          <t>Total</t>
        </is>
      </c>
      <c r="C31" s="6">
        <f>SUM(C27:C30)</f>
        <v/>
      </c>
    </row>
    <row r="32"/>
    <row r="33" ht="18" customHeight="1" s="87"/>
    <row r="34" ht="18" customHeight="1" s="87">
      <c r="A34" t="inlineStr">
        <is>
          <t>D211</t>
        </is>
      </c>
      <c r="B34" t="inlineStr">
        <is>
          <t>Men</t>
        </is>
      </c>
      <c r="C34" t="n">
        <v>837</v>
      </c>
    </row>
    <row r="35" ht="18" customHeight="1" s="87">
      <c r="A35" t="inlineStr">
        <is>
          <t>D212</t>
        </is>
      </c>
      <c r="B35" t="inlineStr">
        <is>
          <t>Women</t>
        </is>
      </c>
      <c r="C35" t="n">
        <v>708</v>
      </c>
    </row>
    <row r="36" ht="18" customHeight="1" s="87">
      <c r="A36" t="inlineStr">
        <is>
          <t>D213</t>
        </is>
      </c>
      <c r="B36" t="inlineStr">
        <is>
          <t>Another Gender</t>
        </is>
      </c>
      <c r="C36" t="n">
        <v>0</v>
      </c>
    </row>
    <row r="37" ht="18" customHeight="1" s="87">
      <c r="A37" t="inlineStr">
        <is>
          <t>D214</t>
        </is>
      </c>
      <c r="B37" t="inlineStr">
        <is>
          <t>Unknown</t>
        </is>
      </c>
      <c r="C37" t="n">
        <v>2</v>
      </c>
    </row>
    <row r="38" ht="18" customHeight="1" s="87">
      <c r="A38" t="inlineStr">
        <is>
          <t>D215</t>
        </is>
      </c>
      <c r="B38" t="inlineStr">
        <is>
          <t>Total</t>
        </is>
      </c>
      <c r="C38" s="6">
        <f>SUM(C34:C37)</f>
        <v/>
      </c>
    </row>
    <row r="39"/>
    <row r="40"/>
    <row r="41"/>
    <row r="42"/>
    <row r="43" ht="18" customHeight="1" s="87"/>
    <row r="44" ht="18" customHeight="1" s="87">
      <c r="A44" t="inlineStr">
        <is>
          <t>D301</t>
        </is>
      </c>
      <c r="B44" t="inlineStr">
        <is>
          <t>Fall</t>
        </is>
      </c>
      <c r="C44" t="inlineStr">
        <is>
          <t>x</t>
        </is>
      </c>
    </row>
    <row r="45" ht="18" customHeight="1" s="87">
      <c r="A45" t="inlineStr">
        <is>
          <t>D302</t>
        </is>
      </c>
      <c r="B45" t="inlineStr">
        <is>
          <t>Winter</t>
        </is>
      </c>
    </row>
    <row r="46" ht="18" customHeight="1" s="87">
      <c r="A46" t="inlineStr">
        <is>
          <t>D303</t>
        </is>
      </c>
      <c r="B46" t="inlineStr">
        <is>
          <t>Spring</t>
        </is>
      </c>
      <c r="C46" t="inlineStr">
        <is>
          <t>x</t>
        </is>
      </c>
    </row>
    <row r="47" ht="18" customHeight="1" s="87">
      <c r="A47" t="inlineStr">
        <is>
          <t>D304</t>
        </is>
      </c>
      <c r="B47" t="inlineStr">
        <is>
          <t>Summer</t>
        </is>
      </c>
      <c r="C47" t="inlineStr">
        <is>
          <t>x</t>
        </is>
      </c>
    </row>
    <row r="48"/>
    <row r="49" ht="18" customHeight="1" s="87"/>
    <row r="50" ht="45" customHeight="1" s="87">
      <c r="A50" t="inlineStr">
        <is>
          <t>D401</t>
        </is>
      </c>
      <c r="B50" s="2" t="inlineStr">
        <is>
          <t>Must a transfer applicant have a minimum number of credits completed or else must apply as an entering first-year student?</t>
        </is>
      </c>
      <c r="C50" t="inlineStr">
        <is>
          <t>N</t>
        </is>
      </c>
    </row>
    <row r="51" ht="18" customHeight="1" s="87">
      <c r="C51" s="2" t="n"/>
    </row>
    <row r="52"/>
    <row r="53"/>
    <row r="54"/>
    <row r="55" ht="18" customHeight="1" s="87">
      <c r="A55" t="inlineStr">
        <is>
          <t>D402</t>
        </is>
      </c>
      <c r="B55" s="3" t="inlineStr">
        <is>
          <t>Number</t>
        </is>
      </c>
      <c r="C55" t="inlineStr">
        <is>
          <t>N/A</t>
        </is>
      </c>
    </row>
    <row r="56" ht="18" customHeight="1" s="87">
      <c r="A56" t="inlineStr">
        <is>
          <t>D403</t>
        </is>
      </c>
      <c r="B56" s="7" t="inlineStr">
        <is>
          <t>Unit Type</t>
        </is>
      </c>
      <c r="C56" t="inlineStr">
        <is>
          <t>N/A</t>
        </is>
      </c>
    </row>
    <row r="57"/>
    <row r="58" ht="18" customHeight="1" s="87"/>
    <row r="59" ht="18" customHeight="1" s="87">
      <c r="C59" t="inlineStr">
        <is>
          <t>Required of All</t>
        </is>
      </c>
    </row>
    <row r="60" ht="18" customHeight="1" s="87">
      <c r="C60" t="inlineStr">
        <is>
          <t>Recommended of All</t>
        </is>
      </c>
    </row>
    <row r="61" ht="18" customHeight="1" s="87">
      <c r="C61" t="inlineStr">
        <is>
          <t>Recommended of Some</t>
        </is>
      </c>
    </row>
    <row r="62" ht="18" customHeight="1" s="87">
      <c r="C62" t="inlineStr">
        <is>
          <t>Required of Some</t>
        </is>
      </c>
    </row>
    <row r="63" ht="18" customHeight="1" s="87">
      <c r="C63" t="inlineStr">
        <is>
          <t>Not Required</t>
        </is>
      </c>
    </row>
    <row r="64" ht="18" customHeight="1" s="87"/>
    <row r="65" ht="18" customHeight="1" s="87"/>
    <row r="66" ht="18" customHeight="1" s="87">
      <c r="A66" t="inlineStr">
        <is>
          <t>D501</t>
        </is>
      </c>
      <c r="B66" t="inlineStr">
        <is>
          <t>High school transcript</t>
        </is>
      </c>
      <c r="C66" t="inlineStr">
        <is>
          <t>Required of All</t>
        </is>
      </c>
    </row>
    <row r="67" ht="18" customHeight="1" s="87">
      <c r="A67" t="inlineStr">
        <is>
          <t>D502</t>
        </is>
      </c>
      <c r="B67" t="inlineStr">
        <is>
          <t>College transcript(s)</t>
        </is>
      </c>
      <c r="C67" t="inlineStr">
        <is>
          <t>Required of All</t>
        </is>
      </c>
    </row>
    <row r="68" ht="18" customHeight="1" s="87">
      <c r="A68" t="inlineStr">
        <is>
          <t>D503</t>
        </is>
      </c>
      <c r="B68" t="inlineStr">
        <is>
          <t>Essay or personal statement</t>
        </is>
      </c>
      <c r="C68" t="inlineStr">
        <is>
          <t>Required of All</t>
        </is>
      </c>
    </row>
    <row r="69" ht="18" customHeight="1" s="87">
      <c r="A69" t="inlineStr">
        <is>
          <t>D504</t>
        </is>
      </c>
      <c r="B69" t="inlineStr">
        <is>
          <t>Interview</t>
        </is>
      </c>
      <c r="C69" t="inlineStr">
        <is>
          <t>Not Required</t>
        </is>
      </c>
    </row>
    <row r="70" ht="18" customHeight="1" s="87">
      <c r="A70" t="inlineStr">
        <is>
          <t>D505</t>
        </is>
      </c>
      <c r="B70" t="inlineStr">
        <is>
          <t>Standardized test scores</t>
        </is>
      </c>
      <c r="C70" t="inlineStr">
        <is>
          <t>Not Required</t>
        </is>
      </c>
    </row>
    <row r="71" ht="18" customHeight="1" s="87">
      <c r="A71" t="inlineStr">
        <is>
          <t>D506</t>
        </is>
      </c>
      <c r="B71" t="inlineStr">
        <is>
          <t>Statement of good standing from prior institution(s)</t>
        </is>
      </c>
      <c r="C71" t="inlineStr">
        <is>
          <t>Not Required</t>
        </is>
      </c>
    </row>
    <row r="72"/>
    <row r="73"/>
    <row r="74" ht="45" customHeight="1" s="87">
      <c r="A74" t="inlineStr">
        <is>
          <t>D601</t>
        </is>
      </c>
      <c r="B74" s="2" t="inlineStr">
        <is>
          <t>If a minimum high school grade point average is required of transfer applicants, specify (on a 4.0 scale):</t>
        </is>
      </c>
      <c r="C74" t="inlineStr">
        <is>
          <t>N/A</t>
        </is>
      </c>
    </row>
    <row r="75"/>
    <row r="76"/>
    <row r="77" ht="59.25" customHeight="1" s="87">
      <c r="A77" t="inlineStr">
        <is>
          <t>D701</t>
        </is>
      </c>
      <c r="B77" s="2" t="inlineStr">
        <is>
          <t xml:space="preserve">If a minimum college grade point average is required of transfer applicants, specify (on a 4.0 scale):
</t>
        </is>
      </c>
      <c r="C77" s="2" t="inlineStr">
        <is>
          <t>N/A</t>
        </is>
      </c>
    </row>
    <row r="78">
      <c r="B78" s="2" t="n"/>
      <c r="C78" s="2" t="n"/>
    </row>
    <row r="79" ht="18" customHeight="1" s="87"/>
    <row r="80" ht="30" customHeight="1" s="87">
      <c r="A80" t="inlineStr">
        <is>
          <t>D801</t>
        </is>
      </c>
      <c r="B80" s="2" t="inlineStr">
        <is>
          <t>List any other application requirements specific to transfer applicants:</t>
        </is>
      </c>
      <c r="C80" s="2" t="inlineStr">
        <is>
          <t>Requirements vary by program</t>
        </is>
      </c>
    </row>
    <row r="81">
      <c r="B81" s="2" t="n"/>
      <c r="C81" s="2" t="n"/>
    </row>
    <row r="82"/>
    <row r="83"/>
    <row r="84"/>
    <row r="85"/>
    <row r="86"/>
    <row r="87" ht="18" customHeight="1" s="87"/>
    <row r="88" ht="18" customHeight="1" s="87">
      <c r="A88" t="inlineStr">
        <is>
          <t>D901</t>
        </is>
      </c>
      <c r="B88" t="inlineStr">
        <is>
          <t>Fall</t>
        </is>
      </c>
      <c r="C88" s="73" t="n">
        <v>45717</v>
      </c>
    </row>
    <row r="89" ht="18" customHeight="1" s="87">
      <c r="A89" t="inlineStr">
        <is>
          <t>D902</t>
        </is>
      </c>
      <c r="B89" t="inlineStr">
        <is>
          <t>Winter</t>
        </is>
      </c>
      <c r="C89" t="inlineStr">
        <is>
          <t>N/A</t>
        </is>
      </c>
    </row>
    <row r="90" ht="18" customHeight="1" s="87">
      <c r="A90" t="inlineStr">
        <is>
          <t>D903</t>
        </is>
      </c>
      <c r="B90" t="inlineStr">
        <is>
          <t>Spring</t>
        </is>
      </c>
      <c r="C90" t="inlineStr">
        <is>
          <t>N/A</t>
        </is>
      </c>
    </row>
    <row r="91" ht="18" customHeight="1" s="87">
      <c r="A91" t="inlineStr">
        <is>
          <t>D904</t>
        </is>
      </c>
      <c r="B91" t="inlineStr">
        <is>
          <t>Summer</t>
        </is>
      </c>
      <c r="C91" t="inlineStr">
        <is>
          <t>N/A</t>
        </is>
      </c>
    </row>
    <row r="92"/>
    <row r="93" ht="18" customHeight="1" s="87"/>
    <row r="94" ht="18" customHeight="1" s="87">
      <c r="A94" t="inlineStr">
        <is>
          <t>D905</t>
        </is>
      </c>
      <c r="B94" t="inlineStr">
        <is>
          <t>Fall</t>
        </is>
      </c>
      <c r="C94" s="73" t="n">
        <v>45752</v>
      </c>
    </row>
    <row r="95" ht="18" customHeight="1" s="87">
      <c r="A95" t="inlineStr">
        <is>
          <t>D906</t>
        </is>
      </c>
      <c r="B95" t="inlineStr">
        <is>
          <t>Winter</t>
        </is>
      </c>
      <c r="C95" t="inlineStr">
        <is>
          <t>N/A</t>
        </is>
      </c>
    </row>
    <row r="96" ht="18" customHeight="1" s="87">
      <c r="A96" t="inlineStr">
        <is>
          <t>D907</t>
        </is>
      </c>
      <c r="B96" t="inlineStr">
        <is>
          <t>Spring</t>
        </is>
      </c>
      <c r="C96" s="73" t="n">
        <v>45945</v>
      </c>
    </row>
    <row r="97" ht="18" customHeight="1" s="87">
      <c r="A97" t="inlineStr">
        <is>
          <t>D908</t>
        </is>
      </c>
      <c r="B97" t="inlineStr">
        <is>
          <t>Summer</t>
        </is>
      </c>
      <c r="C97" t="inlineStr">
        <is>
          <t>N/A</t>
        </is>
      </c>
    </row>
    <row r="98"/>
    <row r="99" ht="18" customHeight="1" s="87"/>
    <row r="100" ht="18" customHeight="1" s="87">
      <c r="A100" t="inlineStr">
        <is>
          <t>D909</t>
        </is>
      </c>
      <c r="B100" t="inlineStr">
        <is>
          <t>Fall</t>
        </is>
      </c>
      <c r="C100" s="77" t="inlineStr">
        <is>
          <t>N/A</t>
        </is>
      </c>
    </row>
    <row r="101" ht="18" customHeight="1" s="87">
      <c r="A101" t="inlineStr">
        <is>
          <t>D910</t>
        </is>
      </c>
      <c r="B101" t="inlineStr">
        <is>
          <t>Winter</t>
        </is>
      </c>
      <c r="C101" t="inlineStr">
        <is>
          <t>N/A</t>
        </is>
      </c>
    </row>
    <row r="102" ht="18" customHeight="1" s="87">
      <c r="A102" t="inlineStr">
        <is>
          <t>D911</t>
        </is>
      </c>
      <c r="B102" t="inlineStr">
        <is>
          <t>Spring</t>
        </is>
      </c>
      <c r="C102" t="inlineStr">
        <is>
          <t>N/A</t>
        </is>
      </c>
    </row>
    <row r="103" ht="18" customHeight="1" s="87">
      <c r="A103" t="inlineStr">
        <is>
          <t>D912</t>
        </is>
      </c>
      <c r="B103" t="inlineStr">
        <is>
          <t>Summer</t>
        </is>
      </c>
      <c r="C103" t="inlineStr">
        <is>
          <t>N/A</t>
        </is>
      </c>
    </row>
    <row r="104"/>
    <row r="105" ht="18" customHeight="1" s="87"/>
    <row r="106" ht="18" customHeight="1" s="87">
      <c r="A106" t="inlineStr">
        <is>
          <t>D913</t>
        </is>
      </c>
      <c r="B106" t="inlineStr">
        <is>
          <t>Fall</t>
        </is>
      </c>
      <c r="C106" s="77" t="inlineStr">
        <is>
          <t>N/A</t>
        </is>
      </c>
    </row>
    <row r="107" ht="18" customHeight="1" s="87">
      <c r="A107" t="inlineStr">
        <is>
          <t>D914</t>
        </is>
      </c>
      <c r="B107" t="inlineStr">
        <is>
          <t>Winter</t>
        </is>
      </c>
      <c r="C107" t="inlineStr">
        <is>
          <t>N/A</t>
        </is>
      </c>
    </row>
    <row r="108" ht="18" customHeight="1" s="87">
      <c r="A108" t="inlineStr">
        <is>
          <t>D915</t>
        </is>
      </c>
      <c r="B108" t="inlineStr">
        <is>
          <t>Spring</t>
        </is>
      </c>
      <c r="C108" t="inlineStr">
        <is>
          <t>N/A</t>
        </is>
      </c>
    </row>
    <row r="109" ht="18" customHeight="1" s="87">
      <c r="A109" t="inlineStr">
        <is>
          <t>D916</t>
        </is>
      </c>
      <c r="B109" t="inlineStr">
        <is>
          <t>Summer</t>
        </is>
      </c>
      <c r="C109" t="inlineStr">
        <is>
          <t>N/A</t>
        </is>
      </c>
    </row>
    <row r="110"/>
    <row r="111" ht="18" customHeight="1" s="87"/>
    <row r="112" ht="18" customHeight="1" s="87">
      <c r="A112" t="inlineStr">
        <is>
          <t>D917</t>
        </is>
      </c>
      <c r="B112" t="inlineStr">
        <is>
          <t>Fall</t>
        </is>
      </c>
      <c r="C112" t="inlineStr">
        <is>
          <t>N/A</t>
        </is>
      </c>
    </row>
    <row r="113" ht="18" customHeight="1" s="87">
      <c r="A113" t="inlineStr">
        <is>
          <t>D918</t>
        </is>
      </c>
      <c r="B113" t="inlineStr">
        <is>
          <t>Winter</t>
        </is>
      </c>
      <c r="C113" t="inlineStr">
        <is>
          <t>N/A</t>
        </is>
      </c>
    </row>
    <row r="114" ht="18" customHeight="1" s="87">
      <c r="A114" t="inlineStr">
        <is>
          <t>D919</t>
        </is>
      </c>
      <c r="B114" t="inlineStr">
        <is>
          <t>Spring</t>
        </is>
      </c>
      <c r="C114" t="inlineStr">
        <is>
          <t>N/A</t>
        </is>
      </c>
    </row>
    <row r="115" ht="18" customHeight="1" s="87">
      <c r="A115" t="inlineStr">
        <is>
          <t>D920</t>
        </is>
      </c>
      <c r="B115" t="inlineStr">
        <is>
          <t>Summer</t>
        </is>
      </c>
      <c r="C115" t="inlineStr">
        <is>
          <t>N/A</t>
        </is>
      </c>
    </row>
    <row r="116"/>
    <row r="117" ht="18" customHeight="1" s="87"/>
    <row r="118" ht="30" customHeight="1" s="87">
      <c r="A118" t="inlineStr">
        <is>
          <t>D1001</t>
        </is>
      </c>
      <c r="B118" s="2" t="inlineStr">
        <is>
          <t>Does an open admission policy, if reported, apply to transfer students?</t>
        </is>
      </c>
      <c r="C118" s="2" t="inlineStr">
        <is>
          <t>N</t>
        </is>
      </c>
    </row>
    <row r="119"/>
    <row r="120" ht="18" customHeight="1" s="87"/>
    <row r="121" ht="30" customHeight="1" s="87">
      <c r="A121" t="inlineStr">
        <is>
          <t>D1101</t>
        </is>
      </c>
      <c r="B121" s="2" t="inlineStr">
        <is>
          <t xml:space="preserve">Describe additional requirements for transfer admission, if applicable: </t>
        </is>
      </c>
      <c r="C121" s="2" t="inlineStr">
        <is>
          <t>Requirements vary by program</t>
        </is>
      </c>
    </row>
    <row r="122"/>
    <row r="123"/>
    <row r="124"/>
    <row r="125"/>
    <row r="126"/>
    <row r="127"/>
    <row r="128" ht="18" customHeight="1" s="87"/>
    <row r="129" ht="30" customHeight="1" s="87">
      <c r="A129" t="inlineStr">
        <is>
          <t>D1201</t>
        </is>
      </c>
      <c r="B129" s="2" t="inlineStr">
        <is>
          <t>Report the lowest grade earned for any course that may be transferred for credit:</t>
        </is>
      </c>
      <c r="C129" t="inlineStr">
        <is>
          <t>D-</t>
        </is>
      </c>
    </row>
    <row r="130"/>
    <row r="131" ht="21.95" customHeight="1" s="87">
      <c r="B131" s="2" t="n"/>
    </row>
    <row r="132" ht="21.95" customHeight="1" s="87">
      <c r="B132" s="2" t="n"/>
    </row>
    <row r="133" ht="18" customHeight="1" s="87">
      <c r="A133" t="inlineStr">
        <is>
          <t>D1301</t>
        </is>
      </c>
      <c r="B133" s="3" t="inlineStr">
        <is>
          <t>Number</t>
        </is>
      </c>
      <c r="C133" t="inlineStr">
        <is>
          <t>N/A</t>
        </is>
      </c>
    </row>
    <row r="134" ht="18" customHeight="1" s="87">
      <c r="A134" t="inlineStr">
        <is>
          <t>D1302</t>
        </is>
      </c>
      <c r="B134" s="7" t="inlineStr">
        <is>
          <t>Unit Type</t>
        </is>
      </c>
      <c r="C134" t="inlineStr">
        <is>
          <t>N/A</t>
        </is>
      </c>
    </row>
    <row r="135">
      <c r="B135" s="2" t="n"/>
    </row>
    <row r="136" ht="26.1" customHeight="1" s="87">
      <c r="B136" s="2" t="n"/>
    </row>
    <row r="137">
      <c r="B137" s="2" t="n"/>
    </row>
    <row r="138" ht="18" customHeight="1" s="87">
      <c r="A138" t="inlineStr">
        <is>
          <t>D1401</t>
        </is>
      </c>
      <c r="B138" s="3" t="inlineStr">
        <is>
          <t>Number</t>
        </is>
      </c>
      <c r="C138" t="inlineStr">
        <is>
          <t>N/A</t>
        </is>
      </c>
    </row>
    <row r="139" ht="18" customHeight="1" s="87">
      <c r="A139" t="inlineStr">
        <is>
          <t>D1402</t>
        </is>
      </c>
      <c r="B139" s="7" t="inlineStr">
        <is>
          <t>Unit Type</t>
        </is>
      </c>
      <c r="C139" t="inlineStr">
        <is>
          <t>N/A</t>
        </is>
      </c>
    </row>
    <row r="140"/>
    <row r="141" ht="18" customHeight="1" s="87"/>
    <row r="142" ht="45" customHeight="1" s="87">
      <c r="A142" t="inlineStr">
        <is>
          <t>D1501</t>
        </is>
      </c>
      <c r="B142" s="2" t="inlineStr">
        <is>
          <t>Minimum number of credits that transfers must complete at your institution to earn an associate degree:</t>
        </is>
      </c>
      <c r="C142" t="inlineStr">
        <is>
          <t>N/A</t>
        </is>
      </c>
    </row>
    <row r="143">
      <c r="B143" s="2" t="n"/>
    </row>
    <row r="144" ht="18" customHeight="1" s="87"/>
    <row r="145" ht="48" customHeight="1" s="87">
      <c r="A145" t="inlineStr">
        <is>
          <t>D1601</t>
        </is>
      </c>
      <c r="B145" s="2" t="inlineStr">
        <is>
          <t>Minimum number of credits that transfers must complete at your institution to earn a bachelor’s degree:</t>
        </is>
      </c>
      <c r="C145" t="n">
        <v>45</v>
      </c>
      <c r="D145" s="47" t="n"/>
      <c r="E145" s="47" t="n"/>
    </row>
    <row r="146"/>
    <row r="147" ht="18" customHeight="1" s="87"/>
    <row r="148" ht="18" customHeight="1" s="87">
      <c r="A148" t="inlineStr">
        <is>
          <t>D1701</t>
        </is>
      </c>
      <c r="B148" t="inlineStr">
        <is>
          <t>Describe other transfer credit policies:</t>
        </is>
      </c>
      <c r="C148" t="inlineStr">
        <is>
          <t>N/A</t>
        </is>
      </c>
    </row>
    <row r="149"/>
    <row r="150"/>
    <row r="151"/>
    <row r="152"/>
    <row r="153"/>
    <row r="154"/>
    <row r="155"/>
    <row r="156"/>
    <row r="157" ht="18" customHeight="1" s="87">
      <c r="A157" t="inlineStr">
        <is>
          <t>D1801</t>
        </is>
      </c>
      <c r="B157" t="inlineStr">
        <is>
          <t>American Council on Education (ACE)</t>
        </is>
      </c>
      <c r="C157" t="inlineStr">
        <is>
          <t>Y</t>
        </is>
      </c>
    </row>
    <row r="158" ht="18" customHeight="1" s="87">
      <c r="A158" t="inlineStr">
        <is>
          <t>D1802</t>
        </is>
      </c>
      <c r="B158" t="inlineStr">
        <is>
          <t>College Level Examination Program (CLEP)</t>
        </is>
      </c>
      <c r="C158" t="inlineStr">
        <is>
          <t>N</t>
        </is>
      </c>
    </row>
    <row r="159" ht="18" customHeight="1" s="87">
      <c r="A159" t="inlineStr">
        <is>
          <t>D1803</t>
        </is>
      </c>
      <c r="B159" t="inlineStr">
        <is>
          <t>DANTES Subject Standardized Tests (DSST)</t>
        </is>
      </c>
      <c r="C159" t="inlineStr">
        <is>
          <t>N</t>
        </is>
      </c>
    </row>
    <row r="160"/>
    <row r="161" ht="39.6" customHeight="1" s="87">
      <c r="B161" s="2" t="n"/>
    </row>
    <row r="162" ht="20.45" customHeight="1" s="87">
      <c r="B162" s="2" t="n"/>
    </row>
    <row r="163" ht="18" customHeight="1" s="87">
      <c r="A163" t="inlineStr">
        <is>
          <t>D1901</t>
        </is>
      </c>
      <c r="B163" s="3" t="inlineStr">
        <is>
          <t>Number</t>
        </is>
      </c>
      <c r="C163" t="inlineStr">
        <is>
          <t>N/A</t>
        </is>
      </c>
    </row>
    <row r="164" ht="18" customHeight="1" s="87">
      <c r="A164" t="inlineStr">
        <is>
          <t>D1902</t>
        </is>
      </c>
      <c r="B164" s="7" t="inlineStr">
        <is>
          <t>Unit Type</t>
        </is>
      </c>
      <c r="C164" t="inlineStr">
        <is>
          <t>N/A</t>
        </is>
      </c>
    </row>
    <row r="165"/>
    <row r="166" ht="75.95" customHeight="1" s="87">
      <c r="B166" s="2" t="n"/>
    </row>
    <row r="167">
      <c r="B167" s="2" t="n"/>
    </row>
    <row r="168" ht="18" customHeight="1" s="87">
      <c r="A168" t="inlineStr">
        <is>
          <t>D2001</t>
        </is>
      </c>
      <c r="B168" s="3" t="inlineStr">
        <is>
          <t>Number</t>
        </is>
      </c>
      <c r="C168" t="inlineStr">
        <is>
          <t>N/A</t>
        </is>
      </c>
    </row>
    <row r="169" ht="18" customHeight="1" s="87">
      <c r="A169" t="inlineStr">
        <is>
          <t>D2002</t>
        </is>
      </c>
      <c r="B169" s="7" t="inlineStr">
        <is>
          <t>Unit Type</t>
        </is>
      </c>
      <c r="C169" t="inlineStr">
        <is>
          <t>N/A</t>
        </is>
      </c>
    </row>
    <row r="170"/>
    <row r="171" ht="18" customHeight="1" s="87"/>
    <row r="172" ht="30" customHeight="1" s="87">
      <c r="A172" t="inlineStr">
        <is>
          <t>D2101</t>
        </is>
      </c>
      <c r="B172" s="2" t="inlineStr">
        <is>
          <t>Are the military/veteran credit transfer policies published on your website?</t>
        </is>
      </c>
      <c r="C172" t="inlineStr">
        <is>
          <t>Yes</t>
        </is>
      </c>
    </row>
    <row r="173" ht="18" customHeight="1" s="87"/>
    <row r="174" ht="30" customHeight="1" s="87">
      <c r="A174" t="inlineStr">
        <is>
          <t>D2102</t>
        </is>
      </c>
      <c r="B174" s="2" t="inlineStr">
        <is>
          <t>If yes, please provide the URL where the policy can be located:</t>
        </is>
      </c>
      <c r="C174" s="41" t="inlineStr">
        <is>
          <t>https://www.admissions.illinois.edu/policies</t>
        </is>
      </c>
    </row>
    <row r="175"/>
    <row r="176" ht="18" customHeight="1" s="87"/>
    <row r="177" ht="30" customHeight="1" s="87">
      <c r="A177" t="inlineStr">
        <is>
          <t>D2202</t>
        </is>
      </c>
      <c r="B177" s="2" t="inlineStr">
        <is>
          <t>Describe other military/veteran transfer credit policies unique to your institution:</t>
        </is>
      </c>
      <c r="C177" t="inlineStr">
        <is>
          <t>N/A</t>
        </is>
      </c>
    </row>
  </sheetData>
  <autoFilter ref="A1:L177"/>
  <dataValidations count="1">
    <dataValidation sqref="C66:C71" showDropDown="0" showInputMessage="1" showErrorMessage="1" allowBlank="1" type="list">
      <formula1>$C$59:$C$63</formula1>
    </dataValidation>
  </dataValidations>
  <hyperlinks>
    <hyperlink xmlns:r="http://schemas.openxmlformats.org/officeDocument/2006/relationships" ref="C174"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59"/>
  <sheetViews>
    <sheetView workbookViewId="0">
      <pane ySplit="1" topLeftCell="A2" activePane="bottomLeft" state="frozen"/>
      <selection pane="bottomLeft" activeCell="A2" sqref="A2"/>
    </sheetView>
  </sheetViews>
  <sheetFormatPr baseColWidth="8" defaultColWidth="8.85546875" defaultRowHeight="15"/>
  <cols>
    <col width="18.7109375" bestFit="1" customWidth="1" style="87" min="1" max="1"/>
    <col width="40.7109375" customWidth="1" style="87" min="2" max="2"/>
    <col width="24.42578125" customWidth="1" style="87" min="3" max="3"/>
  </cols>
  <sheetData>
    <row r="1">
      <c r="A1" t="inlineStr">
        <is>
          <t>Question Number</t>
        </is>
      </c>
      <c r="B1" t="inlineStr">
        <is>
          <t>Question</t>
        </is>
      </c>
      <c r="C1" t="inlineStr">
        <is>
          <t>Answer</t>
        </is>
      </c>
    </row>
    <row r="2"/>
    <row r="3"/>
    <row r="4"/>
    <row r="5"/>
    <row r="6"/>
    <row r="7"/>
    <row r="8"/>
    <row r="9" ht="18" customHeight="1" s="87"/>
    <row r="10" ht="18" customHeight="1" s="87">
      <c r="A10" t="inlineStr">
        <is>
          <t>E101</t>
        </is>
      </c>
      <c r="B10" s="2" t="inlineStr">
        <is>
          <t>Accelerated program</t>
        </is>
      </c>
    </row>
    <row r="11" ht="45.75" customHeight="1" s="87">
      <c r="A11" t="inlineStr">
        <is>
          <t>E102</t>
        </is>
      </c>
      <c r="B11" s="2" t="inlineStr">
        <is>
          <t>Comprehensive transition and postsecondary program for students with intellectual disabilities</t>
        </is>
      </c>
      <c r="C11" t="inlineStr">
        <is>
          <t>x</t>
        </is>
      </c>
    </row>
    <row r="12" ht="18" customHeight="1" s="87">
      <c r="A12" t="inlineStr">
        <is>
          <t>E103</t>
        </is>
      </c>
      <c r="B12" s="2" t="inlineStr">
        <is>
          <t>Cross-registration</t>
        </is>
      </c>
      <c r="C12" t="inlineStr">
        <is>
          <t>x</t>
        </is>
      </c>
    </row>
    <row r="13" ht="18" customHeight="1" s="87">
      <c r="A13" t="inlineStr">
        <is>
          <t>E104</t>
        </is>
      </c>
      <c r="B13" s="2" t="inlineStr">
        <is>
          <t>Distance learning</t>
        </is>
      </c>
      <c r="C13" t="inlineStr">
        <is>
          <t>x</t>
        </is>
      </c>
    </row>
    <row r="14" ht="18" customHeight="1" s="87">
      <c r="A14" t="inlineStr">
        <is>
          <t>E105</t>
        </is>
      </c>
      <c r="B14" s="2" t="inlineStr">
        <is>
          <t>Double major</t>
        </is>
      </c>
      <c r="C14" t="inlineStr">
        <is>
          <t>x</t>
        </is>
      </c>
    </row>
    <row r="15" ht="18" customHeight="1" s="87">
      <c r="A15" t="inlineStr">
        <is>
          <t>E106</t>
        </is>
      </c>
      <c r="B15" s="2" t="inlineStr">
        <is>
          <t>Dual enrollment</t>
        </is>
      </c>
    </row>
    <row r="16" ht="18" customHeight="1" s="87">
      <c r="A16" t="inlineStr">
        <is>
          <t>E107</t>
        </is>
      </c>
      <c r="B16" s="2" t="inlineStr">
        <is>
          <t>English as a Second Language (ESL)</t>
        </is>
      </c>
      <c r="C16" t="inlineStr">
        <is>
          <t>x</t>
        </is>
      </c>
    </row>
    <row r="17" ht="18" customHeight="1" s="87">
      <c r="A17" t="inlineStr">
        <is>
          <t>E108</t>
        </is>
      </c>
      <c r="B17" s="2" t="inlineStr">
        <is>
          <t>Exchange student program (domestic)</t>
        </is>
      </c>
      <c r="C17" t="inlineStr">
        <is>
          <t>x</t>
        </is>
      </c>
    </row>
    <row r="18" ht="18" customHeight="1" s="87">
      <c r="A18" t="inlineStr">
        <is>
          <t>E109</t>
        </is>
      </c>
      <c r="B18" s="2" t="inlineStr">
        <is>
          <t>External degree program</t>
        </is>
      </c>
    </row>
    <row r="19" ht="18" customHeight="1" s="87">
      <c r="A19" t="inlineStr">
        <is>
          <t>E110</t>
        </is>
      </c>
      <c r="B19" s="2" t="inlineStr">
        <is>
          <t>Honors Program</t>
        </is>
      </c>
      <c r="C19" t="inlineStr">
        <is>
          <t>x</t>
        </is>
      </c>
    </row>
    <row r="20" ht="18" customHeight="1" s="87">
      <c r="A20" t="inlineStr">
        <is>
          <t>E111</t>
        </is>
      </c>
      <c r="B20" s="2" t="inlineStr">
        <is>
          <t>Independent study</t>
        </is>
      </c>
      <c r="C20" t="inlineStr">
        <is>
          <t>x</t>
        </is>
      </c>
    </row>
    <row r="21" ht="18" customHeight="1" s="87">
      <c r="A21" t="inlineStr">
        <is>
          <t>E112</t>
        </is>
      </c>
      <c r="B21" s="2" t="inlineStr">
        <is>
          <t>Internships</t>
        </is>
      </c>
      <c r="C21" t="inlineStr">
        <is>
          <t>x</t>
        </is>
      </c>
    </row>
    <row r="22" ht="18" customHeight="1" s="87">
      <c r="A22" t="inlineStr">
        <is>
          <t>E113</t>
        </is>
      </c>
      <c r="B22" s="2" t="inlineStr">
        <is>
          <t>Liberal arts/career combination</t>
        </is>
      </c>
    </row>
    <row r="23" ht="18" customHeight="1" s="87">
      <c r="A23" t="inlineStr">
        <is>
          <t>E114</t>
        </is>
      </c>
      <c r="B23" s="2" t="inlineStr">
        <is>
          <t>Student-designed major</t>
        </is>
      </c>
      <c r="C23" t="inlineStr">
        <is>
          <t>x</t>
        </is>
      </c>
    </row>
    <row r="24" ht="18" customHeight="1" s="87">
      <c r="A24" t="inlineStr">
        <is>
          <t>E115</t>
        </is>
      </c>
      <c r="B24" s="2" t="inlineStr">
        <is>
          <t>Study abroad</t>
        </is>
      </c>
      <c r="C24" t="inlineStr">
        <is>
          <t>x</t>
        </is>
      </c>
    </row>
    <row r="25" ht="18" customHeight="1" s="87">
      <c r="A25" t="inlineStr">
        <is>
          <t>E116</t>
        </is>
      </c>
      <c r="B25" s="2" t="inlineStr">
        <is>
          <t>Teacher certification program</t>
        </is>
      </c>
      <c r="C25" t="inlineStr">
        <is>
          <t>x</t>
        </is>
      </c>
    </row>
    <row r="26" ht="18" customHeight="1" s="87">
      <c r="A26" t="inlineStr">
        <is>
          <t>E117</t>
        </is>
      </c>
      <c r="B26" s="2" t="inlineStr">
        <is>
          <t>Undergraduate Research</t>
        </is>
      </c>
      <c r="C26" t="inlineStr">
        <is>
          <t>x</t>
        </is>
      </c>
    </row>
    <row r="27" ht="18" customHeight="1" s="87">
      <c r="A27" t="inlineStr">
        <is>
          <t>E118</t>
        </is>
      </c>
      <c r="B27" s="2" t="inlineStr">
        <is>
          <t>Weekend college</t>
        </is>
      </c>
    </row>
    <row r="28" ht="18" customHeight="1" s="87">
      <c r="B28" s="2" t="n"/>
    </row>
    <row r="29" ht="18" customHeight="1" s="87">
      <c r="A29" t="inlineStr">
        <is>
          <t>E119</t>
        </is>
      </c>
      <c r="B29" s="2" t="inlineStr">
        <is>
          <t>Other (specify):</t>
        </is>
      </c>
    </row>
    <row r="30" ht="18" customHeight="1" s="87">
      <c r="B30" s="2" t="n"/>
    </row>
    <row r="31"/>
    <row r="32"/>
    <row r="33"/>
    <row r="34"/>
    <row r="35"/>
    <row r="36"/>
    <row r="37"/>
    <row r="38" ht="18" customHeight="1" s="87"/>
    <row r="39" ht="18" customHeight="1" s="87">
      <c r="A39" t="inlineStr">
        <is>
          <t>E301</t>
        </is>
      </c>
      <c r="B39" s="2" t="inlineStr">
        <is>
          <t>Arts/fine arts</t>
        </is>
      </c>
      <c r="C39" t="inlineStr">
        <is>
          <t>x</t>
        </is>
      </c>
    </row>
    <row r="40" ht="18" customHeight="1" s="87">
      <c r="A40" t="inlineStr">
        <is>
          <t>E302</t>
        </is>
      </c>
      <c r="B40" s="2" t="inlineStr">
        <is>
          <t>Computer literacy</t>
        </is>
      </c>
    </row>
    <row r="41" ht="18" customHeight="1" s="87">
      <c r="A41" t="inlineStr">
        <is>
          <t>E303</t>
        </is>
      </c>
      <c r="B41" s="2" t="inlineStr">
        <is>
          <t>English (including composition)</t>
        </is>
      </c>
      <c r="C41" t="inlineStr">
        <is>
          <t>x</t>
        </is>
      </c>
    </row>
    <row r="42" ht="18" customHeight="1" s="87">
      <c r="A42" t="inlineStr">
        <is>
          <t>E304</t>
        </is>
      </c>
      <c r="B42" s="2" t="inlineStr">
        <is>
          <t>Foreign languages</t>
        </is>
      </c>
      <c r="C42" t="inlineStr">
        <is>
          <t>x</t>
        </is>
      </c>
    </row>
    <row r="43" ht="18" customHeight="1" s="87">
      <c r="A43" t="inlineStr">
        <is>
          <t>E305</t>
        </is>
      </c>
      <c r="B43" s="2" t="inlineStr">
        <is>
          <t>History</t>
        </is>
      </c>
      <c r="C43" t="inlineStr">
        <is>
          <t>x</t>
        </is>
      </c>
    </row>
    <row r="44" ht="18" customHeight="1" s="87">
      <c r="A44" t="inlineStr">
        <is>
          <t>E306</t>
        </is>
      </c>
      <c r="B44" s="2" t="inlineStr">
        <is>
          <t>Physical Education</t>
        </is>
      </c>
    </row>
    <row r="45" ht="18" customHeight="1" s="87">
      <c r="A45" t="inlineStr">
        <is>
          <t>E307</t>
        </is>
      </c>
      <c r="B45" s="2" t="inlineStr">
        <is>
          <t>Humanities</t>
        </is>
      </c>
      <c r="C45" t="inlineStr">
        <is>
          <t>x</t>
        </is>
      </c>
    </row>
    <row r="46" ht="18" customHeight="1" s="87">
      <c r="A46" t="inlineStr">
        <is>
          <t>E308</t>
        </is>
      </c>
      <c r="B46" s="2" t="inlineStr">
        <is>
          <t>Intensive writing</t>
        </is>
      </c>
      <c r="C46" t="inlineStr">
        <is>
          <t>x</t>
        </is>
      </c>
    </row>
    <row r="47" ht="18" customHeight="1" s="87">
      <c r="A47" t="inlineStr">
        <is>
          <t>E309</t>
        </is>
      </c>
      <c r="B47" s="2" t="inlineStr">
        <is>
          <t>Mathematics</t>
        </is>
      </c>
      <c r="C47" t="inlineStr">
        <is>
          <t>x</t>
        </is>
      </c>
    </row>
    <row r="48" ht="18" customHeight="1" s="87">
      <c r="A48" t="inlineStr">
        <is>
          <t>E310</t>
        </is>
      </c>
      <c r="B48" s="2" t="inlineStr">
        <is>
          <t>Philosophy</t>
        </is>
      </c>
    </row>
    <row r="49" ht="18" customHeight="1" s="87">
      <c r="A49" t="inlineStr">
        <is>
          <t>E311</t>
        </is>
      </c>
      <c r="B49" s="2" t="inlineStr">
        <is>
          <t>Sciences (biological or physical)</t>
        </is>
      </c>
      <c r="C49" t="inlineStr">
        <is>
          <t>x</t>
        </is>
      </c>
    </row>
    <row r="50" ht="18" customHeight="1" s="87">
      <c r="A50" t="inlineStr">
        <is>
          <t>E312</t>
        </is>
      </c>
      <c r="B50" s="2" t="inlineStr">
        <is>
          <t>Social science</t>
        </is>
      </c>
      <c r="C50" t="inlineStr">
        <is>
          <t>x</t>
        </is>
      </c>
    </row>
    <row r="51" ht="18" customHeight="1" s="87">
      <c r="B51" s="2" t="n"/>
    </row>
    <row r="52" ht="18" customHeight="1" s="87">
      <c r="A52" t="inlineStr">
        <is>
          <t>E313</t>
        </is>
      </c>
      <c r="B52" s="2" t="inlineStr">
        <is>
          <t>Other (describe):</t>
        </is>
      </c>
    </row>
    <row r="53" ht="18" customHeight="1" s="87">
      <c r="B53" s="2" t="n"/>
    </row>
    <row r="54">
      <c r="B54" s="7" t="n"/>
    </row>
    <row r="55">
      <c r="B55" s="7" t="n"/>
    </row>
    <row r="56">
      <c r="B56" s="7" t="n"/>
    </row>
    <row r="57">
      <c r="B57" s="7" t="n"/>
    </row>
    <row r="58">
      <c r="B58" s="7" t="n"/>
    </row>
    <row r="59">
      <c r="B59" s="7" t="n"/>
    </row>
  </sheetData>
  <autoFilter ref="A1:L59"/>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01"/>
  <sheetViews>
    <sheetView zoomScaleNormal="100" workbookViewId="0">
      <pane ySplit="1" topLeftCell="A2" activePane="bottomLeft" state="frozen"/>
      <selection pane="bottomLeft" activeCell="A2" sqref="A2"/>
    </sheetView>
  </sheetViews>
  <sheetFormatPr baseColWidth="8" defaultColWidth="8.85546875" defaultRowHeight="15"/>
  <cols>
    <col width="18.28515625" bestFit="1" customWidth="1" style="87" min="1" max="1"/>
    <col width="40.7109375" customWidth="1" style="87" min="2" max="2"/>
    <col width="32" customWidth="1" style="87" min="3" max="3"/>
    <col width="41.28515625" customWidth="1" style="87" min="4" max="4"/>
  </cols>
  <sheetData>
    <row r="1">
      <c r="A1" t="inlineStr">
        <is>
          <t>Question Number</t>
        </is>
      </c>
      <c r="B1" t="inlineStr">
        <is>
          <t>Question</t>
        </is>
      </c>
      <c r="C1" t="inlineStr">
        <is>
          <t>Answer</t>
        </is>
      </c>
    </row>
    <row r="2"/>
    <row r="3"/>
    <row r="4"/>
    <row r="5"/>
    <row r="6"/>
    <row r="7"/>
    <row r="8"/>
    <row r="9" ht="18" customHeight="1" s="87"/>
    <row r="10" ht="45" customHeight="1" s="87">
      <c r="A10" t="inlineStr">
        <is>
          <t>F101</t>
        </is>
      </c>
      <c r="B10" s="2" t="inlineStr">
        <is>
          <t>Percent who are from out of state (exclude international/nonresidents from the numerator and denominator)</t>
        </is>
      </c>
      <c r="C10" s="78">
        <f>1346/(6429+1346)</f>
        <v/>
      </c>
    </row>
    <row r="11" ht="18" customHeight="1" s="87">
      <c r="A11" t="inlineStr">
        <is>
          <t>F102</t>
        </is>
      </c>
      <c r="B11" s="2" t="inlineStr">
        <is>
          <t>Percent of men who join fraternities</t>
        </is>
      </c>
      <c r="C11" s="78" t="n">
        <v>0.12</v>
      </c>
    </row>
    <row r="12" ht="18" customHeight="1" s="87">
      <c r="A12" t="inlineStr">
        <is>
          <t>F103</t>
        </is>
      </c>
      <c r="B12" s="2" t="inlineStr">
        <is>
          <t>Percent of women who join sororities</t>
        </is>
      </c>
      <c r="C12" s="78" t="n">
        <v>0.18</v>
      </c>
    </row>
    <row r="13" ht="30" customHeight="1" s="87">
      <c r="A13" t="inlineStr">
        <is>
          <t>F104</t>
        </is>
      </c>
      <c r="B13" s="2" t="inlineStr">
        <is>
          <t>Percent who live in college-owned, -operated, or -affiliated housing</t>
        </is>
      </c>
      <c r="C13" s="78" t="n">
        <v>0.99</v>
      </c>
    </row>
    <row r="14" ht="28.5" customHeight="1" s="87">
      <c r="A14" t="inlineStr">
        <is>
          <t>F105</t>
        </is>
      </c>
      <c r="B14" s="2" t="inlineStr">
        <is>
          <t>Percent who live off campus or commute</t>
        </is>
      </c>
      <c r="C14" s="78" t="n">
        <v>0.01</v>
      </c>
    </row>
    <row r="15" ht="18" customHeight="1" s="87">
      <c r="A15" t="inlineStr">
        <is>
          <t>F106</t>
        </is>
      </c>
      <c r="B15" s="2" t="inlineStr">
        <is>
          <t>Percent of students age 25 and older</t>
        </is>
      </c>
      <c r="C15" s="78" t="n">
        <v>0.0002</v>
      </c>
    </row>
    <row r="16">
      <c r="B16" s="2" t="n"/>
    </row>
    <row r="17">
      <c r="B17" s="2" t="n"/>
    </row>
    <row r="18">
      <c r="A18" t="inlineStr">
        <is>
          <t>F107</t>
        </is>
      </c>
      <c r="B18" s="2" t="inlineStr">
        <is>
          <t>Average age of full-time students</t>
        </is>
      </c>
      <c r="C18" t="n">
        <v>18.5</v>
      </c>
    </row>
    <row r="19" ht="30" customHeight="1" s="87">
      <c r="A19" t="inlineStr">
        <is>
          <t>F108</t>
        </is>
      </c>
      <c r="B19" s="2" t="inlineStr">
        <is>
          <t>Average age of all students (full- and part-time)</t>
        </is>
      </c>
      <c r="C19" t="inlineStr">
        <is>
          <t>N/A</t>
        </is>
      </c>
    </row>
    <row r="20">
      <c r="B20" s="2" t="n"/>
    </row>
    <row r="21" ht="18" customHeight="1" s="87"/>
    <row r="22" ht="102" customHeight="1" s="87">
      <c r="A22" t="inlineStr">
        <is>
          <t>F109</t>
        </is>
      </c>
      <c r="B22" s="2" t="inlineStr">
        <is>
          <t>Percent who are from out of state (exclude international/nonresidents from the numerator and denominator)</t>
        </is>
      </c>
      <c r="C22" s="78">
        <f>(10158-5533)/(37140-5533)</f>
        <v/>
      </c>
      <c r="D22" s="2" t="n"/>
    </row>
    <row r="23" ht="18" customHeight="1" s="87">
      <c r="A23" t="inlineStr">
        <is>
          <t>F110</t>
        </is>
      </c>
      <c r="B23" s="2" t="inlineStr">
        <is>
          <t>Percent of men who join fraternities</t>
        </is>
      </c>
      <c r="C23" s="78" t="n">
        <v>0.14</v>
      </c>
    </row>
    <row r="24" ht="18" customHeight="1" s="87">
      <c r="A24" t="inlineStr">
        <is>
          <t>F111</t>
        </is>
      </c>
      <c r="B24" s="2" t="inlineStr">
        <is>
          <t>Percent of women who join sororities</t>
        </is>
      </c>
      <c r="C24" s="78" t="n">
        <v>0.19</v>
      </c>
    </row>
    <row r="25" ht="30" customHeight="1" s="87">
      <c r="A25" t="inlineStr">
        <is>
          <t>F112</t>
        </is>
      </c>
      <c r="B25" s="2" t="inlineStr">
        <is>
          <t>Percent who live in college-owned, -operated, or -affiliated housing</t>
        </is>
      </c>
      <c r="C25" s="78" t="n">
        <v>0.34</v>
      </c>
    </row>
    <row r="26" ht="18" customHeight="1" s="87">
      <c r="A26" t="inlineStr">
        <is>
          <t>F113</t>
        </is>
      </c>
      <c r="B26" s="2" t="inlineStr">
        <is>
          <t>Percent who live off campus or commute</t>
        </is>
      </c>
      <c r="C26" s="78" t="n">
        <v>0.66</v>
      </c>
    </row>
    <row r="27" ht="18" customHeight="1" s="87">
      <c r="A27" t="inlineStr">
        <is>
          <t>F114</t>
        </is>
      </c>
      <c r="B27" s="2" t="inlineStr">
        <is>
          <t>Percent of students age 25 and older</t>
        </is>
      </c>
      <c r="C27" s="78" t="n">
        <v>0.0133</v>
      </c>
    </row>
    <row r="28">
      <c r="B28" s="2" t="n"/>
    </row>
    <row r="29">
      <c r="B29" s="2" t="n"/>
    </row>
    <row r="30">
      <c r="A30" t="inlineStr">
        <is>
          <t>F115</t>
        </is>
      </c>
      <c r="B30" s="2" t="inlineStr">
        <is>
          <t>Average age of full-time students</t>
        </is>
      </c>
      <c r="C30" s="3" t="n"/>
      <c r="D30" s="3" t="n"/>
    </row>
    <row r="31" ht="30" customHeight="1" s="87">
      <c r="A31" t="inlineStr">
        <is>
          <t>F116</t>
        </is>
      </c>
      <c r="B31" s="2" t="inlineStr">
        <is>
          <t>Average age of all students (full- and part-time)</t>
        </is>
      </c>
      <c r="C31" s="3" t="n">
        <v>20.4</v>
      </c>
      <c r="D31" s="3" t="n"/>
    </row>
    <row r="32">
      <c r="B32" s="2" t="n"/>
    </row>
    <row r="33"/>
    <row r="34"/>
    <row r="35"/>
    <row r="36" ht="18" customHeight="1" s="87"/>
    <row r="37" ht="18" customHeight="1" s="87">
      <c r="A37" t="inlineStr">
        <is>
          <t>F201</t>
        </is>
      </c>
      <c r="B37" s="2" t="inlineStr">
        <is>
          <t>Campus Ministries</t>
        </is>
      </c>
      <c r="C37" t="inlineStr">
        <is>
          <t>x</t>
        </is>
      </c>
    </row>
    <row r="38" ht="18" customHeight="1" s="87">
      <c r="A38" t="inlineStr">
        <is>
          <t>F202</t>
        </is>
      </c>
      <c r="B38" s="2" t="inlineStr">
        <is>
          <t>Choral groups</t>
        </is>
      </c>
      <c r="C38" t="inlineStr">
        <is>
          <t>x</t>
        </is>
      </c>
    </row>
    <row r="39" ht="18" customHeight="1" s="87">
      <c r="A39" t="inlineStr">
        <is>
          <t>F203</t>
        </is>
      </c>
      <c r="B39" s="2" t="inlineStr">
        <is>
          <t>Concert band</t>
        </is>
      </c>
      <c r="C39" t="inlineStr">
        <is>
          <t>x</t>
        </is>
      </c>
    </row>
    <row r="40" ht="18" customHeight="1" s="87">
      <c r="A40" t="inlineStr">
        <is>
          <t>F204</t>
        </is>
      </c>
      <c r="B40" s="2" t="inlineStr">
        <is>
          <t>Dance</t>
        </is>
      </c>
      <c r="C40" t="inlineStr">
        <is>
          <t>x</t>
        </is>
      </c>
    </row>
    <row r="41" ht="18" customHeight="1" s="87">
      <c r="A41" t="inlineStr">
        <is>
          <t>F205</t>
        </is>
      </c>
      <c r="B41" s="2" t="inlineStr">
        <is>
          <t>Drama/theater</t>
        </is>
      </c>
      <c r="C41" t="inlineStr">
        <is>
          <t>x</t>
        </is>
      </c>
    </row>
    <row r="42" ht="18" customHeight="1" s="87">
      <c r="A42" t="inlineStr">
        <is>
          <t>F206</t>
        </is>
      </c>
      <c r="B42" s="2" t="inlineStr">
        <is>
          <t>International Student Organization</t>
        </is>
      </c>
      <c r="C42" t="inlineStr">
        <is>
          <t>x</t>
        </is>
      </c>
    </row>
    <row r="43" ht="18" customHeight="1" s="87">
      <c r="A43" t="inlineStr">
        <is>
          <t>F207</t>
        </is>
      </c>
      <c r="B43" s="2" t="inlineStr">
        <is>
          <t>Jazz band</t>
        </is>
      </c>
      <c r="C43" t="inlineStr">
        <is>
          <t>x</t>
        </is>
      </c>
    </row>
    <row r="44" ht="18" customHeight="1" s="87">
      <c r="A44" t="inlineStr">
        <is>
          <t>F208</t>
        </is>
      </c>
      <c r="B44" s="8" t="inlineStr">
        <is>
          <t>Literary magazine</t>
        </is>
      </c>
      <c r="C44" t="inlineStr">
        <is>
          <t>x</t>
        </is>
      </c>
    </row>
    <row r="45" ht="18" customHeight="1" s="87">
      <c r="A45" t="inlineStr">
        <is>
          <t>F209</t>
        </is>
      </c>
      <c r="B45" t="inlineStr">
        <is>
          <t>Marching band</t>
        </is>
      </c>
      <c r="C45" t="inlineStr">
        <is>
          <t>x</t>
        </is>
      </c>
    </row>
    <row r="46" ht="18" customHeight="1" s="87">
      <c r="A46" t="inlineStr">
        <is>
          <t>F210</t>
        </is>
      </c>
      <c r="B46" t="inlineStr">
        <is>
          <t>Model UN</t>
        </is>
      </c>
    </row>
    <row r="47" ht="18" customHeight="1" s="87">
      <c r="A47" t="inlineStr">
        <is>
          <t>F211</t>
        </is>
      </c>
      <c r="B47" t="inlineStr">
        <is>
          <t>Music ensembles</t>
        </is>
      </c>
      <c r="C47" t="inlineStr">
        <is>
          <t>x</t>
        </is>
      </c>
    </row>
    <row r="48" ht="18" customHeight="1" s="87">
      <c r="A48" t="inlineStr">
        <is>
          <t>F212</t>
        </is>
      </c>
      <c r="B48" t="inlineStr">
        <is>
          <t>Musical theater</t>
        </is>
      </c>
      <c r="C48" t="inlineStr">
        <is>
          <t>x</t>
        </is>
      </c>
    </row>
    <row r="49" ht="18" customHeight="1" s="87">
      <c r="A49" t="inlineStr">
        <is>
          <t>F213</t>
        </is>
      </c>
      <c r="B49" t="inlineStr">
        <is>
          <t>Opera</t>
        </is>
      </c>
      <c r="C49" t="inlineStr">
        <is>
          <t>x</t>
        </is>
      </c>
    </row>
    <row r="50" ht="18" customHeight="1" s="87">
      <c r="A50" t="inlineStr">
        <is>
          <t>F214</t>
        </is>
      </c>
      <c r="B50" t="inlineStr">
        <is>
          <t>Pep band</t>
        </is>
      </c>
      <c r="C50" t="inlineStr">
        <is>
          <t>x</t>
        </is>
      </c>
    </row>
    <row r="51" ht="18" customHeight="1" s="87">
      <c r="A51" t="inlineStr">
        <is>
          <t>F215</t>
        </is>
      </c>
      <c r="B51" t="inlineStr">
        <is>
          <t>Radio station</t>
        </is>
      </c>
      <c r="C51" t="inlineStr">
        <is>
          <t>x</t>
        </is>
      </c>
    </row>
    <row r="52" ht="18" customHeight="1" s="87">
      <c r="A52" t="inlineStr">
        <is>
          <t>F216</t>
        </is>
      </c>
      <c r="B52" t="inlineStr">
        <is>
          <t>Student government</t>
        </is>
      </c>
      <c r="C52" t="inlineStr">
        <is>
          <t>x</t>
        </is>
      </c>
    </row>
    <row r="53" ht="18" customHeight="1" s="87">
      <c r="A53" t="inlineStr">
        <is>
          <t>F217</t>
        </is>
      </c>
      <c r="B53" s="2" t="inlineStr">
        <is>
          <t>Student newspaper</t>
        </is>
      </c>
      <c r="C53" t="inlineStr">
        <is>
          <t>x</t>
        </is>
      </c>
    </row>
    <row r="54" ht="18" customHeight="1" s="87">
      <c r="A54" t="inlineStr">
        <is>
          <t>F218</t>
        </is>
      </c>
      <c r="B54" s="2" t="inlineStr">
        <is>
          <t>Student-run film society</t>
        </is>
      </c>
      <c r="C54" t="inlineStr">
        <is>
          <t>x</t>
        </is>
      </c>
    </row>
    <row r="55" ht="18" customHeight="1" s="87">
      <c r="A55" t="inlineStr">
        <is>
          <t>F219</t>
        </is>
      </c>
      <c r="B55" s="2" t="inlineStr">
        <is>
          <t>Symphony orchestra</t>
        </is>
      </c>
      <c r="C55" t="inlineStr">
        <is>
          <t>x</t>
        </is>
      </c>
    </row>
    <row r="56" ht="18" customHeight="1" s="87">
      <c r="A56" t="inlineStr">
        <is>
          <t>F220</t>
        </is>
      </c>
      <c r="B56" s="2" t="inlineStr">
        <is>
          <t>Television station</t>
        </is>
      </c>
      <c r="C56" t="inlineStr">
        <is>
          <t>x</t>
        </is>
      </c>
    </row>
    <row r="57" ht="18" customHeight="1" s="87">
      <c r="A57" t="inlineStr">
        <is>
          <t>F221</t>
        </is>
      </c>
      <c r="B57" s="2" t="inlineStr">
        <is>
          <t>Yearbook</t>
        </is>
      </c>
      <c r="C57" t="inlineStr">
        <is>
          <t>x</t>
        </is>
      </c>
    </row>
    <row r="58">
      <c r="B58" s="2" t="n"/>
    </row>
    <row r="59">
      <c r="B59" s="2" t="n"/>
    </row>
    <row r="60"/>
    <row r="61"/>
    <row r="62"/>
    <row r="63" ht="18" customHeight="1" s="87">
      <c r="B63" s="2" t="n"/>
    </row>
    <row r="64" ht="18" customHeight="1" s="87">
      <c r="A64" t="inlineStr">
        <is>
          <t>F301</t>
        </is>
      </c>
      <c r="B64" t="inlineStr">
        <is>
          <t>On Campus</t>
        </is>
      </c>
      <c r="C64" t="inlineStr">
        <is>
          <t>x</t>
        </is>
      </c>
    </row>
    <row r="65" ht="18" customHeight="1" s="87">
      <c r="A65" t="inlineStr">
        <is>
          <t>F302</t>
        </is>
      </c>
      <c r="B65" t="inlineStr">
        <is>
          <t>At Cooperating Institution</t>
        </is>
      </c>
    </row>
    <row r="66">
      <c r="B66" s="2" t="n"/>
    </row>
    <row r="67" ht="18" customHeight="1" s="87">
      <c r="A67" t="inlineStr">
        <is>
          <t>F303</t>
        </is>
      </c>
      <c r="B67" t="inlineStr">
        <is>
          <t>Name of Cooperating Institution</t>
        </is>
      </c>
    </row>
    <row r="68">
      <c r="B68" s="7" t="n"/>
    </row>
    <row r="69" ht="18" customHeight="1" s="87">
      <c r="B69" s="2" t="n"/>
    </row>
    <row r="70" ht="18" customHeight="1" s="87">
      <c r="A70" t="inlineStr">
        <is>
          <t>F304</t>
        </is>
      </c>
      <c r="B70" t="inlineStr">
        <is>
          <t>Marine Option 
(for Naval ROTC)</t>
        </is>
      </c>
    </row>
    <row r="71" ht="18" customHeight="1" s="87">
      <c r="A71" t="inlineStr">
        <is>
          <t>F305</t>
        </is>
      </c>
      <c r="B71" t="inlineStr">
        <is>
          <t>On Campus</t>
        </is>
      </c>
      <c r="C71" t="inlineStr">
        <is>
          <t>x</t>
        </is>
      </c>
    </row>
    <row r="72" ht="18" customHeight="1" s="87">
      <c r="A72" t="inlineStr">
        <is>
          <t>F306</t>
        </is>
      </c>
      <c r="B72" t="inlineStr">
        <is>
          <t>At Cooperating Institution</t>
        </is>
      </c>
    </row>
    <row r="73" ht="18" customHeight="1" s="87">
      <c r="B73" s="2" t="n"/>
    </row>
    <row r="74" ht="18" customHeight="1" s="87">
      <c r="A74" t="inlineStr">
        <is>
          <t>F307</t>
        </is>
      </c>
      <c r="B74" t="inlineStr">
        <is>
          <t>Name of Cooperating Institution</t>
        </is>
      </c>
    </row>
    <row r="75"/>
    <row r="76" ht="18" customHeight="1" s="87">
      <c r="B76" s="2" t="n"/>
    </row>
    <row r="77" ht="18" customHeight="1" s="87">
      <c r="A77" t="inlineStr">
        <is>
          <t>F308</t>
        </is>
      </c>
      <c r="B77" t="inlineStr">
        <is>
          <t>On Campus</t>
        </is>
      </c>
      <c r="C77" t="inlineStr">
        <is>
          <t>x</t>
        </is>
      </c>
    </row>
    <row r="78" ht="18" customHeight="1" s="87">
      <c r="A78" t="inlineStr">
        <is>
          <t>F309</t>
        </is>
      </c>
      <c r="B78" t="inlineStr">
        <is>
          <t>At Cooperating Institution</t>
        </is>
      </c>
    </row>
    <row r="79" ht="18" customHeight="1" s="87">
      <c r="B79" s="2" t="n"/>
    </row>
    <row r="80" ht="18" customHeight="1" s="87">
      <c r="A80" t="inlineStr">
        <is>
          <t>F310</t>
        </is>
      </c>
      <c r="B80" t="inlineStr">
        <is>
          <t>Name of Cooperating Institution</t>
        </is>
      </c>
    </row>
    <row r="81"/>
    <row r="82"/>
    <row r="83"/>
    <row r="84"/>
    <row r="85"/>
    <row r="86" ht="18" customHeight="1" s="87"/>
    <row r="87" ht="18" customHeight="1" s="87">
      <c r="A87" t="inlineStr">
        <is>
          <t>F401</t>
        </is>
      </c>
      <c r="B87" s="2" t="inlineStr">
        <is>
          <t>Coed dorms</t>
        </is>
      </c>
      <c r="C87" t="inlineStr">
        <is>
          <t>x</t>
        </is>
      </c>
    </row>
    <row r="88" ht="18" customHeight="1" s="87">
      <c r="A88" t="inlineStr">
        <is>
          <t>F402</t>
        </is>
      </c>
      <c r="B88" s="2" t="inlineStr">
        <is>
          <t>Men's dorms</t>
        </is>
      </c>
    </row>
    <row r="89" ht="18" customHeight="1" s="87">
      <c r="A89" t="inlineStr">
        <is>
          <t>F403</t>
        </is>
      </c>
      <c r="B89" s="2" t="inlineStr">
        <is>
          <t>Women's dorms</t>
        </is>
      </c>
      <c r="C89" t="inlineStr">
        <is>
          <t>x</t>
        </is>
      </c>
    </row>
    <row r="90" ht="18" customHeight="1" s="87">
      <c r="A90" t="inlineStr">
        <is>
          <t>F404</t>
        </is>
      </c>
      <c r="B90" s="2" t="inlineStr">
        <is>
          <t>Apartments for married students</t>
        </is>
      </c>
      <c r="C90" t="inlineStr">
        <is>
          <t>x</t>
        </is>
      </c>
    </row>
    <row r="91" ht="18" customHeight="1" s="87">
      <c r="A91" t="inlineStr">
        <is>
          <t>F405</t>
        </is>
      </c>
      <c r="B91" s="2" t="inlineStr">
        <is>
          <t>Apartments for single students</t>
        </is>
      </c>
      <c r="C91" t="inlineStr">
        <is>
          <t>x</t>
        </is>
      </c>
    </row>
    <row r="92" ht="18" customHeight="1" s="87">
      <c r="A92" t="inlineStr">
        <is>
          <t>F406</t>
        </is>
      </c>
      <c r="B92" s="2" t="inlineStr">
        <is>
          <t>Special housing for disabled students</t>
        </is>
      </c>
      <c r="C92" t="inlineStr">
        <is>
          <t>x</t>
        </is>
      </c>
    </row>
    <row r="93" ht="18" customHeight="1" s="87">
      <c r="A93" t="inlineStr">
        <is>
          <t>F407</t>
        </is>
      </c>
      <c r="B93" s="2" t="inlineStr">
        <is>
          <t>Special housing for international students</t>
        </is>
      </c>
      <c r="C93" t="inlineStr">
        <is>
          <t>x</t>
        </is>
      </c>
    </row>
    <row r="94" ht="18" customHeight="1" s="87">
      <c r="A94" t="inlineStr">
        <is>
          <t>F408</t>
        </is>
      </c>
      <c r="B94" s="8" t="inlineStr">
        <is>
          <t>Fraternity/sorority housing</t>
        </is>
      </c>
      <c r="C94" t="inlineStr">
        <is>
          <t>x</t>
        </is>
      </c>
    </row>
    <row r="95" ht="18" customHeight="1" s="87">
      <c r="A95" t="inlineStr">
        <is>
          <t>F409</t>
        </is>
      </c>
      <c r="B95" t="inlineStr">
        <is>
          <t>Cooperative housing</t>
        </is>
      </c>
      <c r="C95" t="inlineStr">
        <is>
          <t>x</t>
        </is>
      </c>
    </row>
    <row r="96" ht="18" customHeight="1" s="87">
      <c r="A96" t="inlineStr">
        <is>
          <t>F410</t>
        </is>
      </c>
      <c r="B96" t="inlineStr">
        <is>
          <t>Theme housing</t>
        </is>
      </c>
    </row>
    <row r="97" ht="18" customHeight="1" s="87">
      <c r="A97" t="inlineStr">
        <is>
          <t>F411</t>
        </is>
      </c>
      <c r="B97" t="inlineStr">
        <is>
          <t>Wellness housing</t>
        </is>
      </c>
      <c r="C97" t="inlineStr">
        <is>
          <t>x</t>
        </is>
      </c>
    </row>
    <row r="98" ht="18" customHeight="1" s="87">
      <c r="A98" t="inlineStr">
        <is>
          <t>F412</t>
        </is>
      </c>
      <c r="B98" t="inlineStr">
        <is>
          <t>Living Learning Communities</t>
        </is>
      </c>
      <c r="C98" t="inlineStr">
        <is>
          <t>x</t>
        </is>
      </c>
    </row>
    <row r="99" ht="18" customHeight="1" s="87"/>
    <row r="100" ht="18" customHeight="1" s="87">
      <c r="A100" t="inlineStr">
        <is>
          <t>F413</t>
        </is>
      </c>
      <c r="B100" t="inlineStr">
        <is>
          <t>Other housing options (specify):</t>
        </is>
      </c>
      <c r="C100" t="inlineStr">
        <is>
          <t>N/A</t>
        </is>
      </c>
    </row>
    <row r="101" ht="18" customHeight="1" s="87">
      <c r="B101" s="2" t="n"/>
    </row>
  </sheetData>
  <autoFilter ref="A1:L101"/>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C109"/>
  <sheetViews>
    <sheetView workbookViewId="0">
      <pane ySplit="1" topLeftCell="A2" activePane="bottomLeft" state="frozen"/>
      <selection pane="bottomLeft" activeCell="A2" sqref="A2"/>
    </sheetView>
  </sheetViews>
  <sheetFormatPr baseColWidth="8" defaultColWidth="8.85546875" defaultRowHeight="15"/>
  <cols>
    <col width="7.7109375" customWidth="1" style="87" min="1" max="1"/>
    <col width="40.7109375" customWidth="1" style="87" min="2" max="2"/>
    <col width="24.42578125" customWidth="1" style="87" min="3" max="3"/>
  </cols>
  <sheetData>
    <row r="1">
      <c r="A1" t="inlineStr">
        <is>
          <t>Question Number</t>
        </is>
      </c>
      <c r="B1" t="inlineStr">
        <is>
          <t>Question</t>
        </is>
      </c>
      <c r="C1" t="inlineStr">
        <is>
          <t>Answer</t>
        </is>
      </c>
    </row>
    <row r="2"/>
    <row r="3"/>
    <row r="4"/>
    <row r="5"/>
    <row r="6"/>
    <row r="7"/>
    <row r="8" ht="30" customHeight="1" s="87">
      <c r="A8" s="9" t="inlineStr">
        <is>
          <t>G001</t>
        </is>
      </c>
      <c r="B8" s="10" t="inlineStr">
        <is>
          <t>Please provide the URL of your institution’s net price calculator:</t>
        </is>
      </c>
      <c r="C8" s="64" t="inlineStr">
        <is>
          <t>https://secure.osfa.illinois.edu/NPC/NPC.asp</t>
        </is>
      </c>
    </row>
    <row r="9">
      <c r="A9" s="9" t="n"/>
      <c r="B9" s="10" t="n"/>
    </row>
    <row r="10">
      <c r="A10" s="9" t="n"/>
      <c r="B10" s="10" t="n"/>
    </row>
    <row r="11" ht="22.5" customHeight="1" s="87">
      <c r="A11" s="9" t="n"/>
      <c r="B11" s="10" t="n"/>
    </row>
    <row r="12">
      <c r="A12" s="9" t="n"/>
      <c r="B12" s="10" t="n"/>
    </row>
    <row r="13" ht="38.25" customHeight="1" s="87">
      <c r="A13" s="9" t="inlineStr">
        <is>
          <t>G002</t>
        </is>
      </c>
      <c r="B13" s="10" t="inlineStr">
        <is>
          <t>If your institution's 2025-2026 academic year costs of attendance are not available at this time please respond.</t>
        </is>
      </c>
      <c r="C13" t="inlineStr">
        <is>
          <t>x</t>
        </is>
      </c>
    </row>
    <row r="14">
      <c r="A14" s="9" t="n"/>
      <c r="B14" s="10" t="n"/>
    </row>
    <row r="15" ht="51" customHeight="1" s="87">
      <c r="A15" s="9" t="inlineStr">
        <is>
          <t>G003</t>
        </is>
      </c>
      <c r="B15" s="10" t="inlineStr">
        <is>
          <t>Please provide an approximate date (i.e., month/day) when your institution's final 2025-2026 academic year costs of attendance will be available:</t>
        </is>
      </c>
      <c r="C15" s="65" t="n">
        <v>45731</v>
      </c>
    </row>
    <row r="16"/>
    <row r="17"/>
    <row r="18"/>
    <row r="19"/>
    <row r="20"/>
    <row r="21"/>
    <row r="22"/>
    <row r="23"/>
    <row r="24"/>
    <row r="25"/>
    <row r="26"/>
    <row r="27"/>
    <row r="28"/>
    <row r="29" ht="18" customHeight="1" s="87"/>
    <row r="30" ht="18" customHeight="1" s="87">
      <c r="A30" t="inlineStr">
        <is>
          <t>G101</t>
        </is>
      </c>
      <c r="B30" t="inlineStr">
        <is>
          <t>Tuition</t>
        </is>
      </c>
      <c r="C30" s="94" t="inlineStr">
        <is>
          <t>N/A</t>
        </is>
      </c>
    </row>
    <row r="31"/>
    <row r="32" ht="18" customHeight="1" s="87"/>
    <row r="33" ht="18" customHeight="1" s="87">
      <c r="A33" t="inlineStr">
        <is>
          <t>G102</t>
        </is>
      </c>
      <c r="B33" t="inlineStr">
        <is>
          <t>Tuition</t>
        </is>
      </c>
      <c r="C33" s="94" t="inlineStr">
        <is>
          <t>N/A</t>
        </is>
      </c>
    </row>
    <row r="34">
      <c r="B34" s="2" t="n"/>
    </row>
    <row r="35" ht="18" customHeight="1" s="87"/>
    <row r="36" ht="18" customHeight="1" s="87">
      <c r="A36" t="inlineStr">
        <is>
          <t>G103</t>
        </is>
      </c>
      <c r="B36" t="inlineStr">
        <is>
          <t>Tuition: In-district</t>
        </is>
      </c>
      <c r="C36" s="94" t="n">
        <v>12992</v>
      </c>
    </row>
    <row r="37" ht="18" customHeight="1" s="87">
      <c r="A37" t="inlineStr">
        <is>
          <t>G104</t>
        </is>
      </c>
      <c r="B37" t="inlineStr">
        <is>
          <t>Tuition: In-state (out-of-district):</t>
        </is>
      </c>
      <c r="C37" s="94" t="n">
        <v>12992</v>
      </c>
    </row>
    <row r="38" ht="18" customHeight="1" s="87">
      <c r="A38" t="inlineStr">
        <is>
          <t>G105</t>
        </is>
      </c>
      <c r="B38" s="2" t="inlineStr">
        <is>
          <t>Tuition: Out-of-state:</t>
        </is>
      </c>
      <c r="C38" s="94" t="n">
        <v>33344</v>
      </c>
    </row>
    <row r="39" ht="18" customHeight="1" s="87">
      <c r="A39" t="inlineStr">
        <is>
          <t>G106</t>
        </is>
      </c>
      <c r="B39" s="2" t="inlineStr">
        <is>
          <t>Tuition: Non-resident</t>
        </is>
      </c>
      <c r="C39" s="94" t="n">
        <v>34338</v>
      </c>
    </row>
    <row r="40" ht="15.6" customHeight="1" s="87">
      <c r="B40" s="2" t="n"/>
    </row>
    <row r="41" ht="18" customHeight="1" s="87"/>
    <row r="42" ht="18" customHeight="1" s="87">
      <c r="A42" t="inlineStr">
        <is>
          <t>G107</t>
        </is>
      </c>
      <c r="B42" t="inlineStr">
        <is>
          <t>Tuition: In-district</t>
        </is>
      </c>
      <c r="C42" s="94" t="n">
        <v>12712</v>
      </c>
    </row>
    <row r="43" ht="18" customHeight="1" s="87">
      <c r="A43" t="inlineStr">
        <is>
          <t>G108</t>
        </is>
      </c>
      <c r="B43" t="inlineStr">
        <is>
          <t>Tuition: In-state (out-of-district):</t>
        </is>
      </c>
      <c r="C43" s="94" t="n">
        <v>12712</v>
      </c>
    </row>
    <row r="44" ht="18" customHeight="1" s="87">
      <c r="A44" t="inlineStr">
        <is>
          <t>G109</t>
        </is>
      </c>
      <c r="B44" s="2" t="inlineStr">
        <is>
          <t>Tuition: Out-of-state:</t>
        </is>
      </c>
      <c r="C44" s="94" t="n">
        <v>31832</v>
      </c>
    </row>
    <row r="45" ht="18" customHeight="1" s="87">
      <c r="A45" t="inlineStr">
        <is>
          <t>G110</t>
        </is>
      </c>
      <c r="B45" s="2" t="inlineStr">
        <is>
          <t>Tuition: Non-resident</t>
        </is>
      </c>
      <c r="C45" s="94" t="n">
        <v>32780</v>
      </c>
    </row>
    <row r="46">
      <c r="B46" s="2" t="n"/>
    </row>
    <row r="47" ht="18" customHeight="1" s="87"/>
    <row r="48" ht="18" customHeight="1" s="87">
      <c r="A48" t="inlineStr">
        <is>
          <t>G111</t>
        </is>
      </c>
      <c r="B48" t="inlineStr">
        <is>
          <t>Required Fees:</t>
        </is>
      </c>
      <c r="C48" s="94" t="n">
        <v>5056</v>
      </c>
    </row>
    <row r="49" ht="18" customHeight="1" s="87">
      <c r="A49" t="inlineStr">
        <is>
          <t>G112</t>
        </is>
      </c>
      <c r="B49" t="inlineStr">
        <is>
          <t>Food and housing (on-campus):</t>
        </is>
      </c>
      <c r="C49" s="94" t="n">
        <v>15184</v>
      </c>
    </row>
    <row r="50" ht="18" customHeight="1" s="87">
      <c r="A50" t="inlineStr">
        <is>
          <t>G113</t>
        </is>
      </c>
      <c r="B50" s="2" t="inlineStr">
        <is>
          <t>Housing Only (on-campus):</t>
        </is>
      </c>
      <c r="C50" s="94" t="n">
        <v>8094</v>
      </c>
    </row>
    <row r="51" ht="18" customHeight="1" s="87">
      <c r="A51" t="inlineStr">
        <is>
          <t>G114</t>
        </is>
      </c>
      <c r="B51" s="2" t="inlineStr">
        <is>
          <t>Food Only (on-campus meal plan):</t>
        </is>
      </c>
      <c r="C51" s="94" t="n">
        <v>7090</v>
      </c>
    </row>
    <row r="52">
      <c r="B52" s="2" t="n"/>
    </row>
    <row r="53" ht="18" customHeight="1" s="87"/>
    <row r="54" ht="18" customHeight="1" s="87">
      <c r="A54" t="inlineStr">
        <is>
          <t>G115</t>
        </is>
      </c>
      <c r="B54" t="inlineStr">
        <is>
          <t>Required Fees:</t>
        </is>
      </c>
      <c r="C54" s="94" t="n">
        <v>5056</v>
      </c>
    </row>
    <row r="55" ht="18" customHeight="1" s="87">
      <c r="A55" t="inlineStr">
        <is>
          <t>G116</t>
        </is>
      </c>
      <c r="B55" t="inlineStr">
        <is>
          <t>Food and housing (on-campus):</t>
        </is>
      </c>
      <c r="C55" s="94" t="n">
        <v>14020</v>
      </c>
    </row>
    <row r="56" ht="18" customHeight="1" s="87">
      <c r="A56" t="inlineStr">
        <is>
          <t>G117</t>
        </is>
      </c>
      <c r="B56" s="2" t="inlineStr">
        <is>
          <t>Housing Only (on-campus):</t>
        </is>
      </c>
      <c r="C56" s="94" t="n">
        <v>7268</v>
      </c>
    </row>
    <row r="57" ht="18" customHeight="1" s="87">
      <c r="A57" t="inlineStr">
        <is>
          <t>G118</t>
        </is>
      </c>
      <c r="B57" s="2" t="inlineStr">
        <is>
          <t>Food Only (on-campus meal plan):</t>
        </is>
      </c>
      <c r="C57" s="94" t="n">
        <v>6752</v>
      </c>
    </row>
    <row r="58">
      <c r="B58" s="2" t="n"/>
    </row>
    <row r="59">
      <c r="B59" s="2" t="n"/>
    </row>
    <row r="60" ht="47.1" customHeight="1" s="87">
      <c r="A60" t="inlineStr">
        <is>
          <t>G119</t>
        </is>
      </c>
      <c r="B60" s="2" t="inlineStr">
        <is>
          <t>Comprehensive tuition and food and housing fee (if your college cannot provide separate tuition and food and housing fees):</t>
        </is>
      </c>
      <c r="C60" s="94" t="inlineStr">
        <is>
          <t>XXXXX</t>
        </is>
      </c>
    </row>
    <row r="61">
      <c r="B61" s="2" t="n"/>
    </row>
    <row r="62">
      <c r="B62" s="2" t="n"/>
    </row>
    <row r="63" ht="18" customHeight="1" s="87">
      <c r="A63" t="inlineStr">
        <is>
          <t>G120</t>
        </is>
      </c>
      <c r="B63" s="2" t="inlineStr">
        <is>
          <t>Other:</t>
        </is>
      </c>
      <c r="C63" s="94" t="n"/>
    </row>
    <row r="64">
      <c r="B64" s="2" t="n"/>
    </row>
    <row r="65" ht="32.1" customHeight="1" s="87">
      <c r="B65" s="2" t="n"/>
    </row>
    <row r="66" ht="18" customHeight="1" s="87">
      <c r="A66" t="inlineStr">
        <is>
          <t>G201</t>
        </is>
      </c>
      <c r="B66" s="2" t="inlineStr">
        <is>
          <t>Minimum</t>
        </is>
      </c>
      <c r="C66" t="n">
        <v>12</v>
      </c>
    </row>
    <row r="67" ht="18" customHeight="1" s="87">
      <c r="A67" t="inlineStr">
        <is>
          <t>G202</t>
        </is>
      </c>
      <c r="B67" t="inlineStr">
        <is>
          <t>Maximum</t>
        </is>
      </c>
      <c r="C67" t="n">
        <v>18</v>
      </c>
    </row>
    <row r="68"/>
    <row r="69" ht="18" customHeight="1" s="87"/>
    <row r="70" ht="30" customHeight="1" s="87">
      <c r="A70" t="inlineStr">
        <is>
          <t>G301</t>
        </is>
      </c>
      <c r="B70" s="2" t="inlineStr">
        <is>
          <t>Do tuition and fees vary by year of study (e.g., sophomore, junior, senior)?</t>
        </is>
      </c>
      <c r="C70" t="inlineStr">
        <is>
          <t>Y</t>
        </is>
      </c>
    </row>
    <row r="71">
      <c r="B71" s="2" t="n"/>
    </row>
    <row r="72">
      <c r="B72" s="2" t="n"/>
    </row>
    <row r="73" ht="30" customHeight="1" s="87">
      <c r="A73" t="inlineStr">
        <is>
          <t>G401</t>
        </is>
      </c>
      <c r="B73" s="2" t="inlineStr">
        <is>
          <t xml:space="preserve">Do tuition and fees vary by undergraduate instructional program?   </t>
        </is>
      </c>
      <c r="C73" t="inlineStr">
        <is>
          <t>Y</t>
        </is>
      </c>
    </row>
    <row r="74">
      <c r="B74" s="2" t="n"/>
    </row>
    <row r="75" ht="45" customHeight="1" s="87">
      <c r="A75" t="inlineStr">
        <is>
          <t>G402</t>
        </is>
      </c>
      <c r="B75" s="7" t="inlineStr">
        <is>
          <t>If yes, what percentage of full-time undergraduates pay more than the tuition and fees reported in G1?</t>
        </is>
      </c>
      <c r="C75" s="38" t="n">
        <v>0.6871</v>
      </c>
    </row>
    <row r="76">
      <c r="B76" s="2" t="n"/>
    </row>
    <row r="77">
      <c r="B77" s="2" t="n"/>
    </row>
    <row r="78"/>
    <row r="79"/>
    <row r="80"/>
    <row r="81" ht="18" customHeight="1" s="87"/>
    <row r="82" ht="18" customHeight="1" s="87">
      <c r="A82" t="inlineStr">
        <is>
          <t>G501</t>
        </is>
      </c>
      <c r="B82" t="inlineStr">
        <is>
          <t>Books and supplies:</t>
        </is>
      </c>
      <c r="C82" s="96" t="n">
        <v>1200</v>
      </c>
    </row>
    <row r="83" ht="18" customHeight="1" s="87">
      <c r="A83" t="inlineStr">
        <is>
          <t>G502</t>
        </is>
      </c>
      <c r="B83" t="inlineStr">
        <is>
          <t>Transportation:</t>
        </is>
      </c>
      <c r="C83" s="96" t="n">
        <v>500</v>
      </c>
    </row>
    <row r="84" ht="18" customHeight="1" s="87">
      <c r="A84" t="inlineStr">
        <is>
          <t>G503</t>
        </is>
      </c>
      <c r="B84" s="2" t="inlineStr">
        <is>
          <t>Other expenses:</t>
        </is>
      </c>
      <c r="C84" s="96" t="n">
        <v>2000</v>
      </c>
    </row>
    <row r="85">
      <c r="B85" s="2" t="n"/>
    </row>
    <row r="86" ht="18.6" customHeight="1" s="87"/>
    <row r="87" ht="18" customHeight="1" s="87">
      <c r="A87" t="inlineStr">
        <is>
          <t>G504</t>
        </is>
      </c>
      <c r="B87" t="inlineStr">
        <is>
          <t>Books and supplies:</t>
        </is>
      </c>
      <c r="C87" s="96" t="n">
        <v>1200</v>
      </c>
    </row>
    <row r="88" ht="18" customHeight="1" s="87">
      <c r="A88" t="inlineStr">
        <is>
          <t>G505</t>
        </is>
      </c>
      <c r="B88" t="inlineStr">
        <is>
          <t>Food only:</t>
        </is>
      </c>
      <c r="C88" s="59" t="inlineStr">
        <is>
          <t>XXXXX</t>
        </is>
      </c>
    </row>
    <row r="89" ht="18" customHeight="1" s="87">
      <c r="A89" t="inlineStr">
        <is>
          <t>G506</t>
        </is>
      </c>
      <c r="B89" t="inlineStr">
        <is>
          <t>Transportation</t>
        </is>
      </c>
      <c r="C89" s="96" t="n">
        <v>500</v>
      </c>
    </row>
    <row r="90" ht="18" customHeight="1" s="87">
      <c r="A90" t="inlineStr">
        <is>
          <t>G507</t>
        </is>
      </c>
      <c r="B90" s="2" t="inlineStr">
        <is>
          <t>Other expenses:</t>
        </is>
      </c>
      <c r="C90" s="96" t="n">
        <v>2000</v>
      </c>
    </row>
    <row r="91"/>
    <row r="92" ht="18" customHeight="1" s="87"/>
    <row r="93" ht="18" customHeight="1" s="87">
      <c r="A93" t="inlineStr">
        <is>
          <t>G508</t>
        </is>
      </c>
      <c r="B93" t="inlineStr">
        <is>
          <t>Books and supplies:</t>
        </is>
      </c>
      <c r="C93" s="96" t="n">
        <v>1200</v>
      </c>
    </row>
    <row r="94" ht="18" customHeight="1" s="87">
      <c r="A94" t="inlineStr">
        <is>
          <t>G509</t>
        </is>
      </c>
      <c r="B94" t="inlineStr">
        <is>
          <t>Housing only:</t>
        </is>
      </c>
      <c r="C94" s="59" t="inlineStr">
        <is>
          <t>XXXXX</t>
        </is>
      </c>
    </row>
    <row r="95" ht="18" customHeight="1" s="87">
      <c r="A95" t="inlineStr">
        <is>
          <t>G510</t>
        </is>
      </c>
      <c r="B95" t="inlineStr">
        <is>
          <t>Food only:</t>
        </is>
      </c>
      <c r="C95" s="59" t="inlineStr">
        <is>
          <t>XXXXX</t>
        </is>
      </c>
    </row>
    <row r="96" ht="18" customHeight="1" s="87">
      <c r="A96" t="inlineStr">
        <is>
          <t>G511</t>
        </is>
      </c>
      <c r="B96" s="2" t="inlineStr">
        <is>
          <t>Food and housing total*</t>
        </is>
      </c>
      <c r="C96" s="94" t="n">
        <v>15184</v>
      </c>
    </row>
    <row r="97" ht="18" customHeight="1" s="87">
      <c r="A97" t="inlineStr">
        <is>
          <t>G512</t>
        </is>
      </c>
      <c r="B97" t="inlineStr">
        <is>
          <t>Transportation:</t>
        </is>
      </c>
      <c r="C97" s="96" t="n">
        <v>500</v>
      </c>
    </row>
    <row r="98" ht="18" customHeight="1" s="87">
      <c r="A98" t="inlineStr">
        <is>
          <t>G513</t>
        </is>
      </c>
      <c r="B98" t="inlineStr">
        <is>
          <t>Other expenses:</t>
        </is>
      </c>
      <c r="C98" s="96" t="n">
        <v>2000</v>
      </c>
    </row>
    <row r="99"/>
    <row r="100"/>
    <row r="101"/>
    <row r="102"/>
    <row r="103"/>
    <row r="104" ht="18" customHeight="1" s="87">
      <c r="A104" t="inlineStr">
        <is>
          <t>G601</t>
        </is>
      </c>
      <c r="B104" t="inlineStr">
        <is>
          <t>PRIVATE INSTITUTIONS:</t>
        </is>
      </c>
      <c r="C104" s="59" t="inlineStr">
        <is>
          <t>XXXXX</t>
        </is>
      </c>
    </row>
    <row r="105" ht="18" customHeight="1" s="87">
      <c r="A105" t="inlineStr">
        <is>
          <t>G602</t>
        </is>
      </c>
      <c r="B105" t="inlineStr">
        <is>
          <t>PUBLIC INSTITUTIONS:</t>
        </is>
      </c>
      <c r="C105" s="59" t="inlineStr">
        <is>
          <t>XXXXX</t>
        </is>
      </c>
    </row>
    <row r="106" ht="18" customHeight="1" s="87">
      <c r="A106" t="inlineStr">
        <is>
          <t>G603</t>
        </is>
      </c>
      <c r="B106" t="inlineStr">
        <is>
          <t>In-district:</t>
        </is>
      </c>
      <c r="C106" s="59" t="inlineStr">
        <is>
          <t>XXXXX</t>
        </is>
      </c>
    </row>
    <row r="107" ht="18" customHeight="1" s="87">
      <c r="A107" t="inlineStr">
        <is>
          <t>G604</t>
        </is>
      </c>
      <c r="B107" t="inlineStr">
        <is>
          <t>In-state (out-of-district):</t>
        </is>
      </c>
      <c r="C107" s="59" t="inlineStr">
        <is>
          <t>XXXXX</t>
        </is>
      </c>
    </row>
    <row r="108" ht="18" customHeight="1" s="87">
      <c r="A108" t="inlineStr">
        <is>
          <t>G605</t>
        </is>
      </c>
      <c r="B108" t="inlineStr">
        <is>
          <t>Out-of-state:</t>
        </is>
      </c>
      <c r="C108" s="59" t="inlineStr">
        <is>
          <t>XXXXX</t>
        </is>
      </c>
    </row>
    <row r="109" ht="18" customHeight="1" s="87">
      <c r="A109" t="inlineStr">
        <is>
          <t>G606</t>
        </is>
      </c>
      <c r="B109" t="inlineStr">
        <is>
          <t>NONRESIDENTS:</t>
        </is>
      </c>
      <c r="C109" s="59" t="inlineStr">
        <is>
          <t>XXXXX</t>
        </is>
      </c>
    </row>
  </sheetData>
  <autoFilter ref="A1:L109"/>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396"/>
  <sheetViews>
    <sheetView zoomScaleNormal="100" workbookViewId="0">
      <pane ySplit="1" topLeftCell="A2" activePane="bottomLeft" state="frozen"/>
      <selection pane="bottomLeft" activeCell="A2" sqref="A2"/>
    </sheetView>
  </sheetViews>
  <sheetFormatPr baseColWidth="8" defaultColWidth="8.7109375" defaultRowHeight="15"/>
  <cols>
    <col width="40.7109375" customWidth="1" style="87" min="2" max="2"/>
    <col width="71.140625" customWidth="1" style="87" min="3" max="3"/>
    <col width="36.42578125" bestFit="1" customWidth="1" style="87" min="4" max="4"/>
  </cols>
  <sheetData>
    <row r="1">
      <c r="A1" t="inlineStr">
        <is>
          <t>Question Number</t>
        </is>
      </c>
      <c r="B1" t="inlineStr">
        <is>
          <t>Question</t>
        </is>
      </c>
      <c r="C1" t="inlineStr">
        <is>
          <t>Answer</t>
        </is>
      </c>
    </row>
    <row r="2"/>
    <row r="3"/>
    <row r="4">
      <c r="A4" s="79" t="n"/>
      <c r="B4" s="80" t="n"/>
      <c r="C4" s="80" t="n"/>
      <c r="D4" s="80" t="n"/>
      <c r="E4" s="80" t="n"/>
      <c r="F4" s="80" t="n"/>
    </row>
    <row r="5">
      <c r="A5" s="79" t="n"/>
      <c r="B5" s="88" t="inlineStr">
        <is>
          <t>Please refer to the following financial aid definitions when completing Section H.</t>
        </is>
      </c>
    </row>
    <row r="6">
      <c r="A6" s="81" t="n"/>
      <c r="B6" s="89" t="n"/>
    </row>
    <row r="7">
      <c r="A7" s="81" t="n"/>
      <c r="B7" s="89" t="inlineStr">
        <is>
          <t>Awarded aid: The dollar amounts offered to financial aid applicants.</t>
        </is>
      </c>
    </row>
    <row r="8">
      <c r="A8" s="81" t="n"/>
      <c r="B8" s="89" t="inlineStr">
        <is>
          <t xml:space="preserve">Financial aid applicant: Any applicant who submits any one of the institutionally required financial aid applications/forms, such as the FAFSA. </t>
        </is>
      </c>
    </row>
    <row r="9">
      <c r="A9" s="81" t="n"/>
      <c r="B9" s="89" t="inlineStr">
        <is>
          <t>Indebtedness: 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is>
      </c>
    </row>
    <row r="10">
      <c r="A10" s="81" t="n"/>
      <c r="B10" s="89" t="inlineStr">
        <is>
          <t>Institutional scholarships and grants: Endowed scholarships, annual gifts and tuition funded grants for which the institution determines the recipient.</t>
        </is>
      </c>
    </row>
    <row r="11">
      <c r="A11" s="81" t="n"/>
      <c r="B11" s="89" t="inlineStr">
        <is>
          <t>Financial need: As determined by your institution using the federal methodology and/or your institution's own standards.</t>
        </is>
      </c>
    </row>
    <row r="12">
      <c r="A12" s="81" t="n"/>
      <c r="B12" s="89" t="inlineStr">
        <is>
          <t>Need-based aid: College-funded or college-administered award from institutional, state, federal, or other sources for which a student must have financial need to qualify. This includes both institutional and non-institutional student aid (grants, jobs, and loans).</t>
        </is>
      </c>
    </row>
    <row r="13">
      <c r="A13" s="81" t="n"/>
      <c r="B13" s="89" t="inlineStr">
        <is>
          <t>Need-based scholarship or grant aid: Scholarships and grants from institutional, state, federal, or other sources for which a student must have financial need to qualify.</t>
        </is>
      </c>
    </row>
    <row r="14">
      <c r="A14" s="81" t="n"/>
      <c r="B14" s="89" t="inlineStr">
        <is>
          <t>Need-based self-help aid: Loans and jobs from institutional, state, federal, or other sources for which a student must demonstrate financial need to qualify.</t>
        </is>
      </c>
    </row>
    <row r="15">
      <c r="A15" s="81" t="n"/>
      <c r="B15" s="89" t="inlineStr">
        <is>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is>
      </c>
    </row>
    <row r="16">
      <c r="A16" s="81" t="n"/>
      <c r="B16" s="86" t="inlineStr">
        <is>
          <t>Note: Suggested order of precedence for counting non-need money as need-based:</t>
        </is>
      </c>
    </row>
    <row r="17">
      <c r="A17" s="81" t="n"/>
      <c r="B17" s="89" t="n"/>
      <c r="C17" s="89" t="inlineStr">
        <is>
          <t>1. Non-need institutional grants</t>
        </is>
      </c>
      <c r="D17" s="89" t="inlineStr">
        <is>
          <t>6. Non-need outside grants</t>
        </is>
      </c>
      <c r="F17" s="89" t="n"/>
    </row>
    <row r="18">
      <c r="A18" s="81" t="n"/>
      <c r="B18" s="89" t="n"/>
      <c r="C18" s="89" t="inlineStr">
        <is>
          <t>2. Non-need tuition waivers</t>
        </is>
      </c>
      <c r="D18" s="89" t="inlineStr">
        <is>
          <t>7. Non-need student loans</t>
        </is>
      </c>
      <c r="F18" s="89" t="n"/>
    </row>
    <row r="19">
      <c r="A19" s="81" t="n"/>
      <c r="B19" s="89" t="n"/>
      <c r="C19" s="89" t="inlineStr">
        <is>
          <t>3. Non-need athletic awards</t>
        </is>
      </c>
      <c r="D19" s="89" t="inlineStr">
        <is>
          <t>8. Non-need parent loans</t>
        </is>
      </c>
      <c r="F19" s="89" t="n"/>
    </row>
    <row r="20">
      <c r="A20" s="81" t="n"/>
      <c r="B20" s="89" t="n"/>
      <c r="C20" s="89" t="inlineStr">
        <is>
          <t>4. Non-need federal grants</t>
        </is>
      </c>
      <c r="D20" s="89" t="inlineStr">
        <is>
          <t xml:space="preserve">9. Non-need work
</t>
        </is>
      </c>
      <c r="F20" s="89" t="n"/>
    </row>
    <row r="21">
      <c r="A21" s="81" t="n"/>
      <c r="B21" s="89" t="n"/>
      <c r="C21" s="89" t="inlineStr">
        <is>
          <t>5. Non-need state grants</t>
        </is>
      </c>
      <c r="D21" s="89" t="n"/>
      <c r="E21" s="89" t="n"/>
      <c r="F21" s="89" t="n"/>
    </row>
    <row r="22">
      <c r="A22" s="81" t="n"/>
      <c r="B22" s="89" t="inlineStr">
        <is>
          <t>Non-need-based self-help aid: Loans and jobs from institutional, state, or other sources for which a student need not demonstrate financial need to qualify.</t>
        </is>
      </c>
    </row>
    <row r="23">
      <c r="A23" s="81" t="n"/>
      <c r="B23" s="89" t="inlineStr">
        <is>
          <t>Private student loans: A nonfederal loan made by a lender such as a bank, credit union or private lender used to pay for up to the annual cost of education, less any financial aid received.</t>
        </is>
      </c>
    </row>
    <row r="24">
      <c r="A24" s="81" t="n"/>
      <c r="B24" s="89" t="inlineStr">
        <is>
          <t>External scholarships and grants: Scholarships and grants received from outside (private) sources that students bring with them (e.g., Kiwanis, National Merit scholarships). The institution may process paperwork to receive the dollars, but it has no role in determining the recipient or the dollar amount awarded.</t>
        </is>
      </c>
    </row>
    <row r="25">
      <c r="A25" s="81" t="n"/>
      <c r="B25" s="89" t="inlineStr">
        <is>
          <t>Work study and employment: Federal and state work study aid, and any employment packaged by your institution in financial aid awards.</t>
        </is>
      </c>
    </row>
    <row r="26">
      <c r="A26" s="81" t="n"/>
      <c r="B26" s="89" t="n"/>
      <c r="C26" s="89" t="n"/>
      <c r="D26" s="89" t="n"/>
      <c r="E26" s="89" t="n"/>
      <c r="F26" s="89" t="n"/>
    </row>
    <row r="27">
      <c r="A27" s="81" t="n"/>
      <c r="B27" s="90" t="n"/>
    </row>
    <row r="28"/>
    <row r="29"/>
    <row r="30"/>
    <row r="31"/>
    <row r="32"/>
    <row r="33"/>
    <row r="34"/>
    <row r="35"/>
    <row r="36"/>
    <row r="37"/>
    <row r="38"/>
    <row r="39"/>
    <row r="40"/>
    <row r="41"/>
    <row r="42"/>
    <row r="43"/>
    <row r="44"/>
    <row r="45"/>
    <row r="46" ht="24" customHeight="1" s="87"/>
    <row r="47" ht="18" customHeight="1" s="87"/>
    <row r="48">
      <c r="A48" t="inlineStr">
        <is>
          <t>H101</t>
        </is>
      </c>
      <c r="B48" t="inlineStr">
        <is>
          <t>2024-2025</t>
        </is>
      </c>
    </row>
    <row r="49">
      <c r="A49" t="inlineStr">
        <is>
          <t>H102</t>
        </is>
      </c>
      <c r="B49" t="inlineStr">
        <is>
          <t>2023-2024 Final</t>
        </is>
      </c>
      <c r="C49" t="inlineStr">
        <is>
          <t>x</t>
        </is>
      </c>
    </row>
    <row r="50"/>
    <row r="51"/>
    <row r="52"/>
    <row r="53"/>
    <row r="54"/>
    <row r="55">
      <c r="A55" t="inlineStr">
        <is>
          <t>H103</t>
        </is>
      </c>
      <c r="B55" t="inlineStr">
        <is>
          <t>Federal methodology (FM)</t>
        </is>
      </c>
      <c r="C55" t="inlineStr">
        <is>
          <t>x</t>
        </is>
      </c>
    </row>
    <row r="56">
      <c r="A56" t="inlineStr">
        <is>
          <t>H104</t>
        </is>
      </c>
      <c r="B56" t="inlineStr">
        <is>
          <t>Institutional methodology (IM)</t>
        </is>
      </c>
    </row>
    <row r="57">
      <c r="A57" t="inlineStr">
        <is>
          <t>H105</t>
        </is>
      </c>
      <c r="B57" t="inlineStr">
        <is>
          <t>Both FM and IM</t>
        </is>
      </c>
    </row>
    <row r="58"/>
    <row r="59"/>
    <row r="60"/>
    <row r="61" ht="36.6" customHeight="1" s="87"/>
    <row r="62">
      <c r="B62" s="27" t="inlineStr">
        <is>
          <t>Scholarships/Grants</t>
        </is>
      </c>
    </row>
    <row r="63" ht="18" customHeight="1" s="87">
      <c r="A63" t="inlineStr">
        <is>
          <t>H106</t>
        </is>
      </c>
      <c r="B63" s="27" t="inlineStr">
        <is>
          <t>Federal</t>
        </is>
      </c>
      <c r="C63" s="96" t="n">
        <v>51468287</v>
      </c>
    </row>
    <row r="64" ht="30" customHeight="1" s="87">
      <c r="A64" t="inlineStr">
        <is>
          <t>H107</t>
        </is>
      </c>
      <c r="B64" s="2" t="inlineStr">
        <is>
          <t>State all states, not only the state in which your institution is located</t>
        </is>
      </c>
      <c r="C64" s="96" t="n">
        <v>75886993</v>
      </c>
    </row>
    <row r="65" ht="75" customHeight="1" s="87">
      <c r="A65" t="inlineStr">
        <is>
          <t>H108</t>
        </is>
      </c>
      <c r="B65" s="2" t="inlineStr">
        <is>
          <t>Institutional: Endowed scholarships, annual gifts and tuition funded grants, awarded by the college, excluding athletic aid and tuition waivers (which are reported below).</t>
        </is>
      </c>
      <c r="C65" s="96" t="n">
        <v>144877248</v>
      </c>
    </row>
    <row r="66" ht="45" customHeight="1" s="87">
      <c r="A66" t="inlineStr">
        <is>
          <t>H109</t>
        </is>
      </c>
      <c r="B66" s="2" t="inlineStr">
        <is>
          <t>Scholarships/grants from external sources (e.g. Kiwanis, National Merit) not awarded by the college</t>
        </is>
      </c>
      <c r="C66" s="96" t="n">
        <v>8882690</v>
      </c>
    </row>
    <row r="67" ht="18" customHeight="1" s="87">
      <c r="A67" t="inlineStr">
        <is>
          <t>H110</t>
        </is>
      </c>
      <c r="B67" s="27" t="inlineStr">
        <is>
          <t>Total Scholarships/Grants</t>
        </is>
      </c>
      <c r="C67" s="97">
        <f>SUM(C63:C66)</f>
        <v/>
      </c>
    </row>
    <row r="68" ht="18" customHeight="1" s="87">
      <c r="B68" s="27" t="inlineStr">
        <is>
          <t>Self-Help</t>
        </is>
      </c>
      <c r="C68" s="98" t="n"/>
    </row>
    <row r="69" ht="30" customHeight="1" s="87">
      <c r="A69" t="inlineStr">
        <is>
          <t>H111</t>
        </is>
      </c>
      <c r="B69" s="2" t="inlineStr">
        <is>
          <t>Student loans from all sources (excluding parent loans)</t>
        </is>
      </c>
      <c r="C69" s="96" t="n">
        <v>55446433</v>
      </c>
    </row>
    <row r="70">
      <c r="A70" t="inlineStr">
        <is>
          <t>H112</t>
        </is>
      </c>
      <c r="B70" s="2" t="inlineStr">
        <is>
          <t>Federal Work-Study</t>
        </is>
      </c>
      <c r="C70" s="96" t="n">
        <v>3746256</v>
      </c>
    </row>
    <row r="71" ht="45" customHeight="1" s="87">
      <c r="A71" t="inlineStr">
        <is>
          <t>H113</t>
        </is>
      </c>
      <c r="B71" s="2" t="inlineStr">
        <is>
          <t>State and other (e.g., institutional) work-study/employment (Note: Excludes Federal Work-Study captured above.)</t>
        </is>
      </c>
      <c r="C71" s="96" t="n">
        <v>12808858</v>
      </c>
    </row>
    <row r="72" ht="18" customHeight="1" s="87">
      <c r="A72" t="inlineStr">
        <is>
          <t>H114</t>
        </is>
      </c>
      <c r="B72" s="27" t="inlineStr">
        <is>
          <t>Total Self-Help</t>
        </is>
      </c>
      <c r="C72" s="97">
        <f>SUM(C69:C71)</f>
        <v/>
      </c>
    </row>
    <row r="73" ht="18" customHeight="1" s="87">
      <c r="A73" t="inlineStr">
        <is>
          <t>H115</t>
        </is>
      </c>
      <c r="B73" s="27" t="inlineStr">
        <is>
          <t>Parent Loans</t>
        </is>
      </c>
      <c r="C73" s="96" t="n">
        <v>42177814</v>
      </c>
    </row>
    <row r="74" ht="75" customHeight="1" s="87">
      <c r="A74" t="inlineStr">
        <is>
          <t>H116</t>
        </is>
      </c>
      <c r="B74" s="2" t="inlineStr">
        <is>
          <t>Tuition Waivers
Note: Reporting is optional. Report tuition waivers in this row if you choose to report them. Do not report tuition waivers elsewhere.</t>
        </is>
      </c>
      <c r="C74" s="96" t="n">
        <v>14710789</v>
      </c>
    </row>
    <row r="75" ht="18" customHeight="1" s="87">
      <c r="A75" t="inlineStr">
        <is>
          <t>H117</t>
        </is>
      </c>
      <c r="B75" s="27" t="inlineStr">
        <is>
          <t>Athletic Awards</t>
        </is>
      </c>
      <c r="C75" s="96" t="n">
        <v>4897897</v>
      </c>
    </row>
    <row r="76">
      <c r="B76" s="2" t="n"/>
    </row>
    <row r="77" ht="38.45" customHeight="1" s="87"/>
    <row r="78">
      <c r="B78" s="27" t="inlineStr">
        <is>
          <t>Scholarships/Grants</t>
        </is>
      </c>
    </row>
    <row r="79" ht="18" customHeight="1" s="87">
      <c r="A79" t="inlineStr">
        <is>
          <t>H118</t>
        </is>
      </c>
      <c r="B79" s="27" t="inlineStr">
        <is>
          <t>Federal</t>
        </is>
      </c>
      <c r="C79" s="99" t="n">
        <v>827109.48</v>
      </c>
    </row>
    <row r="80" ht="30" customHeight="1" s="87">
      <c r="A80" t="inlineStr">
        <is>
          <t>H119</t>
        </is>
      </c>
      <c r="B80" s="2" t="inlineStr">
        <is>
          <t>State all states, not only the state in which your institution is located</t>
        </is>
      </c>
      <c r="C80" s="100" t="n">
        <v>1721041.08</v>
      </c>
    </row>
    <row r="81" ht="75" customHeight="1" s="87">
      <c r="A81" t="inlineStr">
        <is>
          <t>H120</t>
        </is>
      </c>
      <c r="B81" s="2" t="inlineStr">
        <is>
          <t>Institutional: Endowed scholarships, annual gifts and tuition funded grants, awarded by the college, excluding athletic aid and tuition waivers (which are reported below).</t>
        </is>
      </c>
      <c r="C81" s="100" t="n">
        <v>19742761.33</v>
      </c>
    </row>
    <row r="82" ht="45" customHeight="1" s="87">
      <c r="A82" t="inlineStr">
        <is>
          <t>H121</t>
        </is>
      </c>
      <c r="B82" s="2" t="inlineStr">
        <is>
          <t>Scholarships/grants from external sources (e.g. Kiwanis, National Merit) not awarded by the college</t>
        </is>
      </c>
      <c r="C82" s="100" t="n">
        <v>3933396.97</v>
      </c>
    </row>
    <row r="83">
      <c r="A83" t="inlineStr">
        <is>
          <t>H122</t>
        </is>
      </c>
      <c r="B83" s="27" t="inlineStr">
        <is>
          <t>Total Scholarships/Grants</t>
        </is>
      </c>
      <c r="C83" s="101">
        <f>SUM(C79:C82)</f>
        <v/>
      </c>
    </row>
    <row r="84" ht="18" customHeight="1" s="87">
      <c r="B84" s="27" t="inlineStr">
        <is>
          <t>Self-Help</t>
        </is>
      </c>
      <c r="C84" s="98" t="n"/>
    </row>
    <row r="85" ht="30" customHeight="1" s="87">
      <c r="A85" t="inlineStr">
        <is>
          <t>H123</t>
        </is>
      </c>
      <c r="B85" s="2" t="inlineStr">
        <is>
          <t>Student loans from all sources (excluding parent loans)</t>
        </is>
      </c>
      <c r="C85" s="100" t="n">
        <v>20520027.5</v>
      </c>
    </row>
    <row r="86">
      <c r="B86" s="2" t="inlineStr">
        <is>
          <t>Federal Work-Study</t>
        </is>
      </c>
      <c r="C86" s="98" t="n"/>
    </row>
    <row r="87" ht="45" customHeight="1" s="87">
      <c r="A87" t="inlineStr">
        <is>
          <t>H124</t>
        </is>
      </c>
      <c r="B87" s="2" t="inlineStr">
        <is>
          <t>State and other (e.g., institutional) work-study/employment (Note: Excludes Federal Work-Study captured above.)</t>
        </is>
      </c>
      <c r="C87" s="100" t="n">
        <v>15713124.88</v>
      </c>
    </row>
    <row r="88" ht="18" customHeight="1" s="87">
      <c r="A88" t="inlineStr">
        <is>
          <t>H125</t>
        </is>
      </c>
      <c r="B88" s="27" t="inlineStr">
        <is>
          <t>Total Self-Help</t>
        </is>
      </c>
      <c r="C88" s="102">
        <f>SUM(C85:C87)</f>
        <v/>
      </c>
    </row>
    <row r="89" ht="18" customHeight="1" s="87">
      <c r="A89" t="inlineStr">
        <is>
          <t>H126</t>
        </is>
      </c>
      <c r="B89" s="27" t="inlineStr">
        <is>
          <t>Parent Loans</t>
        </is>
      </c>
      <c r="C89" s="100" t="n">
        <v>19957286</v>
      </c>
    </row>
    <row r="90" ht="75" customHeight="1" s="87">
      <c r="A90" t="inlineStr">
        <is>
          <t>H127</t>
        </is>
      </c>
      <c r="B90" s="2" t="inlineStr">
        <is>
          <t>Tuition Waivers
Note: Reporting is optional. Report tuition waivers in this row if you choose to report them. Do not report tuition waivers elsewhere.</t>
        </is>
      </c>
      <c r="C90" s="100" t="n">
        <v>9363329</v>
      </c>
    </row>
    <row r="91" ht="18" customHeight="1" s="87">
      <c r="A91" t="inlineStr">
        <is>
          <t>H128</t>
        </is>
      </c>
      <c r="B91" s="27" t="inlineStr">
        <is>
          <t>Athletic Awards</t>
        </is>
      </c>
      <c r="C91" s="100" t="n">
        <v>9021050</v>
      </c>
    </row>
    <row r="92">
      <c r="B92" s="2" t="n"/>
      <c r="C92" s="103" t="n"/>
    </row>
    <row r="93">
      <c r="C93" s="103" t="n"/>
    </row>
    <row r="94"/>
    <row r="95"/>
    <row r="96"/>
    <row r="97"/>
    <row r="98"/>
    <row r="99"/>
    <row r="100"/>
    <row r="101"/>
    <row r="102"/>
    <row r="103"/>
    <row r="104"/>
    <row r="105"/>
    <row r="106"/>
    <row r="107" ht="18" customHeight="1" s="87"/>
    <row r="108" ht="47.25" customHeight="1" s="87">
      <c r="A108" t="inlineStr">
        <is>
          <t>H201</t>
        </is>
      </c>
      <c r="B108" s="2" t="inlineStr">
        <is>
          <t>A. Number of degree-seeking undergraduate students (CDS Item B1 if reporting on Fall 2024 cohort)</t>
        </is>
      </c>
      <c r="C108" s="50" t="n">
        <v>8316</v>
      </c>
    </row>
    <row r="109" ht="30" customHeight="1" s="87">
      <c r="A109" t="inlineStr">
        <is>
          <t>H202</t>
        </is>
      </c>
      <c r="B109" s="2" t="inlineStr">
        <is>
          <t>B. Number of students in line a who applied for need-based financial aid</t>
        </is>
      </c>
      <c r="C109" s="50" t="n">
        <v>6618</v>
      </c>
    </row>
    <row r="110" ht="30" customHeight="1" s="87">
      <c r="A110" t="inlineStr">
        <is>
          <t>H203</t>
        </is>
      </c>
      <c r="B110" s="2" t="inlineStr">
        <is>
          <t>C. Number of students in line b who were determined to have financial need</t>
        </is>
      </c>
      <c r="C110" s="50" t="n">
        <v>3942</v>
      </c>
    </row>
    <row r="111" ht="30" customHeight="1" s="87">
      <c r="A111" t="inlineStr">
        <is>
          <t>H204</t>
        </is>
      </c>
      <c r="B111" s="2" t="inlineStr">
        <is>
          <t>D. Number of students in line c who were awarded any financial aid</t>
        </is>
      </c>
      <c r="C111" s="50" t="n">
        <v>3744</v>
      </c>
    </row>
    <row r="112" ht="47.25" customHeight="1" s="87">
      <c r="A112" t="inlineStr">
        <is>
          <t>H205</t>
        </is>
      </c>
      <c r="B112" s="2" t="inlineStr">
        <is>
          <t>E. Number of students in line d who were awarded any need-based scholarship or grant aid</t>
        </is>
      </c>
      <c r="C112" s="50" t="n">
        <v>3490</v>
      </c>
    </row>
    <row r="113" ht="30" customHeight="1" s="87">
      <c r="A113" t="inlineStr">
        <is>
          <t>H206</t>
        </is>
      </c>
      <c r="B113" s="2" t="inlineStr">
        <is>
          <t>F. Number of students in line d who were awarded any need-based self-help aid</t>
        </is>
      </c>
      <c r="C113" s="50" t="n">
        <v>2198</v>
      </c>
    </row>
    <row r="114" ht="48" customHeight="1" s="87">
      <c r="A114" t="inlineStr">
        <is>
          <t>H207</t>
        </is>
      </c>
      <c r="B114" s="2" t="inlineStr">
        <is>
          <t>G. Number of students in line d who were awarded any non-need-based scholarship or grant aid</t>
        </is>
      </c>
      <c r="C114" s="50" t="n">
        <v>999</v>
      </c>
    </row>
    <row r="115" ht="44.25" customHeight="1" s="87">
      <c r="A115" t="inlineStr">
        <is>
          <t>H208</t>
        </is>
      </c>
      <c r="B115" s="2" t="inlineStr">
        <is>
          <t>H. Number of students in line d whose need was fully met (exclude PLUS loans, unsubsidized loans, and private alternative loans)</t>
        </is>
      </c>
      <c r="C115" s="50" t="n">
        <v>909</v>
      </c>
    </row>
    <row r="116" ht="15.6" customHeight="1" s="87">
      <c r="B116" s="2" t="n"/>
    </row>
    <row r="117" ht="108" customHeight="1" s="87">
      <c r="A117" t="inlineStr">
        <is>
          <t>H209</t>
        </is>
      </c>
      <c r="B117" s="2" t="inlineStr">
        <is>
          <t>I. On average, the percentage of need that was met of students who were awarded any need-based aid. Exclude any aid that was awarded in excess of need as well as any resources that were awarded to replace EFC (PLUS loans, unsubsidized loans, and private alternative loans)</t>
        </is>
      </c>
      <c r="C117" s="78" t="n">
        <v>0.78</v>
      </c>
    </row>
    <row r="118">
      <c r="B118" s="2" t="n"/>
    </row>
    <row r="119" ht="75" customHeight="1" s="87">
      <c r="A119" t="inlineStr">
        <is>
          <t>H210</t>
        </is>
      </c>
      <c r="B119" s="2" t="inlineStr">
        <is>
          <t>J. The average financial aid package of those in line d. Exclude any resources that were awarded to replace EFC (PLUS loans, unsubsidized loans, and private alternative loans)</t>
        </is>
      </c>
      <c r="C119" s="104" t="n">
        <v>23526</v>
      </c>
    </row>
    <row r="120" ht="30" customHeight="1" s="87">
      <c r="A120" t="inlineStr">
        <is>
          <t>H211</t>
        </is>
      </c>
      <c r="B120" s="2" t="inlineStr">
        <is>
          <t>K. Average need-based scholarship and grant award of those in line e</t>
        </is>
      </c>
      <c r="C120" s="104" t="n">
        <v>22804</v>
      </c>
    </row>
    <row r="121" ht="60" customHeight="1" s="87">
      <c r="A121" t="inlineStr">
        <is>
          <t>H212</t>
        </is>
      </c>
      <c r="B121" s="2" t="inlineStr">
        <is>
          <t>L. Average need-based self-help award (excluding PLUS loans, unsubsidized loans, and private alternative loans) of those in line f</t>
        </is>
      </c>
      <c r="C121" s="104" t="n">
        <v>4032</v>
      </c>
    </row>
    <row r="122" ht="58.5" customHeight="1" s="87">
      <c r="A122" t="inlineStr">
        <is>
          <t>H213</t>
        </is>
      </c>
      <c r="B122" s="2" t="inlineStr">
        <is>
          <t>M. Average need-based loan (excluding PLUS loans, unsubsidized loans, and private alternative loans) of those in line f who were awarded a need-based loan</t>
        </is>
      </c>
      <c r="C122" s="104" t="n">
        <v>3555</v>
      </c>
    </row>
    <row r="123">
      <c r="B123" s="2" t="n"/>
    </row>
    <row r="124">
      <c r="B124" s="2" t="n"/>
    </row>
    <row r="125"/>
    <row r="126" ht="45" customHeight="1" s="87">
      <c r="A126" t="inlineStr">
        <is>
          <t>H214</t>
        </is>
      </c>
      <c r="B126" s="2" t="inlineStr">
        <is>
          <t>A. Number of degree-seeking undergraduate students (CDS Item B1 if reporting on Fall 2024 cohort)</t>
        </is>
      </c>
      <c r="C126" s="50" t="n">
        <v>33994</v>
      </c>
    </row>
    <row r="127" ht="30" customHeight="1" s="87">
      <c r="A127" t="inlineStr">
        <is>
          <t>H215</t>
        </is>
      </c>
      <c r="B127" s="2" t="inlineStr">
        <is>
          <t>B. Number of students in line a who applied for need-based financial aid</t>
        </is>
      </c>
      <c r="C127" s="50" t="n">
        <v>21534</v>
      </c>
    </row>
    <row r="128" ht="30" customHeight="1" s="87">
      <c r="A128" t="inlineStr">
        <is>
          <t>H216</t>
        </is>
      </c>
      <c r="B128" s="2" t="inlineStr">
        <is>
          <t>C. Number of students in line b who were determined to have financial need</t>
        </is>
      </c>
      <c r="C128" s="50" t="n">
        <v>15331</v>
      </c>
    </row>
    <row r="129" ht="30" customHeight="1" s="87">
      <c r="A129" t="inlineStr">
        <is>
          <t>H217</t>
        </is>
      </c>
      <c r="B129" s="2" t="inlineStr">
        <is>
          <t>D. Number of students in line c who were awarded any financial aid</t>
        </is>
      </c>
      <c r="C129" s="50" t="n">
        <v>14731</v>
      </c>
    </row>
    <row r="130" ht="40.5" customHeight="1" s="87">
      <c r="A130" t="inlineStr">
        <is>
          <t>H218</t>
        </is>
      </c>
      <c r="B130" s="2" t="inlineStr">
        <is>
          <t>E. Number of students in line d who were awarded any need-based scholarship or grant aid</t>
        </is>
      </c>
      <c r="C130" s="50" t="n">
        <v>13568</v>
      </c>
    </row>
    <row r="131" ht="30" customHeight="1" s="87">
      <c r="A131" t="inlineStr">
        <is>
          <t>H219</t>
        </is>
      </c>
      <c r="B131" s="2" t="inlineStr">
        <is>
          <t>F. Number of students in line d who were awarded any need-based self-help aid</t>
        </is>
      </c>
      <c r="C131" s="50" t="n">
        <v>9648</v>
      </c>
    </row>
    <row r="132" ht="45" customHeight="1" s="87">
      <c r="A132" t="inlineStr">
        <is>
          <t>H220</t>
        </is>
      </c>
      <c r="B132" s="2" t="inlineStr">
        <is>
          <t>G. Number of students in line d who were awarded any non-need-based scholarship or grant aid</t>
        </is>
      </c>
      <c r="C132" s="50" t="n">
        <v>2403</v>
      </c>
    </row>
    <row r="133" ht="15.6" customHeight="1" s="87">
      <c r="A133" t="inlineStr">
        <is>
          <t>H221</t>
        </is>
      </c>
      <c r="B133" s="2" t="inlineStr">
        <is>
          <t>H. Number of students in line d whose need was fully met (exclude PLUS loans, unsubsidized loans, and private alternative loans)</t>
        </is>
      </c>
      <c r="C133" s="50" t="n">
        <v>2734</v>
      </c>
    </row>
    <row r="134" ht="15.6" customHeight="1" s="87">
      <c r="B134" s="2" t="n"/>
    </row>
    <row r="135" ht="105" customHeight="1" s="87">
      <c r="A135" t="inlineStr">
        <is>
          <t>H222</t>
        </is>
      </c>
      <c r="B135" s="2" t="inlineStr">
        <is>
          <t>I. On average, the percentage of need that was met of students who were awarded any need-based aid. Exclude any aid that was awarded in excess of need as well as any resources that were awarded to replace EFC (PLUS loans, unsubsidized loans, and private alternative loans)</t>
        </is>
      </c>
      <c r="C135" s="78" t="n">
        <v>0.77</v>
      </c>
    </row>
    <row r="136">
      <c r="B136" s="2" t="n"/>
    </row>
    <row r="137" ht="75" customHeight="1" s="87">
      <c r="A137" t="inlineStr">
        <is>
          <t>H223</t>
        </is>
      </c>
      <c r="B137" s="2" t="inlineStr">
        <is>
          <t>J. The average financial aid package of those in line d. Exclude any resources that were awarded to replace EFC (PLUS loans, unsubsidized loans, and private alternative loans)</t>
        </is>
      </c>
      <c r="C137" s="104" t="n">
        <v>23217</v>
      </c>
    </row>
    <row r="138" ht="30" customHeight="1" s="87">
      <c r="A138" t="inlineStr">
        <is>
          <t>H224</t>
        </is>
      </c>
      <c r="B138" s="2" t="inlineStr">
        <is>
          <t>K. Average need-based scholarship and grant award of those in line e</t>
        </is>
      </c>
      <c r="C138" s="104" t="n">
        <v>21943</v>
      </c>
    </row>
    <row r="139" ht="60" customHeight="1" s="87">
      <c r="A139" t="inlineStr">
        <is>
          <t>H225</t>
        </is>
      </c>
      <c r="B139" s="2" t="inlineStr">
        <is>
          <t>L. Average need-based self-help award (excluding PLUS loans, unsubsidized loans, and private alternative loans) of those in line f</t>
        </is>
      </c>
      <c r="C139" s="104" t="n">
        <v>4688</v>
      </c>
    </row>
    <row r="140" ht="60" customHeight="1" s="87">
      <c r="A140" t="inlineStr">
        <is>
          <t>H226</t>
        </is>
      </c>
      <c r="B140" s="2" t="inlineStr">
        <is>
          <t>M. Average need-based loan (excluding PLUS loans, unsubsidized loans, and private alternative loans) of those in line f who were awarded a need-based loan</t>
        </is>
      </c>
      <c r="C140" s="104" t="n">
        <v>4272</v>
      </c>
    </row>
    <row r="141">
      <c r="B141" s="2" t="n"/>
    </row>
    <row r="142">
      <c r="B142" s="2" t="n"/>
    </row>
    <row r="143"/>
    <row r="144" ht="45" customHeight="1" s="87">
      <c r="A144" t="inlineStr">
        <is>
          <t>H227</t>
        </is>
      </c>
      <c r="B144" s="2" t="inlineStr">
        <is>
          <t>A. Number of degree-seeking undergraduate students (CDS Item B1 if reporting on Fall 2024 cohort)</t>
        </is>
      </c>
      <c r="C144" s="50" t="n">
        <v>629</v>
      </c>
    </row>
    <row r="145" ht="30" customHeight="1" s="87">
      <c r="A145" t="inlineStr">
        <is>
          <t>H228</t>
        </is>
      </c>
      <c r="B145" s="2" t="inlineStr">
        <is>
          <t>B. Number of students in line a who applied for need-based financial aid</t>
        </is>
      </c>
      <c r="C145" s="50" t="n">
        <v>226</v>
      </c>
    </row>
    <row r="146" ht="30" customHeight="1" s="87">
      <c r="A146" t="inlineStr">
        <is>
          <t>H229</t>
        </is>
      </c>
      <c r="B146" s="2" t="inlineStr">
        <is>
          <t>C. Number of students in line b who were determined to have financial need</t>
        </is>
      </c>
      <c r="C146" s="50" t="n">
        <v>169</v>
      </c>
    </row>
    <row r="147" ht="30" customHeight="1" s="87">
      <c r="A147" t="inlineStr">
        <is>
          <t>H230</t>
        </is>
      </c>
      <c r="B147" s="2" t="inlineStr">
        <is>
          <t>D. Number of students in line c who were awarded any financial aid</t>
        </is>
      </c>
      <c r="C147" s="50" t="n">
        <v>148</v>
      </c>
    </row>
    <row r="148" ht="45" customHeight="1" s="87">
      <c r="A148" t="inlineStr">
        <is>
          <t>H231</t>
        </is>
      </c>
      <c r="B148" s="2" t="inlineStr">
        <is>
          <t>E. Number of students in line d who were awarded any need-based scholarship or grant aid</t>
        </is>
      </c>
      <c r="C148" s="50" t="n">
        <v>136</v>
      </c>
    </row>
    <row r="149" ht="30" customHeight="1" s="87">
      <c r="A149" t="inlineStr">
        <is>
          <t>H232</t>
        </is>
      </c>
      <c r="B149" s="2" t="inlineStr">
        <is>
          <t>F. Number of students in line d who were awarded any need-based self-help aid</t>
        </is>
      </c>
      <c r="C149" s="50" t="n">
        <v>62</v>
      </c>
    </row>
    <row r="150" ht="45" customHeight="1" s="87">
      <c r="A150" t="inlineStr">
        <is>
          <t>H233</t>
        </is>
      </c>
      <c r="B150" s="2" t="inlineStr">
        <is>
          <t>G. Number of students in line d who were awarded any non-need-based scholarship or grant aid</t>
        </is>
      </c>
      <c r="C150" s="50" t="n">
        <v>15</v>
      </c>
    </row>
    <row r="151" ht="60" customHeight="1" s="87">
      <c r="A151" t="inlineStr">
        <is>
          <t>H234</t>
        </is>
      </c>
      <c r="B151" s="2" t="inlineStr">
        <is>
          <t>H. Number of students in line d whose need was fully met (exclude PLUS loans, unsubsidized loans, and private alternative loans)</t>
        </is>
      </c>
      <c r="C151" s="50" t="n">
        <v>35</v>
      </c>
    </row>
    <row r="152" ht="15.6" customHeight="1" s="87">
      <c r="B152" s="2" t="n"/>
    </row>
    <row r="153" ht="105" customHeight="1" s="87">
      <c r="A153" t="inlineStr">
        <is>
          <t>H235</t>
        </is>
      </c>
      <c r="B153" s="2" t="inlineStr">
        <is>
          <t>I. On average, the percentage of need that was met of students who were awarded any need-based aid. Exclude any aid that was awarded in excess of need as well as any resources that were awarded to replace EFC (PLUS loans, unsubsidized loans, and private alternative loans)</t>
        </is>
      </c>
      <c r="C153" s="78" t="n">
        <v>0.63</v>
      </c>
    </row>
    <row r="154">
      <c r="B154" s="2" t="n"/>
    </row>
    <row r="155" ht="75" customHeight="1" s="87">
      <c r="A155" t="inlineStr">
        <is>
          <t>H236</t>
        </is>
      </c>
      <c r="B155" s="2" t="inlineStr">
        <is>
          <t>J. The average financial aid package of those in line d. Exclude any resources that were awarded to replace EFC (PLUS loans, unsubsidized loans, and private alternative loans)</t>
        </is>
      </c>
      <c r="C155" s="104" t="n">
        <v>16509</v>
      </c>
    </row>
    <row r="156" ht="30" customHeight="1" s="87">
      <c r="A156" t="inlineStr">
        <is>
          <t>H237</t>
        </is>
      </c>
      <c r="B156" s="2" t="inlineStr">
        <is>
          <t>K. Average need-based scholarship and grant award of those in line e</t>
        </is>
      </c>
      <c r="C156" s="104" t="n">
        <v>16223</v>
      </c>
    </row>
    <row r="157" ht="60" customHeight="1" s="87">
      <c r="A157" t="inlineStr">
        <is>
          <t>H238</t>
        </is>
      </c>
      <c r="B157" s="2" t="inlineStr">
        <is>
          <t>L. Average need-based self-help award (excluding PLUS loans, unsubsidized loans, and private alternative loans) of those in line f</t>
        </is>
      </c>
      <c r="C157" s="104" t="n">
        <v>3868</v>
      </c>
    </row>
    <row r="158" ht="60" customHeight="1" s="87">
      <c r="A158" t="inlineStr">
        <is>
          <t>H239</t>
        </is>
      </c>
      <c r="B158" s="2" t="inlineStr">
        <is>
          <t>M. Average need-based loan (excluding PLUS loans, unsubsidized loans, and private alternative loans) of those in line f who were awarded a need-based loan</t>
        </is>
      </c>
      <c r="C158" s="104" t="n">
        <v>3530</v>
      </c>
    </row>
    <row r="159"/>
    <row r="160"/>
    <row r="161"/>
    <row r="162"/>
    <row r="163"/>
    <row r="164">
      <c r="B164" s="2" t="n"/>
    </row>
    <row r="165">
      <c r="B165" s="2" t="n"/>
    </row>
    <row r="166"/>
    <row r="167"/>
    <row r="168"/>
    <row r="169"/>
    <row r="170"/>
    <row r="171"/>
    <row r="172"/>
    <row r="173">
      <c r="B173" s="2" t="n"/>
    </row>
    <row r="174"/>
    <row r="175" ht="73.5" customHeight="1" s="87">
      <c r="A175" t="inlineStr">
        <is>
          <t>H2A01</t>
        </is>
      </c>
      <c r="B175" s="2" t="inlineStr">
        <is>
          <t>N. Number of students in line a who had no financial need and who were awarded institutional non-need-based scholarship or grant aid (exclude those who were awarded athletic awards and tuition benefits)</t>
        </is>
      </c>
      <c r="C175" t="n">
        <v>1045</v>
      </c>
    </row>
    <row r="176">
      <c r="B176" s="2" t="n"/>
    </row>
    <row r="177" ht="45" customHeight="1" s="87">
      <c r="A177" t="inlineStr">
        <is>
          <t>H2A02</t>
        </is>
      </c>
      <c r="B177" s="2" t="inlineStr">
        <is>
          <t>O. Average dollar amount of institutional non-need-based scholarship and grant aid awarded to students in line n</t>
        </is>
      </c>
      <c r="C177" t="n">
        <v>5756</v>
      </c>
    </row>
    <row r="178">
      <c r="B178" s="2" t="n"/>
    </row>
    <row r="179" ht="45" customHeight="1" s="87">
      <c r="A179" t="inlineStr">
        <is>
          <t>H2A03</t>
        </is>
      </c>
      <c r="B179" s="2" t="inlineStr">
        <is>
          <t>P. Number of students in line a who were awarded an institutional non-need-based athletic scholarship or grant</t>
        </is>
      </c>
      <c r="C179" t="n">
        <v>46</v>
      </c>
    </row>
    <row r="180">
      <c r="B180" s="2" t="n"/>
    </row>
    <row r="181" ht="45" customHeight="1" s="87">
      <c r="A181" t="inlineStr">
        <is>
          <t>H2A04</t>
        </is>
      </c>
      <c r="B181" s="2" t="inlineStr">
        <is>
          <t>Q. Average dollar amount of institutional non-need-based athletic scholarships and grants awarded to students in line p</t>
        </is>
      </c>
      <c r="C181" t="n">
        <v>35710</v>
      </c>
    </row>
    <row r="182">
      <c r="B182" s="2" t="n"/>
    </row>
    <row r="183" ht="18" customHeight="1" s="87"/>
    <row r="184" ht="90" customHeight="1" s="87">
      <c r="A184" t="inlineStr">
        <is>
          <t>H2A05</t>
        </is>
      </c>
      <c r="B184" s="2" t="inlineStr">
        <is>
          <t>N. Number of students in line a who had no financial need and who were awarded institutional non-need-based scholarship or grant aid (exclude those who were awarded athletic awards and tuition benefits)</t>
        </is>
      </c>
      <c r="C184" t="n">
        <v>4335</v>
      </c>
    </row>
    <row r="185">
      <c r="B185" s="2" t="n"/>
    </row>
    <row r="186" ht="45" customHeight="1" s="87">
      <c r="A186" t="inlineStr">
        <is>
          <t>H2A06</t>
        </is>
      </c>
      <c r="B186" s="2" t="inlineStr">
        <is>
          <t>O. Average dollar amount of institutional non-need-based scholarship and grant aid awarded to students in line n</t>
        </is>
      </c>
      <c r="C186" t="n">
        <v>6348</v>
      </c>
    </row>
    <row r="187">
      <c r="B187" s="2" t="n"/>
    </row>
    <row r="188" ht="45" customHeight="1" s="87">
      <c r="A188" t="inlineStr">
        <is>
          <t>H2A07</t>
        </is>
      </c>
      <c r="B188" s="2" t="inlineStr">
        <is>
          <t>P. Number of students in line a who were awarded an institutional non-need-based athletic scholarship or grant</t>
        </is>
      </c>
      <c r="C188" t="n">
        <v>266</v>
      </c>
    </row>
    <row r="189">
      <c r="B189" s="2" t="n"/>
    </row>
    <row r="190" ht="45" customHeight="1" s="87">
      <c r="A190" t="inlineStr">
        <is>
          <t>H2A08</t>
        </is>
      </c>
      <c r="B190" s="2" t="inlineStr">
        <is>
          <t>Q. Average dollar amount of institutional non-need-based athletic scholarships and grants awarded to students in line p</t>
        </is>
      </c>
      <c r="C190" t="n">
        <v>33921</v>
      </c>
    </row>
    <row r="191">
      <c r="B191" s="2" t="n"/>
    </row>
    <row r="192" ht="18" customHeight="1" s="87"/>
    <row r="193" ht="90" customHeight="1" s="87">
      <c r="A193" t="inlineStr">
        <is>
          <t>H2A09</t>
        </is>
      </c>
      <c r="B193" s="2" t="inlineStr">
        <is>
          <t>N. Number of students in line a who had no financial need and who were awarded institutional non-need-based scholarship or grant aid (exclude those who were awarded athletic awards and tuition benefits)</t>
        </is>
      </c>
      <c r="C193" t="n">
        <v>67</v>
      </c>
    </row>
    <row r="194">
      <c r="B194" s="2" t="n"/>
    </row>
    <row r="195" ht="45" customHeight="1" s="87">
      <c r="A195" t="inlineStr">
        <is>
          <t>H2A10</t>
        </is>
      </c>
      <c r="B195" s="2" t="inlineStr">
        <is>
          <t>O. Average dollar amount of institutional non-need-based scholarship and grant aid awarded to students in line n</t>
        </is>
      </c>
      <c r="C195" t="n">
        <v>3644</v>
      </c>
    </row>
    <row r="196">
      <c r="B196" s="2" t="n"/>
    </row>
    <row r="197" ht="45" customHeight="1" s="87">
      <c r="A197" t="inlineStr">
        <is>
          <t>H2A11</t>
        </is>
      </c>
      <c r="B197" s="2" t="inlineStr">
        <is>
          <t>P. Number of students in line a who were awarded an institutional non-need-based athletic scholarship or grant</t>
        </is>
      </c>
      <c r="C197" t="n">
        <v>7</v>
      </c>
    </row>
    <row r="198">
      <c r="B198" s="2" t="n"/>
    </row>
    <row r="199" ht="45" customHeight="1" s="87">
      <c r="A199" t="inlineStr">
        <is>
          <t>H2A12</t>
        </is>
      </c>
      <c r="B199" s="2" t="inlineStr">
        <is>
          <t>Q. Average dollar amount of institutional non-need-based athletic scholarships and grants awarded to students in line p</t>
        </is>
      </c>
      <c r="C199" t="n">
        <v>11646</v>
      </c>
    </row>
    <row r="200">
      <c r="B200" s="2" t="n"/>
    </row>
    <row r="201"/>
    <row r="202"/>
    <row r="203"/>
    <row r="204"/>
    <row r="205"/>
    <row r="206"/>
    <row r="207"/>
    <row r="208"/>
    <row r="209"/>
    <row r="210"/>
    <row r="211"/>
    <row r="212"/>
    <row r="213"/>
    <row r="214"/>
    <row r="215"/>
    <row r="216"/>
    <row r="217"/>
    <row r="218" ht="88.5" customHeight="1" s="87">
      <c r="A218" t="inlineStr">
        <is>
          <t>H401</t>
        </is>
      </c>
      <c r="B218" s="2" t="inlineStr">
        <is>
          <t>Provide the number of students in the 2024 undergraduate class who started at your institution as first-time students and received a bachelor's degree between July 1, 2023 and June 30, 2024. Exclude students who transferred into your institution.</t>
        </is>
      </c>
      <c r="C218" s="2" t="n">
        <v>6870</v>
      </c>
    </row>
    <row r="219"/>
    <row r="220"/>
    <row r="221"/>
    <row r="222"/>
    <row r="223"/>
    <row r="224"/>
    <row r="225"/>
    <row r="226"/>
    <row r="227"/>
    <row r="228"/>
    <row r="229"/>
    <row r="230"/>
    <row r="231"/>
    <row r="232">
      <c r="B232" s="2" t="n"/>
    </row>
    <row r="233" ht="51.6" customHeight="1" s="87"/>
    <row r="234" ht="99" customHeight="1" s="87">
      <c r="A234" t="inlineStr">
        <is>
          <t>H501</t>
        </is>
      </c>
      <c r="B234" s="2" t="inlineStr">
        <is>
          <t>A. Any loan program: Federal Perkins, Federal Stafford Subsidized and Unsubsidized, institutional, state, private loans that your institution is aware of, etc. Include both Federal Direct Student Loans and Federal Family Education Loans.</t>
        </is>
      </c>
      <c r="C234" s="50" t="n">
        <v>2642</v>
      </c>
    </row>
    <row r="235" ht="75" customHeight="1" s="87">
      <c r="A235" t="inlineStr">
        <is>
          <t>H502</t>
        </is>
      </c>
      <c r="B235" s="2" t="inlineStr">
        <is>
          <t>B. Federal loan programs: Federal Perkins, Federal Stafford Subsidized and Unsubsidized. Include both Federal Direct Student Loans and Federal Family Education Loans.</t>
        </is>
      </c>
      <c r="C235" s="50" t="n">
        <v>2583</v>
      </c>
    </row>
    <row r="236" ht="18" customHeight="1" s="87">
      <c r="A236" t="inlineStr">
        <is>
          <t>H503</t>
        </is>
      </c>
      <c r="B236" s="2" t="inlineStr">
        <is>
          <t>C. Institutional loan programs.</t>
        </is>
      </c>
      <c r="C236" s="50" t="n">
        <v>356</v>
      </c>
    </row>
    <row r="237" ht="18" customHeight="1" s="87">
      <c r="A237" t="inlineStr">
        <is>
          <t>H504</t>
        </is>
      </c>
      <c r="B237" s="2" t="inlineStr">
        <is>
          <t>D. State loan programs.</t>
        </is>
      </c>
      <c r="C237" s="50" t="n">
        <v>0</v>
      </c>
    </row>
    <row r="238" ht="18" customHeight="1" s="87">
      <c r="A238" t="inlineStr">
        <is>
          <t>H505</t>
        </is>
      </c>
      <c r="B238" s="2" t="inlineStr">
        <is>
          <t>E. Private student loans made by a bank or lender.</t>
        </is>
      </c>
      <c r="C238" s="50" t="n">
        <v>293</v>
      </c>
    </row>
    <row r="239"/>
    <row r="240"/>
    <row r="241" ht="45.95" customHeight="1" s="87"/>
    <row r="242" ht="90" customHeight="1" s="87">
      <c r="A242" t="inlineStr">
        <is>
          <t>H506</t>
        </is>
      </c>
      <c r="B242" s="2" t="inlineStr">
        <is>
          <t>A. Any loan program: Federal Perkins, Federal Stafford Subsidized and Unsubsidized, institutional, state, private loans that your institution is aware of, etc. Include both Federal Direct Student Loans and Federal Family Education Loans.</t>
        </is>
      </c>
      <c r="C242" s="62" t="n">
        <v>0.38</v>
      </c>
    </row>
    <row r="243" ht="75" customHeight="1" s="87">
      <c r="A243" t="inlineStr">
        <is>
          <t>H507</t>
        </is>
      </c>
      <c r="B243" s="2" t="inlineStr">
        <is>
          <t>B. Federal loan programs: Federal Perkins, Federal Stafford Subsidized and Unsubsidized. Include both Federal Direct Student Loans and Federal Family Education Loans.</t>
        </is>
      </c>
      <c r="C243" s="62" t="n">
        <v>0.38</v>
      </c>
    </row>
    <row r="244" ht="18" customHeight="1" s="87">
      <c r="A244" t="inlineStr">
        <is>
          <t>H508</t>
        </is>
      </c>
      <c r="B244" s="2" t="inlineStr">
        <is>
          <t>C. Institutional loan programs.</t>
        </is>
      </c>
      <c r="C244" s="62" t="n">
        <v>0.05</v>
      </c>
    </row>
    <row r="245" ht="18" customHeight="1" s="87">
      <c r="A245" t="inlineStr">
        <is>
          <t>H509</t>
        </is>
      </c>
      <c r="B245" s="2" t="inlineStr">
        <is>
          <t>D. State loan programs.</t>
        </is>
      </c>
      <c r="C245" s="62" t="n">
        <v>0</v>
      </c>
    </row>
    <row r="246" ht="18" customHeight="1" s="87">
      <c r="A246" t="inlineStr">
        <is>
          <t>H510</t>
        </is>
      </c>
      <c r="B246" s="2" t="inlineStr">
        <is>
          <t>E. Private student loans made by a bank or lender.</t>
        </is>
      </c>
      <c r="C246" s="62" t="n">
        <v>0.04</v>
      </c>
    </row>
    <row r="247"/>
    <row r="248"/>
    <row r="249" ht="72" customHeight="1" s="87"/>
    <row r="250" ht="90" customHeight="1" s="87">
      <c r="A250" t="inlineStr">
        <is>
          <t>H511</t>
        </is>
      </c>
      <c r="B250" s="2" t="inlineStr">
        <is>
          <t>A. Any loan program: Federal Perkins, Federal Stafford Subsidized and Unsubsidized, institutional, state, private loans that your institution is aware of, etc. Include both Federal Direct Student Loans and Federal Family Education Loans.</t>
        </is>
      </c>
      <c r="C250" s="96" t="n">
        <v>22395</v>
      </c>
    </row>
    <row r="251" ht="75" customHeight="1" s="87">
      <c r="A251" t="inlineStr">
        <is>
          <t>H512</t>
        </is>
      </c>
      <c r="B251" s="2" t="inlineStr">
        <is>
          <t>B. Federal loan programs: Federal Perkins, Federal Stafford Subsidized and Unsubsidized. Include both Federal Direct Student Loans and Federal Family Education Loans.</t>
        </is>
      </c>
      <c r="C251" s="96" t="n">
        <v>17886</v>
      </c>
    </row>
    <row r="252" ht="18" customHeight="1" s="87">
      <c r="A252" t="inlineStr">
        <is>
          <t>H513</t>
        </is>
      </c>
      <c r="B252" s="2" t="inlineStr">
        <is>
          <t>C. Institutional loan programs.</t>
        </is>
      </c>
      <c r="C252" s="96" t="n">
        <v>2923</v>
      </c>
    </row>
    <row r="253" ht="18" customHeight="1" s="87">
      <c r="A253" t="inlineStr">
        <is>
          <t>H514</t>
        </is>
      </c>
      <c r="B253" s="2" t="inlineStr">
        <is>
          <t>D. State loan programs.</t>
        </is>
      </c>
      <c r="C253" s="96" t="n">
        <v>0</v>
      </c>
    </row>
    <row r="254" ht="18" customHeight="1" s="87">
      <c r="A254" t="inlineStr">
        <is>
          <t>H515</t>
        </is>
      </c>
      <c r="B254" s="2" t="inlineStr">
        <is>
          <t>E. Private student loans made by a bank or lender.</t>
        </is>
      </c>
      <c r="C254" s="96" t="n">
        <v>40705</v>
      </c>
    </row>
    <row r="255"/>
    <row r="256"/>
    <row r="257"/>
    <row r="258"/>
    <row r="259"/>
    <row r="260"/>
    <row r="261" ht="45.95" customHeight="1" s="87"/>
    <row r="262" ht="30" customHeight="1" s="87">
      <c r="A262" t="inlineStr">
        <is>
          <t>H601</t>
        </is>
      </c>
      <c r="B262" s="2" t="inlineStr">
        <is>
          <t>Institutional need-based scholarship or grant aid is available</t>
        </is>
      </c>
      <c r="C262" s="2" t="n"/>
    </row>
    <row r="263" ht="30" customHeight="1" s="87">
      <c r="A263" t="inlineStr">
        <is>
          <t>H602</t>
        </is>
      </c>
      <c r="B263" s="2" t="inlineStr">
        <is>
          <t>Institutional non-need-based scholarship or grant aid is available</t>
        </is>
      </c>
      <c r="C263" s="2" t="inlineStr">
        <is>
          <t>x</t>
        </is>
      </c>
    </row>
    <row r="264" ht="33.75" customHeight="1" s="87">
      <c r="A264" t="inlineStr">
        <is>
          <t>H603</t>
        </is>
      </c>
      <c r="B264" s="2" t="inlineStr">
        <is>
          <t>Institutional scholarship or grant aid is not available</t>
        </is>
      </c>
      <c r="C264" s="2" t="n"/>
    </row>
    <row r="265"/>
    <row r="266"/>
    <row r="267" ht="90" customHeight="1" s="87">
      <c r="A267" t="inlineStr">
        <is>
          <t>H604</t>
        </is>
      </c>
      <c r="B267" s="2" t="inlineStr">
        <is>
          <t>If institutional financial aid is available for undergraduate degree-seeking nonresidents, provide the number of undergraduate degree-seeking nonresidents who were awarded need-based or non-need-based aid:</t>
        </is>
      </c>
      <c r="C267" s="2" t="n">
        <v>44</v>
      </c>
    </row>
    <row r="268">
      <c r="B268" s="2" t="n"/>
      <c r="C268" s="2" t="n"/>
    </row>
    <row r="269">
      <c r="B269" s="2" t="n"/>
      <c r="C269" s="2" t="n"/>
    </row>
    <row r="270" ht="45" customHeight="1" s="87">
      <c r="A270" t="inlineStr">
        <is>
          <t>H605</t>
        </is>
      </c>
      <c r="B270" s="2" t="inlineStr">
        <is>
          <t>Average dollar amount of institutional financial aid awarded to undergraduate degree-seeking nonresidents:</t>
        </is>
      </c>
      <c r="C270" s="94" t="n">
        <v>5836</v>
      </c>
    </row>
    <row r="271">
      <c r="B271" s="2" t="n"/>
      <c r="C271" s="2" t="n"/>
    </row>
    <row r="272">
      <c r="B272" s="2" t="n"/>
      <c r="C272" s="2" t="n"/>
    </row>
    <row r="273" ht="45" customHeight="1" s="87">
      <c r="A273" t="inlineStr">
        <is>
          <t>H606</t>
        </is>
      </c>
      <c r="B273" s="2" t="inlineStr">
        <is>
          <t>Total dollar amount of institutional financial aid awarded to undergraduate degree-seeking nonresidents:</t>
        </is>
      </c>
      <c r="C273" s="94" t="n">
        <v>256798</v>
      </c>
    </row>
    <row r="274"/>
    <row r="275"/>
    <row r="276"/>
    <row r="277"/>
    <row r="278"/>
    <row r="279" ht="18.6" customHeight="1" s="87"/>
    <row r="280" ht="18.6" customHeight="1" s="87">
      <c r="A280" t="inlineStr">
        <is>
          <t>H7101</t>
        </is>
      </c>
      <c r="B280" t="inlineStr">
        <is>
          <t>Institution’s own financial aid form</t>
        </is>
      </c>
    </row>
    <row r="281" ht="18.6" customHeight="1" s="87">
      <c r="A281" t="inlineStr">
        <is>
          <t>H7102</t>
        </is>
      </c>
      <c r="B281" t="inlineStr">
        <is>
          <t>CSS/Financial Aid PROFILE</t>
        </is>
      </c>
    </row>
    <row r="282" ht="18.6" customHeight="1" s="87"/>
    <row r="283" ht="18.6" customHeight="1" s="87">
      <c r="A283" t="inlineStr">
        <is>
          <t>H7103</t>
        </is>
      </c>
      <c r="B283" t="inlineStr">
        <is>
          <t>Other (specify):</t>
        </is>
      </c>
      <c r="C283" t="inlineStr">
        <is>
          <t>RISE App</t>
        </is>
      </c>
    </row>
    <row r="284" ht="18.6" customHeight="1" s="87"/>
    <row r="285"/>
    <row r="286"/>
    <row r="287"/>
    <row r="288"/>
    <row r="289"/>
    <row r="290"/>
    <row r="291" ht="18" customHeight="1" s="87"/>
    <row r="292" ht="18" customHeight="1" s="87">
      <c r="A292" t="inlineStr">
        <is>
          <t>H801</t>
        </is>
      </c>
      <c r="B292" t="inlineStr">
        <is>
          <t>FAFSA</t>
        </is>
      </c>
      <c r="C292" t="inlineStr">
        <is>
          <t>x</t>
        </is>
      </c>
    </row>
    <row r="293" ht="18" customHeight="1" s="87">
      <c r="A293" t="inlineStr">
        <is>
          <t>H802</t>
        </is>
      </c>
      <c r="B293" t="inlineStr">
        <is>
          <t>Institution's own financial aid form</t>
        </is>
      </c>
    </row>
    <row r="294" ht="18" customHeight="1" s="87">
      <c r="A294" t="inlineStr">
        <is>
          <t>H803</t>
        </is>
      </c>
      <c r="B294" t="inlineStr">
        <is>
          <t>CSS PROFILE</t>
        </is>
      </c>
    </row>
    <row r="295" ht="18" customHeight="1" s="87">
      <c r="A295" t="inlineStr">
        <is>
          <t>H804</t>
        </is>
      </c>
      <c r="B295" t="inlineStr">
        <is>
          <t>State aid form</t>
        </is>
      </c>
    </row>
    <row r="296" ht="18" customHeight="1" s="87">
      <c r="A296" t="inlineStr">
        <is>
          <t>H805</t>
        </is>
      </c>
      <c r="B296" t="inlineStr">
        <is>
          <t>Noncustodial PROFILE</t>
        </is>
      </c>
    </row>
    <row r="297" ht="18" customHeight="1" s="87">
      <c r="A297" t="inlineStr">
        <is>
          <t>H806</t>
        </is>
      </c>
      <c r="B297" t="inlineStr">
        <is>
          <t>Business/Farm Supplement</t>
        </is>
      </c>
    </row>
    <row r="298" ht="18" customHeight="1" s="87"/>
    <row r="299" ht="18" customHeight="1" s="87">
      <c r="A299" t="inlineStr">
        <is>
          <t>H807</t>
        </is>
      </c>
      <c r="B299" t="inlineStr">
        <is>
          <t>Other (specify):</t>
        </is>
      </c>
    </row>
    <row r="300" ht="18" customHeight="1" s="87"/>
    <row r="301">
      <c r="B301" s="3" t="n"/>
    </row>
    <row r="302"/>
    <row r="303"/>
    <row r="304"/>
    <row r="305"/>
    <row r="306">
      <c r="A306" t="inlineStr">
        <is>
          <t>H901</t>
        </is>
      </c>
      <c r="B306" t="inlineStr">
        <is>
          <t>Priority date for filing required financial aid forms:</t>
        </is>
      </c>
      <c r="C306" s="66" t="n">
        <v>45731</v>
      </c>
    </row>
    <row r="307">
      <c r="A307" t="inlineStr">
        <is>
          <t>H902</t>
        </is>
      </c>
      <c r="B307" t="inlineStr">
        <is>
          <t>Deadline for filing required financial aid forms:</t>
        </is>
      </c>
    </row>
    <row r="308"/>
    <row r="309" ht="30" customHeight="1" s="87">
      <c r="A309" t="inlineStr">
        <is>
          <t>H903</t>
        </is>
      </c>
      <c r="B309" s="2" t="inlineStr">
        <is>
          <t>No deadline for filing required forms (applications processed on a rolling basis)</t>
        </is>
      </c>
      <c r="C309" s="47" t="inlineStr">
        <is>
          <t>x</t>
        </is>
      </c>
    </row>
    <row r="310"/>
    <row r="311"/>
    <row r="312"/>
    <row r="313"/>
    <row r="314" ht="18" customHeight="1" s="87"/>
    <row r="315" ht="18" customHeight="1" s="87">
      <c r="A315" t="inlineStr">
        <is>
          <t>H1001</t>
        </is>
      </c>
      <c r="B315" s="31" t="inlineStr">
        <is>
          <t xml:space="preserve">a) Students notified on or about (date): </t>
        </is>
      </c>
      <c r="C315" s="63" t="n">
        <v>45703</v>
      </c>
    </row>
    <row r="316" ht="18" customHeight="1" s="87">
      <c r="B316" s="31" t="n"/>
    </row>
    <row r="317" ht="18" customHeight="1" s="87">
      <c r="B317" s="31" t="n"/>
    </row>
    <row r="318" ht="18" customHeight="1" s="87"/>
    <row r="319" ht="18" customHeight="1" s="87">
      <c r="A319" t="inlineStr">
        <is>
          <t>H1002</t>
        </is>
      </c>
      <c r="B319" s="32" t="inlineStr">
        <is>
          <t>b) Students notified on a rolling basis:</t>
        </is>
      </c>
      <c r="C319" t="inlineStr">
        <is>
          <t>Y</t>
        </is>
      </c>
    </row>
    <row r="320" ht="18" customHeight="1" s="87">
      <c r="B320" s="3" t="n"/>
    </row>
    <row r="321" ht="18" customHeight="1" s="87"/>
    <row r="322" ht="18" customHeight="1" s="87">
      <c r="A322" t="inlineStr">
        <is>
          <t>H1003</t>
        </is>
      </c>
      <c r="B322" s="34" t="inlineStr">
        <is>
          <t>If yes, starting date:</t>
        </is>
      </c>
      <c r="C322" s="63" t="n">
        <v>45703</v>
      </c>
    </row>
    <row r="323"/>
    <row r="324"/>
    <row r="325"/>
    <row r="326"/>
    <row r="327"/>
    <row r="328" ht="18" customHeight="1" s="87"/>
    <row r="329" ht="18" customHeight="1" s="87">
      <c r="A329" t="inlineStr">
        <is>
          <t>H1101</t>
        </is>
      </c>
      <c r="B329" s="31" t="inlineStr">
        <is>
          <t xml:space="preserve">Students must reply by (date): </t>
        </is>
      </c>
      <c r="C329" s="63" t="n">
        <v>45778</v>
      </c>
    </row>
    <row r="330">
      <c r="B330" s="31" t="n"/>
    </row>
    <row r="331" ht="18" customHeight="1" s="87">
      <c r="B331" s="31" t="n"/>
    </row>
    <row r="332" ht="18" customHeight="1" s="87">
      <c r="A332" t="inlineStr">
        <is>
          <t>H1102</t>
        </is>
      </c>
      <c r="B332" s="32" t="inlineStr">
        <is>
          <t>or within____weeks of notification.</t>
        </is>
      </c>
    </row>
    <row r="333">
      <c r="B333" s="33" t="n"/>
    </row>
    <row r="334"/>
    <row r="335"/>
    <row r="336"/>
    <row r="337"/>
    <row r="338"/>
    <row r="339"/>
    <row r="340" ht="18" customHeight="1" s="87"/>
    <row r="341" ht="18" customHeight="1" s="87">
      <c r="A341" t="inlineStr">
        <is>
          <t>H1201</t>
        </is>
      </c>
      <c r="B341" t="inlineStr">
        <is>
          <t>Federal Direct Subsidized Stafford Loans</t>
        </is>
      </c>
      <c r="C341" t="inlineStr">
        <is>
          <t>x</t>
        </is>
      </c>
    </row>
    <row r="342" ht="18" customHeight="1" s="87">
      <c r="A342" t="inlineStr">
        <is>
          <t>H1202</t>
        </is>
      </c>
      <c r="B342" t="inlineStr">
        <is>
          <t>Federal Direct Unsubsidized Stafford Loans</t>
        </is>
      </c>
      <c r="C342" t="inlineStr">
        <is>
          <t>x</t>
        </is>
      </c>
    </row>
    <row r="343" ht="18" customHeight="1" s="87">
      <c r="A343" t="inlineStr">
        <is>
          <t>H1203</t>
        </is>
      </c>
      <c r="B343" t="inlineStr">
        <is>
          <t>Federal Direct PLUS Loans</t>
        </is>
      </c>
      <c r="C343" t="inlineStr">
        <is>
          <t>x</t>
        </is>
      </c>
    </row>
    <row r="344" ht="18" customHeight="1" s="87">
      <c r="A344" t="inlineStr">
        <is>
          <t>H1204</t>
        </is>
      </c>
      <c r="B344" t="inlineStr">
        <is>
          <t>Federal Nursing Loans</t>
        </is>
      </c>
    </row>
    <row r="345" ht="18" customHeight="1" s="87">
      <c r="A345" t="inlineStr">
        <is>
          <t>H1205</t>
        </is>
      </c>
      <c r="B345" t="inlineStr">
        <is>
          <t>State Loans</t>
        </is>
      </c>
    </row>
    <row r="346" ht="18" customHeight="1" s="87">
      <c r="A346" t="inlineStr">
        <is>
          <t>H1206</t>
        </is>
      </c>
      <c r="B346" t="inlineStr">
        <is>
          <t>College/university loans from institutional funds</t>
        </is>
      </c>
    </row>
    <row r="347" ht="18" customHeight="1" s="87"/>
    <row r="348" ht="18" customHeight="1" s="87">
      <c r="A348" t="inlineStr">
        <is>
          <t>H1207</t>
        </is>
      </c>
      <c r="B348" t="inlineStr">
        <is>
          <t>Other (specify):</t>
        </is>
      </c>
    </row>
    <row r="349" ht="18" customHeight="1" s="87"/>
    <row r="350"/>
    <row r="351"/>
    <row r="352"/>
    <row r="353" ht="18" customHeight="1" s="87"/>
    <row r="354" ht="18" customHeight="1" s="87">
      <c r="A354" t="inlineStr">
        <is>
          <t>H1301</t>
        </is>
      </c>
      <c r="B354" t="inlineStr">
        <is>
          <t>Federal Pell Grants</t>
        </is>
      </c>
      <c r="C354" t="inlineStr">
        <is>
          <t>x</t>
        </is>
      </c>
    </row>
    <row r="355" ht="18" customHeight="1" s="87">
      <c r="A355" t="inlineStr">
        <is>
          <t>H1302</t>
        </is>
      </c>
      <c r="B355" t="inlineStr">
        <is>
          <t>Federal SEOG</t>
        </is>
      </c>
      <c r="C355" t="inlineStr">
        <is>
          <t>x</t>
        </is>
      </c>
    </row>
    <row r="356" ht="18" customHeight="1" s="87">
      <c r="A356" t="inlineStr">
        <is>
          <t>H1303</t>
        </is>
      </c>
      <c r="B356" t="inlineStr">
        <is>
          <t>State scholarships/grants</t>
        </is>
      </c>
      <c r="C356" t="inlineStr">
        <is>
          <t>x</t>
        </is>
      </c>
    </row>
    <row r="357" ht="18" customHeight="1" s="87">
      <c r="A357" t="inlineStr">
        <is>
          <t>H1304</t>
        </is>
      </c>
      <c r="B357" t="inlineStr">
        <is>
          <t>Private scholarships</t>
        </is>
      </c>
      <c r="C357" t="inlineStr">
        <is>
          <t>x</t>
        </is>
      </c>
    </row>
    <row r="358" ht="30" customHeight="1" s="87">
      <c r="A358" t="inlineStr">
        <is>
          <t>H1305</t>
        </is>
      </c>
      <c r="B358" s="2" t="inlineStr">
        <is>
          <t>College/university scholarship or grant aid from institutional funds</t>
        </is>
      </c>
      <c r="C358" t="inlineStr">
        <is>
          <t>x</t>
        </is>
      </c>
    </row>
    <row r="359" ht="18" customHeight="1" s="87">
      <c r="A359" t="inlineStr">
        <is>
          <t>H1306</t>
        </is>
      </c>
      <c r="B359" t="inlineStr">
        <is>
          <t>United Negro College Fund</t>
        </is>
      </c>
      <c r="C359" t="inlineStr">
        <is>
          <t>x</t>
        </is>
      </c>
    </row>
    <row r="360" ht="18" customHeight="1" s="87">
      <c r="A360" t="inlineStr">
        <is>
          <t>H1307</t>
        </is>
      </c>
      <c r="B360" t="inlineStr">
        <is>
          <t>Federal Nursing Scholarship</t>
        </is>
      </c>
    </row>
    <row r="361" ht="18" customHeight="1" s="87"/>
    <row r="362" ht="18" customHeight="1" s="87">
      <c r="A362" t="inlineStr">
        <is>
          <t>H1308</t>
        </is>
      </c>
      <c r="B362" t="inlineStr">
        <is>
          <t>Other (specify):</t>
        </is>
      </c>
    </row>
    <row r="363"/>
    <row r="364" ht="18" customHeight="1" s="87"/>
    <row r="365" ht="18" customHeight="1" s="87">
      <c r="B365" s="3" t="n"/>
    </row>
    <row r="366"/>
    <row r="367"/>
    <row r="368"/>
    <row r="369"/>
    <row r="370" ht="18" customHeight="1" s="87"/>
    <row r="371" ht="18" customHeight="1" s="87">
      <c r="A371" t="inlineStr">
        <is>
          <t>H1401</t>
        </is>
      </c>
      <c r="B371" t="inlineStr">
        <is>
          <t>Academics</t>
        </is>
      </c>
      <c r="C371" s="50" t="inlineStr">
        <is>
          <t>x</t>
        </is>
      </c>
    </row>
    <row r="372" ht="18" customHeight="1" s="87">
      <c r="A372" t="inlineStr">
        <is>
          <t>H1402</t>
        </is>
      </c>
      <c r="B372" t="inlineStr">
        <is>
          <t>Alumni affiliation</t>
        </is>
      </c>
      <c r="C372" s="50" t="inlineStr">
        <is>
          <t>x</t>
        </is>
      </c>
    </row>
    <row r="373" ht="18" customHeight="1" s="87">
      <c r="A373" t="inlineStr">
        <is>
          <t>H1403</t>
        </is>
      </c>
      <c r="B373" t="inlineStr">
        <is>
          <t>Art</t>
        </is>
      </c>
      <c r="C373" s="50" t="inlineStr">
        <is>
          <t>x</t>
        </is>
      </c>
    </row>
    <row r="374" ht="18" customHeight="1" s="87">
      <c r="A374" t="inlineStr">
        <is>
          <t>H1404</t>
        </is>
      </c>
      <c r="B374" t="inlineStr">
        <is>
          <t>Athletics</t>
        </is>
      </c>
      <c r="C374" s="50" t="inlineStr">
        <is>
          <t>x</t>
        </is>
      </c>
    </row>
    <row r="375" ht="18" customHeight="1" s="87">
      <c r="A375" t="inlineStr">
        <is>
          <t>H1405</t>
        </is>
      </c>
      <c r="B375" t="inlineStr">
        <is>
          <t>Job skills</t>
        </is>
      </c>
      <c r="C375" s="50" t="n"/>
    </row>
    <row r="376" ht="18" customHeight="1" s="87">
      <c r="A376" t="inlineStr">
        <is>
          <t>H1406</t>
        </is>
      </c>
      <c r="B376" t="inlineStr">
        <is>
          <t>ROTC</t>
        </is>
      </c>
      <c r="C376" s="50" t="inlineStr">
        <is>
          <t>x</t>
        </is>
      </c>
    </row>
    <row r="377" ht="18" customHeight="1" s="87">
      <c r="A377" t="inlineStr">
        <is>
          <t>H1407</t>
        </is>
      </c>
      <c r="B377" t="inlineStr">
        <is>
          <t>Leadership</t>
        </is>
      </c>
      <c r="C377" s="50" t="inlineStr">
        <is>
          <t>x</t>
        </is>
      </c>
    </row>
    <row r="378" ht="18" customHeight="1" s="87">
      <c r="A378" t="inlineStr">
        <is>
          <t>H1408</t>
        </is>
      </c>
      <c r="B378" t="inlineStr">
        <is>
          <t>Music/drama</t>
        </is>
      </c>
      <c r="C378" s="50" t="inlineStr">
        <is>
          <t>x</t>
        </is>
      </c>
    </row>
    <row r="379" ht="18" customHeight="1" s="87">
      <c r="A379" t="inlineStr">
        <is>
          <t>H1409</t>
        </is>
      </c>
      <c r="B379" t="inlineStr">
        <is>
          <t>Religious affiliation</t>
        </is>
      </c>
      <c r="C379" s="50" t="n"/>
    </row>
    <row r="380" ht="18" customHeight="1" s="87">
      <c r="A380" t="inlineStr">
        <is>
          <t>H1410</t>
        </is>
      </c>
      <c r="B380" t="inlineStr">
        <is>
          <t>State/district residency</t>
        </is>
      </c>
      <c r="C380" s="50" t="inlineStr">
        <is>
          <t>x</t>
        </is>
      </c>
    </row>
    <row r="381"/>
    <row r="382" ht="18" customHeight="1" s="87"/>
    <row r="383" ht="18" customHeight="1" s="87">
      <c r="A383" t="inlineStr">
        <is>
          <t>H1411</t>
        </is>
      </c>
      <c r="B383" t="inlineStr">
        <is>
          <t>Academics</t>
        </is>
      </c>
      <c r="C383" s="50" t="inlineStr">
        <is>
          <t>x</t>
        </is>
      </c>
    </row>
    <row r="384" ht="18" customHeight="1" s="87">
      <c r="A384" t="inlineStr">
        <is>
          <t>H1412</t>
        </is>
      </c>
      <c r="B384" t="inlineStr">
        <is>
          <t>Alumni affiliation</t>
        </is>
      </c>
      <c r="C384" s="50" t="n"/>
    </row>
    <row r="385" ht="18" customHeight="1" s="87">
      <c r="A385" t="inlineStr">
        <is>
          <t>H1413</t>
        </is>
      </c>
      <c r="B385" t="inlineStr">
        <is>
          <t>Art</t>
        </is>
      </c>
      <c r="C385" s="50" t="inlineStr">
        <is>
          <t>x</t>
        </is>
      </c>
    </row>
    <row r="386" ht="18" customHeight="1" s="87">
      <c r="A386" t="inlineStr">
        <is>
          <t>H1414</t>
        </is>
      </c>
      <c r="B386" t="inlineStr">
        <is>
          <t>Athletics</t>
        </is>
      </c>
      <c r="C386" s="50" t="inlineStr">
        <is>
          <t>x</t>
        </is>
      </c>
    </row>
    <row r="387" ht="18" customHeight="1" s="87">
      <c r="A387" t="inlineStr">
        <is>
          <t>H1415</t>
        </is>
      </c>
      <c r="B387" t="inlineStr">
        <is>
          <t>Job skills</t>
        </is>
      </c>
      <c r="C387" s="50" t="n"/>
    </row>
    <row r="388" ht="18" customHeight="1" s="87">
      <c r="A388" t="inlineStr">
        <is>
          <t>H1416</t>
        </is>
      </c>
      <c r="B388" t="inlineStr">
        <is>
          <t>Leadership</t>
        </is>
      </c>
      <c r="C388" s="50" t="inlineStr">
        <is>
          <t>x</t>
        </is>
      </c>
    </row>
    <row r="389" ht="18" customHeight="1" s="87">
      <c r="A389" t="inlineStr">
        <is>
          <t>H1417</t>
        </is>
      </c>
      <c r="B389" t="inlineStr">
        <is>
          <t>Music/drama</t>
        </is>
      </c>
      <c r="C389" s="50" t="inlineStr">
        <is>
          <t>x</t>
        </is>
      </c>
    </row>
    <row r="390" ht="18" customHeight="1" s="87">
      <c r="A390" t="inlineStr">
        <is>
          <t>H1418</t>
        </is>
      </c>
      <c r="B390" t="inlineStr">
        <is>
          <t>Religious affiliation</t>
        </is>
      </c>
      <c r="C390" s="50" t="n"/>
    </row>
    <row r="391" ht="18" customHeight="1" s="87">
      <c r="A391" t="inlineStr">
        <is>
          <t>H1419</t>
        </is>
      </c>
      <c r="B391" t="inlineStr">
        <is>
          <t>State/district residency</t>
        </is>
      </c>
      <c r="C391" s="50" t="inlineStr">
        <is>
          <t>x</t>
        </is>
      </c>
    </row>
    <row r="392"/>
    <row r="393">
      <c r="B393" s="47" t="n"/>
    </row>
    <row r="394"/>
    <row r="395"/>
    <row r="396" ht="105" customHeight="1" s="87">
      <c r="A396" t="inlineStr">
        <is>
          <t>H1501</t>
        </is>
      </c>
      <c r="B396" s="26" t="inlineStr">
        <is>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t>
        </is>
      </c>
      <c r="C396" s="67" t="inlineStr">
        <is>
          <t>Beginning with the 2019-20 award year new freshman or new transfer students whose family income is $67,100 or less and has $50,000 or less in family assets will be considered for Illinois Commitment.  This program will provide financial awards to cover the tuition and campus fees for in-state students whose meet these qualifications.</t>
        </is>
      </c>
      <c r="D396" s="2" t="n"/>
    </row>
  </sheetData>
  <autoFilter ref="A1:L415"/>
  <mergeCells count="21">
    <mergeCell ref="D20:E20"/>
    <mergeCell ref="B7:F7"/>
    <mergeCell ref="B16:F16"/>
    <mergeCell ref="D19:E19"/>
    <mergeCell ref="B25:F25"/>
    <mergeCell ref="B22:F22"/>
    <mergeCell ref="B27:F27"/>
    <mergeCell ref="B12:F12"/>
    <mergeCell ref="B11:F11"/>
    <mergeCell ref="B23:F23"/>
    <mergeCell ref="B14:F14"/>
    <mergeCell ref="B8:F8"/>
    <mergeCell ref="D17:E17"/>
    <mergeCell ref="B13:F13"/>
    <mergeCell ref="B10:F10"/>
    <mergeCell ref="D18:E18"/>
    <mergeCell ref="B9:F9"/>
    <mergeCell ref="B6:F6"/>
    <mergeCell ref="B24:F24"/>
    <mergeCell ref="B15:F15"/>
    <mergeCell ref="B5:F5"/>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C152"/>
  <sheetViews>
    <sheetView zoomScaleNormal="100" workbookViewId="0">
      <pane ySplit="1" topLeftCell="A2" activePane="bottomLeft" state="frozen"/>
      <selection pane="bottomLeft" activeCell="A2" sqref="A2"/>
    </sheetView>
  </sheetViews>
  <sheetFormatPr baseColWidth="8" defaultColWidth="8.7109375" defaultRowHeight="15"/>
  <cols>
    <col width="8.42578125" customWidth="1" style="87" min="1" max="1"/>
    <col width="65.28515625" customWidth="1" style="2" min="2" max="2"/>
    <col width="89.28515625" customWidth="1" style="87" min="3" max="3"/>
  </cols>
  <sheetData>
    <row r="1">
      <c r="A1" t="inlineStr">
        <is>
          <t>Question Number</t>
        </is>
      </c>
      <c r="B1" s="2" t="inlineStr">
        <is>
          <t>Question</t>
        </is>
      </c>
      <c r="C1" t="inlineStr">
        <is>
          <t>Answer</t>
        </is>
      </c>
    </row>
    <row r="2"/>
    <row r="3"/>
    <row r="4"/>
    <row r="5">
      <c r="A5" s="36" t="n"/>
      <c r="B5" s="37" t="n"/>
    </row>
    <row r="6">
      <c r="A6" s="36" t="n"/>
      <c r="B6" s="37" t="n"/>
    </row>
    <row r="7">
      <c r="A7" s="36" t="n"/>
      <c r="B7" s="37" t="n"/>
    </row>
    <row r="8">
      <c r="A8" s="36" t="n"/>
      <c r="B8" s="37" t="n"/>
    </row>
    <row r="9">
      <c r="A9" s="36" t="n"/>
      <c r="B9" s="37" t="n"/>
    </row>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ht="15.6" customHeight="1" s="87"/>
    <row r="54"/>
    <row r="55">
      <c r="A55" t="inlineStr">
        <is>
          <t>I101</t>
        </is>
      </c>
      <c r="B55" s="2" t="inlineStr">
        <is>
          <t>A. Total number of instructional faculty</t>
        </is>
      </c>
      <c r="C55" s="52" t="n">
        <v>2691</v>
      </c>
    </row>
    <row r="56">
      <c r="A56" t="inlineStr">
        <is>
          <t>I102</t>
        </is>
      </c>
      <c r="B56" s="2" t="inlineStr">
        <is>
          <t>B. Total number who are members of minority groups</t>
        </is>
      </c>
      <c r="C56" s="52" t="n">
        <v>819</v>
      </c>
    </row>
    <row r="57">
      <c r="A57" t="inlineStr">
        <is>
          <t>I103</t>
        </is>
      </c>
      <c r="B57" s="2" t="inlineStr">
        <is>
          <t>C. Total number who are women</t>
        </is>
      </c>
      <c r="C57" s="52" t="n">
        <v>1151</v>
      </c>
    </row>
    <row r="58">
      <c r="A58" t="inlineStr">
        <is>
          <t>I104</t>
        </is>
      </c>
      <c r="B58" s="2" t="inlineStr">
        <is>
          <t>D. Total number who are men</t>
        </is>
      </c>
      <c r="C58" s="52" t="n">
        <v>1540</v>
      </c>
    </row>
    <row r="59">
      <c r="A59" t="inlineStr">
        <is>
          <t>I105</t>
        </is>
      </c>
      <c r="B59" s="2" t="inlineStr">
        <is>
          <t>E. Total number who are nonresidents (international)</t>
        </is>
      </c>
      <c r="C59" s="52" t="n">
        <v>204</v>
      </c>
    </row>
    <row r="60">
      <c r="A60" t="inlineStr">
        <is>
          <t>I106</t>
        </is>
      </c>
      <c r="B60" s="2" t="inlineStr">
        <is>
          <t>F. Total number with doctorate, or other terminal degree</t>
        </is>
      </c>
      <c r="C60" s="52" t="n">
        <v>2458</v>
      </c>
    </row>
    <row r="61" ht="27" customHeight="1" s="87">
      <c r="A61" t="inlineStr">
        <is>
          <t>I107</t>
        </is>
      </c>
      <c r="B61" s="2" t="inlineStr">
        <is>
          <t>G. Total number whose highest degree is a master’s but not a terminal master’s</t>
        </is>
      </c>
      <c r="C61" s="52" t="n">
        <v>172</v>
      </c>
    </row>
    <row r="62">
      <c r="A62" t="inlineStr">
        <is>
          <t>I108</t>
        </is>
      </c>
      <c r="B62" s="2" t="inlineStr">
        <is>
          <t>H. Total number whose highest degree is a bachelor’s</t>
        </is>
      </c>
      <c r="C62" s="52" t="n">
        <v>58</v>
      </c>
    </row>
    <row r="63" ht="30" customHeight="1" s="87">
      <c r="A63" t="inlineStr">
        <is>
          <t>I109</t>
        </is>
      </c>
      <c r="B63" s="2" t="inlineStr">
        <is>
          <t>I. Total number whose highest degree is unknown or other (Note: Items f, g, h, and i must sum up to item a.)</t>
        </is>
      </c>
      <c r="C63" s="52" t="n">
        <v>3</v>
      </c>
    </row>
    <row r="64" ht="30" customHeight="1" s="87">
      <c r="A64" t="inlineStr">
        <is>
          <t>I110</t>
        </is>
      </c>
      <c r="B64" s="2" t="inlineStr">
        <is>
          <t>J. Total number in stand-alone graduate/professional programs in which faculty teach virtually only graduate-level students</t>
        </is>
      </c>
      <c r="C64" s="52" t="n">
        <v>245</v>
      </c>
    </row>
    <row r="65" ht="18" customHeight="1" s="87"/>
    <row r="66"/>
    <row r="67"/>
    <row r="68">
      <c r="A68" t="inlineStr">
        <is>
          <t>I111</t>
        </is>
      </c>
      <c r="B68" s="2" t="inlineStr">
        <is>
          <t>A. Total number of instructional faculty</t>
        </is>
      </c>
      <c r="C68" s="52" t="n">
        <v>306</v>
      </c>
    </row>
    <row r="69">
      <c r="A69" t="inlineStr">
        <is>
          <t>I112</t>
        </is>
      </c>
      <c r="B69" s="2" t="inlineStr">
        <is>
          <t>B. Total number who are members of minority groups</t>
        </is>
      </c>
      <c r="C69" s="52" t="n">
        <v>46</v>
      </c>
    </row>
    <row r="70">
      <c r="A70" t="inlineStr">
        <is>
          <t>I113</t>
        </is>
      </c>
      <c r="B70" s="2" t="inlineStr">
        <is>
          <t>C. Total number who are women</t>
        </is>
      </c>
      <c r="C70" s="52" t="n">
        <v>150</v>
      </c>
    </row>
    <row r="71">
      <c r="A71" t="inlineStr">
        <is>
          <t>I114</t>
        </is>
      </c>
      <c r="B71" s="2" t="inlineStr">
        <is>
          <t>D. Total number who are men</t>
        </is>
      </c>
      <c r="C71" s="52" t="n">
        <v>156</v>
      </c>
    </row>
    <row r="72" ht="18" customHeight="1" s="87">
      <c r="A72" t="inlineStr">
        <is>
          <t>I115</t>
        </is>
      </c>
      <c r="B72" s="2" t="inlineStr">
        <is>
          <t>E. Total number who are nonresidents (international)</t>
        </is>
      </c>
      <c r="C72" s="52" t="n">
        <v>68</v>
      </c>
    </row>
    <row r="73" ht="18" customHeight="1" s="87">
      <c r="A73" t="inlineStr">
        <is>
          <t>I116</t>
        </is>
      </c>
      <c r="B73" s="2" t="inlineStr">
        <is>
          <t>F. Total number with doctorate, or other terminal degree</t>
        </is>
      </c>
      <c r="C73" s="52" t="n">
        <v>157</v>
      </c>
    </row>
    <row r="74" ht="18" customHeight="1" s="87">
      <c r="A74" t="inlineStr">
        <is>
          <t>I117</t>
        </is>
      </c>
      <c r="B74" s="2" t="inlineStr">
        <is>
          <t>G. Total number whose highest degree is a master’s but not a terminal master’s</t>
        </is>
      </c>
      <c r="C74" s="52" t="n">
        <v>66</v>
      </c>
    </row>
    <row r="75">
      <c r="A75" t="inlineStr">
        <is>
          <t>I118</t>
        </is>
      </c>
      <c r="B75" s="2" t="inlineStr">
        <is>
          <t>H. Total number whose highest degree is a bachelor’s</t>
        </is>
      </c>
      <c r="C75" s="52" t="n">
        <v>31</v>
      </c>
    </row>
    <row r="76" ht="30" customHeight="1" s="87">
      <c r="A76" t="inlineStr">
        <is>
          <t>I119</t>
        </is>
      </c>
      <c r="B76" s="2" t="inlineStr">
        <is>
          <t>I. Total number whose highest degree is unknown or other (Note: Items f, g, h, and i must sum up to item a.)</t>
        </is>
      </c>
      <c r="C76" s="52" t="n">
        <v>52</v>
      </c>
    </row>
    <row r="77" ht="30" customHeight="1" s="87">
      <c r="A77" t="inlineStr">
        <is>
          <t>I120</t>
        </is>
      </c>
      <c r="B77" s="2" t="inlineStr">
        <is>
          <t>J. Total number in stand-alone graduate/professional programs in which faculty teach virtually only graduate-level students</t>
        </is>
      </c>
      <c r="C77" s="52" t="n">
        <v>73</v>
      </c>
    </row>
    <row r="78"/>
    <row r="79"/>
    <row r="80"/>
    <row r="81">
      <c r="A81" t="inlineStr">
        <is>
          <t>I121</t>
        </is>
      </c>
      <c r="B81" s="2" t="inlineStr">
        <is>
          <t>A. Total number of instructional faculty</t>
        </is>
      </c>
      <c r="C81" s="52" t="n">
        <v>2997</v>
      </c>
    </row>
    <row r="82">
      <c r="A82" t="inlineStr">
        <is>
          <t>I122</t>
        </is>
      </c>
      <c r="B82" s="2" t="inlineStr">
        <is>
          <t>B. Total number who are members of minority groups</t>
        </is>
      </c>
      <c r="C82" s="52" t="n">
        <v>865</v>
      </c>
    </row>
    <row r="83">
      <c r="A83" t="inlineStr">
        <is>
          <t>I123</t>
        </is>
      </c>
      <c r="B83" s="2" t="inlineStr">
        <is>
          <t>C. Total number who are women</t>
        </is>
      </c>
      <c r="C83" s="52" t="n">
        <v>1301</v>
      </c>
    </row>
    <row r="84" ht="33" customHeight="1" s="87">
      <c r="A84" t="inlineStr">
        <is>
          <t>I124</t>
        </is>
      </c>
      <c r="B84" s="2" t="inlineStr">
        <is>
          <t>D. Total number who are men</t>
        </is>
      </c>
      <c r="C84" s="52" t="n">
        <v>1696</v>
      </c>
    </row>
    <row r="85" ht="18" customHeight="1" s="87">
      <c r="A85" t="inlineStr">
        <is>
          <t>I125</t>
        </is>
      </c>
      <c r="B85" s="2" t="inlineStr">
        <is>
          <t>E. Total number who are nonresidents (international)</t>
        </is>
      </c>
      <c r="C85" s="52" t="n">
        <v>272</v>
      </c>
    </row>
    <row r="86" ht="18" customHeight="1" s="87">
      <c r="A86" t="inlineStr">
        <is>
          <t>I126</t>
        </is>
      </c>
      <c r="B86" s="2" t="inlineStr">
        <is>
          <t>F. Total number with doctorate, or other terminal degree</t>
        </is>
      </c>
      <c r="C86" s="52" t="n">
        <v>2615</v>
      </c>
    </row>
    <row r="87" ht="18" customHeight="1" s="87">
      <c r="A87" t="inlineStr">
        <is>
          <t>I127</t>
        </is>
      </c>
      <c r="B87" s="2" t="inlineStr">
        <is>
          <t>G. Total number whose highest degree is a master’s but not a terminal master’s</t>
        </is>
      </c>
      <c r="C87" s="52" t="n">
        <v>238</v>
      </c>
    </row>
    <row r="88">
      <c r="A88" t="inlineStr">
        <is>
          <t>I128</t>
        </is>
      </c>
      <c r="B88" s="2" t="inlineStr">
        <is>
          <t>H. Total number whose highest degree is a bachelor’s</t>
        </is>
      </c>
      <c r="C88" s="52" t="n">
        <v>89</v>
      </c>
    </row>
    <row r="89" ht="30" customHeight="1" s="87">
      <c r="A89" t="inlineStr">
        <is>
          <t>I129</t>
        </is>
      </c>
      <c r="B89" s="2" t="inlineStr">
        <is>
          <t>I. Total number whose highest degree is unknown or other (Note: Items f, g, h, and i must sum up to item a.)</t>
        </is>
      </c>
      <c r="C89" s="52" t="n">
        <v>55</v>
      </c>
    </row>
    <row r="90" ht="30" customHeight="1" s="87">
      <c r="A90" t="inlineStr">
        <is>
          <t>I130</t>
        </is>
      </c>
      <c r="B90" s="2" t="inlineStr">
        <is>
          <t>J. Total number in stand-alone graduate/professional programs in which faculty teach virtually only graduate-level students</t>
        </is>
      </c>
      <c r="C90" s="52" t="n">
        <v>318</v>
      </c>
    </row>
    <row r="91" ht="18" customHeight="1" s="87"/>
    <row r="92"/>
    <row r="93">
      <c r="A93" s="36" t="n"/>
      <c r="B93" s="37" t="n"/>
    </row>
    <row r="94">
      <c r="A94" s="36" t="n"/>
      <c r="B94" s="37" t="n"/>
    </row>
    <row r="95">
      <c r="A95" s="36" t="n"/>
      <c r="B95" s="37" t="n"/>
    </row>
    <row r="96">
      <c r="A96" s="36" t="n"/>
      <c r="B96" s="37" t="n"/>
    </row>
    <row r="97">
      <c r="A97" s="36" t="n"/>
      <c r="B97" s="37" t="n"/>
    </row>
    <row r="98"/>
    <row r="99"/>
    <row r="100"/>
    <row r="101"/>
    <row r="102" ht="18" customHeight="1" s="87"/>
    <row r="103" ht="18" customHeight="1" s="87">
      <c r="A103" t="inlineStr">
        <is>
          <t>I201</t>
        </is>
      </c>
      <c r="B103" s="2" t="inlineStr">
        <is>
          <t>Fall 2024 Student to Faculty ratio</t>
        </is>
      </c>
      <c r="C103" s="52" t="inlineStr">
        <is>
          <t>20 to 1</t>
        </is>
      </c>
    </row>
    <row r="104" ht="18" customHeight="1" s="87">
      <c r="A104" t="inlineStr">
        <is>
          <t>I202</t>
        </is>
      </c>
      <c r="B104" s="7" t="inlineStr">
        <is>
          <t>based on ____  students</t>
        </is>
      </c>
      <c r="C104" s="52" t="n">
        <v>51009</v>
      </c>
    </row>
    <row r="105" ht="18" customHeight="1" s="87">
      <c r="A105" t="inlineStr">
        <is>
          <t>I203</t>
        </is>
      </c>
      <c r="B105" s="7" t="inlineStr">
        <is>
          <t>and ____ faculty</t>
        </is>
      </c>
      <c r="C105" s="52" t="n">
        <v>2519</v>
      </c>
    </row>
    <row r="106"/>
    <row r="107"/>
    <row r="108"/>
    <row r="109"/>
    <row r="110"/>
    <row r="111"/>
    <row r="112"/>
    <row r="113"/>
    <row r="114"/>
    <row r="115"/>
    <row r="116"/>
    <row r="117"/>
    <row r="118"/>
    <row r="119"/>
    <row r="120"/>
    <row r="121"/>
    <row r="122"/>
    <row r="123"/>
    <row r="124"/>
    <row r="125"/>
    <row r="126"/>
    <row r="127"/>
    <row r="128"/>
    <row r="129"/>
    <row r="130"/>
    <row r="131"/>
    <row r="132"/>
    <row r="133"/>
    <row r="134" ht="18" customHeight="1" s="87"/>
    <row r="135" ht="18" customHeight="1" s="87">
      <c r="A135" t="inlineStr">
        <is>
          <t>I301</t>
        </is>
      </c>
      <c r="B135" s="35" t="inlineStr">
        <is>
          <t>2-9</t>
        </is>
      </c>
      <c r="C135" s="52" t="n">
        <v>523</v>
      </c>
    </row>
    <row r="136" ht="18" customHeight="1" s="87">
      <c r="A136" t="inlineStr">
        <is>
          <t>I302</t>
        </is>
      </c>
      <c r="B136" s="35" t="inlineStr">
        <is>
          <t>10-19</t>
        </is>
      </c>
      <c r="C136" s="52" t="n">
        <v>953</v>
      </c>
    </row>
    <row r="137" ht="18" customHeight="1" s="87">
      <c r="A137" t="inlineStr">
        <is>
          <t>I303</t>
        </is>
      </c>
      <c r="B137" s="35" t="inlineStr">
        <is>
          <t>20-29</t>
        </is>
      </c>
      <c r="C137" s="52" t="n">
        <v>951</v>
      </c>
    </row>
    <row r="138" ht="18" customHeight="1" s="87">
      <c r="A138" t="inlineStr">
        <is>
          <t>I304</t>
        </is>
      </c>
      <c r="B138" s="35" t="inlineStr">
        <is>
          <t>30-39</t>
        </is>
      </c>
      <c r="C138" s="52" t="n">
        <v>412</v>
      </c>
    </row>
    <row r="139" ht="18" customHeight="1" s="87">
      <c r="A139" t="inlineStr">
        <is>
          <t>I305</t>
        </is>
      </c>
      <c r="B139" s="35" t="inlineStr">
        <is>
          <t>40-49</t>
        </is>
      </c>
      <c r="C139" s="52" t="n">
        <v>276</v>
      </c>
    </row>
    <row r="140" ht="18" customHeight="1" s="87">
      <c r="A140" t="inlineStr">
        <is>
          <t>I306</t>
        </is>
      </c>
      <c r="B140" s="35" t="inlineStr">
        <is>
          <t>50-99</t>
        </is>
      </c>
      <c r="C140" s="52" t="n">
        <v>419</v>
      </c>
    </row>
    <row r="141" ht="18" customHeight="1" s="87">
      <c r="A141" t="inlineStr">
        <is>
          <t>I307</t>
        </is>
      </c>
      <c r="B141" s="2" t="inlineStr">
        <is>
          <t>100+</t>
        </is>
      </c>
      <c r="C141" s="52" t="n">
        <v>356</v>
      </c>
    </row>
    <row r="142" ht="18" customHeight="1" s="87">
      <c r="A142" t="inlineStr">
        <is>
          <t>I308</t>
        </is>
      </c>
      <c r="B142" s="2" t="inlineStr">
        <is>
          <t>Total</t>
        </is>
      </c>
      <c r="C142" s="34">
        <f>SUM(C135:C141)</f>
        <v/>
      </c>
    </row>
    <row r="143"/>
    <row r="144" ht="18" customHeight="1" s="87"/>
    <row r="145" ht="18" customHeight="1" s="87">
      <c r="A145" t="inlineStr">
        <is>
          <t>I309</t>
        </is>
      </c>
      <c r="B145" s="35" t="inlineStr">
        <is>
          <t>2-9</t>
        </is>
      </c>
      <c r="C145" s="52" t="n">
        <v>630</v>
      </c>
    </row>
    <row r="146" ht="18" customHeight="1" s="87">
      <c r="A146" t="inlineStr">
        <is>
          <t>I310</t>
        </is>
      </c>
      <c r="B146" s="35" t="inlineStr">
        <is>
          <t>10-19</t>
        </is>
      </c>
      <c r="C146" s="52" t="n">
        <v>717</v>
      </c>
    </row>
    <row r="147" ht="18" customHeight="1" s="87">
      <c r="A147" t="inlineStr">
        <is>
          <t>I311</t>
        </is>
      </c>
      <c r="B147" s="35" t="inlineStr">
        <is>
          <t>20-29</t>
        </is>
      </c>
      <c r="C147" s="52" t="n">
        <v>1316</v>
      </c>
    </row>
    <row r="148" ht="18" customHeight="1" s="87">
      <c r="A148" t="inlineStr">
        <is>
          <t>I312</t>
        </is>
      </c>
      <c r="B148" s="35" t="inlineStr">
        <is>
          <t>30-39</t>
        </is>
      </c>
      <c r="C148" s="52" t="n">
        <v>724</v>
      </c>
    </row>
    <row r="149" ht="18" customHeight="1" s="87">
      <c r="A149" t="inlineStr">
        <is>
          <t>I313</t>
        </is>
      </c>
      <c r="B149" s="35" t="inlineStr">
        <is>
          <t>40-49</t>
        </is>
      </c>
      <c r="C149" s="52" t="n">
        <v>146</v>
      </c>
    </row>
    <row r="150" ht="18" customHeight="1" s="87">
      <c r="A150" t="inlineStr">
        <is>
          <t>I314</t>
        </is>
      </c>
      <c r="B150" s="35" t="inlineStr">
        <is>
          <t>50-99</t>
        </is>
      </c>
      <c r="C150" s="52" t="n">
        <v>182</v>
      </c>
    </row>
    <row r="151" ht="18" customHeight="1" s="87">
      <c r="A151" t="inlineStr">
        <is>
          <t>I315</t>
        </is>
      </c>
      <c r="B151" s="2" t="inlineStr">
        <is>
          <t>100+</t>
        </is>
      </c>
      <c r="C151" s="52" t="n">
        <v>135</v>
      </c>
    </row>
    <row r="152" ht="18" customHeight="1" s="87">
      <c r="A152" t="inlineStr">
        <is>
          <t>I316</t>
        </is>
      </c>
      <c r="B152" s="2" t="inlineStr">
        <is>
          <t>Total</t>
        </is>
      </c>
      <c r="C152" s="34">
        <f>SUM(C145:C151)</f>
        <v/>
      </c>
    </row>
  </sheetData>
  <autoFilter ref="A1:L152"/>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63"/>
  <sheetViews>
    <sheetView zoomScaleNormal="100" workbookViewId="0">
      <pane ySplit="1" topLeftCell="A2" activePane="bottomLeft" state="frozen"/>
      <selection pane="bottomLeft" activeCell="A2" sqref="A2"/>
    </sheetView>
  </sheetViews>
  <sheetFormatPr baseColWidth="8" defaultColWidth="8.7109375" defaultRowHeight="15"/>
  <cols>
    <col width="8.7109375" customWidth="1" style="87" min="1" max="1"/>
    <col width="40.7109375" customWidth="1" style="87" min="2" max="2"/>
    <col width="41.42578125" customWidth="1" style="87" min="3" max="3"/>
  </cols>
  <sheetData>
    <row r="1">
      <c r="A1" t="inlineStr">
        <is>
          <t>Question Number</t>
        </is>
      </c>
      <c r="B1" t="inlineStr">
        <is>
          <t>Question</t>
        </is>
      </c>
      <c r="C1" t="inlineStr">
        <is>
          <t>Answer</t>
        </is>
      </c>
    </row>
    <row r="2"/>
    <row r="3"/>
    <row r="4"/>
    <row r="5"/>
    <row r="6"/>
    <row r="7"/>
    <row r="8"/>
    <row r="9"/>
    <row r="10"/>
    <row r="11"/>
    <row r="12"/>
    <row r="13"/>
    <row r="14"/>
    <row r="15"/>
    <row r="16" ht="23.1" customHeight="1" s="87"/>
    <row r="17">
      <c r="A17" t="inlineStr">
        <is>
          <t>J101</t>
        </is>
      </c>
      <c r="B17" s="2" t="inlineStr">
        <is>
          <t>Agriculture</t>
        </is>
      </c>
      <c r="C17" s="78" t="n"/>
      <c r="F17" s="4" t="n"/>
    </row>
    <row r="18">
      <c r="A18" t="inlineStr">
        <is>
          <t>J102</t>
        </is>
      </c>
      <c r="B18" s="2" t="inlineStr">
        <is>
          <t>Natural resources and conservation</t>
        </is>
      </c>
      <c r="C18" s="78" t="n"/>
      <c r="F18" s="4" t="n"/>
    </row>
    <row r="19">
      <c r="A19" t="inlineStr">
        <is>
          <t>J103</t>
        </is>
      </c>
      <c r="B19" s="2" t="inlineStr">
        <is>
          <t>Architecture</t>
        </is>
      </c>
      <c r="C19" s="78" t="n"/>
      <c r="F19" s="4" t="n"/>
    </row>
    <row r="20">
      <c r="A20" t="inlineStr">
        <is>
          <t>J104</t>
        </is>
      </c>
      <c r="B20" s="2" t="inlineStr">
        <is>
          <t>Area, ethnic, and gender studies</t>
        </is>
      </c>
      <c r="C20" s="78" t="n"/>
      <c r="F20" s="4" t="n"/>
    </row>
    <row r="21">
      <c r="A21" t="inlineStr">
        <is>
          <t>J105</t>
        </is>
      </c>
      <c r="B21" s="2" t="inlineStr">
        <is>
          <t>Communication/journalism</t>
        </is>
      </c>
      <c r="C21" s="78" t="n"/>
      <c r="F21" s="4" t="n"/>
    </row>
    <row r="22">
      <c r="A22" t="inlineStr">
        <is>
          <t>J106</t>
        </is>
      </c>
      <c r="B22" s="2" t="inlineStr">
        <is>
          <t>Communication technologies</t>
        </is>
      </c>
      <c r="C22" s="78" t="n"/>
      <c r="F22" s="4" t="n"/>
    </row>
    <row r="23">
      <c r="A23" t="inlineStr">
        <is>
          <t>J107</t>
        </is>
      </c>
      <c r="B23" s="2" t="inlineStr">
        <is>
          <t>Computer and information sciences</t>
        </is>
      </c>
      <c r="C23" s="78" t="n"/>
      <c r="F23" s="4" t="n"/>
    </row>
    <row r="24">
      <c r="A24" t="inlineStr">
        <is>
          <t>J108</t>
        </is>
      </c>
      <c r="B24" s="2" t="inlineStr">
        <is>
          <t>Personal and culinary services</t>
        </is>
      </c>
      <c r="C24" s="78" t="n"/>
      <c r="F24" s="4" t="n"/>
    </row>
    <row r="25">
      <c r="A25" t="inlineStr">
        <is>
          <t>J109</t>
        </is>
      </c>
      <c r="B25" s="2" t="inlineStr">
        <is>
          <t>Education</t>
        </is>
      </c>
      <c r="C25" s="78" t="n"/>
      <c r="F25" s="4" t="n"/>
    </row>
    <row r="26">
      <c r="A26" t="inlineStr">
        <is>
          <t>J110</t>
        </is>
      </c>
      <c r="B26" s="2" t="inlineStr">
        <is>
          <t>Engineering</t>
        </is>
      </c>
      <c r="C26" s="78" t="n"/>
      <c r="F26" s="4" t="n"/>
    </row>
    <row r="27" ht="15.6" customHeight="1" s="87">
      <c r="A27" t="inlineStr">
        <is>
          <t>J111</t>
        </is>
      </c>
      <c r="B27" s="2" t="inlineStr">
        <is>
          <t>Engineering technologies</t>
        </is>
      </c>
      <c r="C27" s="78" t="n"/>
      <c r="F27" s="4" t="n"/>
    </row>
    <row r="28" ht="30" customHeight="1" s="87">
      <c r="A28" t="inlineStr">
        <is>
          <t>J112</t>
        </is>
      </c>
      <c r="B28" s="2" t="inlineStr">
        <is>
          <t>Foreign languages, literatures, and linguistics</t>
        </is>
      </c>
      <c r="C28" s="78" t="n"/>
      <c r="F28" s="4" t="n"/>
    </row>
    <row r="29">
      <c r="A29" t="inlineStr">
        <is>
          <t>J113</t>
        </is>
      </c>
      <c r="B29" s="2" t="inlineStr">
        <is>
          <t>Family and consumer sciences</t>
        </is>
      </c>
      <c r="C29" s="78" t="n"/>
      <c r="F29" s="4" t="n"/>
    </row>
    <row r="30">
      <c r="A30" t="inlineStr">
        <is>
          <t>J114</t>
        </is>
      </c>
      <c r="B30" s="2" t="inlineStr">
        <is>
          <t>Law/legal studies</t>
        </is>
      </c>
      <c r="C30" s="78" t="n"/>
      <c r="F30" s="4" t="n"/>
    </row>
    <row r="31">
      <c r="A31" t="inlineStr">
        <is>
          <t>J115</t>
        </is>
      </c>
      <c r="B31" s="2" t="inlineStr">
        <is>
          <t>English</t>
        </is>
      </c>
      <c r="C31" s="78" t="n"/>
      <c r="F31" s="4" t="n"/>
    </row>
    <row r="32">
      <c r="A32" t="inlineStr">
        <is>
          <t>J116</t>
        </is>
      </c>
      <c r="B32" s="2" t="inlineStr">
        <is>
          <t>Liberal arts/general studies</t>
        </is>
      </c>
      <c r="C32" s="78" t="n"/>
      <c r="F32" s="4" t="n"/>
    </row>
    <row r="33">
      <c r="A33" t="inlineStr">
        <is>
          <t>J117</t>
        </is>
      </c>
      <c r="B33" s="2" t="inlineStr">
        <is>
          <t>Library science</t>
        </is>
      </c>
      <c r="C33" s="78" t="n"/>
      <c r="F33" s="4" t="n"/>
    </row>
    <row r="34">
      <c r="A34" t="inlineStr">
        <is>
          <t>J118</t>
        </is>
      </c>
      <c r="B34" s="2" t="inlineStr">
        <is>
          <t>Biological/life sciences</t>
        </is>
      </c>
      <c r="C34" s="78" t="n"/>
      <c r="F34" s="4" t="n"/>
    </row>
    <row r="35">
      <c r="A35" t="inlineStr">
        <is>
          <t>J119</t>
        </is>
      </c>
      <c r="B35" s="2" t="inlineStr">
        <is>
          <t>Mathematics and statistics</t>
        </is>
      </c>
      <c r="C35" s="78" t="n"/>
      <c r="F35" s="4" t="n"/>
    </row>
    <row r="36">
      <c r="A36" t="inlineStr">
        <is>
          <t>J120</t>
        </is>
      </c>
      <c r="B36" s="2" t="inlineStr">
        <is>
          <t>Military science and military technologies</t>
        </is>
      </c>
      <c r="C36" s="78" t="n"/>
      <c r="F36" s="4" t="n"/>
    </row>
    <row r="37">
      <c r="A37" t="inlineStr">
        <is>
          <t>J121</t>
        </is>
      </c>
      <c r="B37" s="2" t="inlineStr">
        <is>
          <t>Interdisciplinary studies</t>
        </is>
      </c>
      <c r="C37" s="78" t="n"/>
      <c r="F37" s="4" t="n"/>
    </row>
    <row r="38">
      <c r="A38" t="inlineStr">
        <is>
          <t>J122</t>
        </is>
      </c>
      <c r="B38" s="2" t="inlineStr">
        <is>
          <t>Parks and recreation</t>
        </is>
      </c>
      <c r="C38" s="78" t="n"/>
      <c r="F38" s="4" t="n"/>
    </row>
    <row r="39">
      <c r="A39" t="inlineStr">
        <is>
          <t>J123</t>
        </is>
      </c>
      <c r="B39" s="2" t="inlineStr">
        <is>
          <t>Philosophy and religious studies</t>
        </is>
      </c>
      <c r="C39" s="78" t="n"/>
      <c r="F39" s="4" t="n"/>
    </row>
    <row r="40">
      <c r="A40" t="inlineStr">
        <is>
          <t>J124</t>
        </is>
      </c>
      <c r="B40" s="2" t="inlineStr">
        <is>
          <t>Theology and religious vocations</t>
        </is>
      </c>
      <c r="C40" s="78" t="n"/>
      <c r="F40" s="4" t="n"/>
    </row>
    <row r="41">
      <c r="A41" t="inlineStr">
        <is>
          <t>J125</t>
        </is>
      </c>
      <c r="B41" s="2" t="inlineStr">
        <is>
          <t>Physical sciences</t>
        </is>
      </c>
      <c r="C41" s="78" t="n"/>
      <c r="F41" s="4" t="n"/>
    </row>
    <row r="42">
      <c r="A42" t="inlineStr">
        <is>
          <t>J126</t>
        </is>
      </c>
      <c r="B42" s="2" t="inlineStr">
        <is>
          <t>Science technologies</t>
        </is>
      </c>
      <c r="C42" s="78" t="n"/>
      <c r="F42" s="4" t="n"/>
    </row>
    <row r="43">
      <c r="A43" t="inlineStr">
        <is>
          <t>J127</t>
        </is>
      </c>
      <c r="B43" s="2" t="inlineStr">
        <is>
          <t>Psychology</t>
        </is>
      </c>
      <c r="C43" s="78" t="n"/>
      <c r="F43" s="4" t="n"/>
    </row>
    <row r="44" ht="30" customHeight="1" s="87">
      <c r="A44" t="inlineStr">
        <is>
          <t>J128</t>
        </is>
      </c>
      <c r="B44" s="2" t="inlineStr">
        <is>
          <t>Homeland Security, law enforcement, firefighting, and protective services</t>
        </is>
      </c>
      <c r="C44" s="78" t="n"/>
      <c r="F44" s="4" t="n"/>
    </row>
    <row r="45">
      <c r="A45" t="inlineStr">
        <is>
          <t>J129</t>
        </is>
      </c>
      <c r="B45" s="2" t="inlineStr">
        <is>
          <t>Public administration and social services</t>
        </is>
      </c>
      <c r="C45" s="78" t="n"/>
      <c r="F45" s="4" t="n"/>
    </row>
    <row r="46">
      <c r="A46" t="inlineStr">
        <is>
          <t>J130</t>
        </is>
      </c>
      <c r="B46" s="2" t="inlineStr">
        <is>
          <t xml:space="preserve">Social sciences </t>
        </is>
      </c>
      <c r="C46" s="78" t="n"/>
      <c r="F46" s="4" t="n"/>
    </row>
    <row r="47">
      <c r="A47" t="inlineStr">
        <is>
          <t>J131</t>
        </is>
      </c>
      <c r="B47" s="2" t="inlineStr">
        <is>
          <t>Construction trades</t>
        </is>
      </c>
      <c r="C47" s="78" t="n"/>
      <c r="F47" s="4" t="n"/>
    </row>
    <row r="48">
      <c r="A48" t="inlineStr">
        <is>
          <t>J132</t>
        </is>
      </c>
      <c r="B48" s="2" t="inlineStr">
        <is>
          <t>Mechanic and repair technologies</t>
        </is>
      </c>
      <c r="C48" s="78" t="n"/>
      <c r="F48" s="4" t="n"/>
    </row>
    <row r="49">
      <c r="A49" t="inlineStr">
        <is>
          <t>J133</t>
        </is>
      </c>
      <c r="B49" s="2" t="inlineStr">
        <is>
          <t>Precision production</t>
        </is>
      </c>
      <c r="C49" s="78" t="n"/>
      <c r="F49" s="4" t="n"/>
    </row>
    <row r="50">
      <c r="A50" t="inlineStr">
        <is>
          <t>J134</t>
        </is>
      </c>
      <c r="B50" s="2" t="inlineStr">
        <is>
          <t>Transportation and materials moving</t>
        </is>
      </c>
      <c r="C50" s="78" t="n"/>
      <c r="F50" s="4" t="n"/>
    </row>
    <row r="51">
      <c r="A51" t="inlineStr">
        <is>
          <t>J135</t>
        </is>
      </c>
      <c r="B51" s="2" t="inlineStr">
        <is>
          <t>Visual and performing arts</t>
        </is>
      </c>
      <c r="C51" s="78" t="n"/>
      <c r="F51" s="4" t="n"/>
    </row>
    <row r="52" ht="32.1" customHeight="1" s="87">
      <c r="A52" t="inlineStr">
        <is>
          <t>J136</t>
        </is>
      </c>
      <c r="B52" s="2" t="inlineStr">
        <is>
          <t>Health professions and related programs</t>
        </is>
      </c>
      <c r="C52" s="78" t="n"/>
      <c r="F52" s="4" t="n"/>
    </row>
    <row r="53">
      <c r="A53" t="inlineStr">
        <is>
          <t>J137</t>
        </is>
      </c>
      <c r="B53" s="2" t="inlineStr">
        <is>
          <t>Business/marketing</t>
        </is>
      </c>
      <c r="C53" s="78" t="n"/>
      <c r="F53" s="4" t="n"/>
    </row>
    <row r="54">
      <c r="A54" t="inlineStr">
        <is>
          <t>J138</t>
        </is>
      </c>
      <c r="B54" s="2" t="inlineStr">
        <is>
          <t>History</t>
        </is>
      </c>
      <c r="C54" s="78" t="n"/>
      <c r="F54" s="4" t="n"/>
    </row>
    <row r="55">
      <c r="A55" t="inlineStr">
        <is>
          <t>J139</t>
        </is>
      </c>
      <c r="B55" s="2" t="inlineStr">
        <is>
          <t>Other</t>
        </is>
      </c>
      <c r="C55" s="78" t="n"/>
      <c r="F55" s="4" t="n"/>
    </row>
    <row r="56">
      <c r="A56" t="inlineStr">
        <is>
          <t>J140</t>
        </is>
      </c>
      <c r="B56" t="inlineStr">
        <is>
          <t>TOTAL (should = 100%)</t>
        </is>
      </c>
      <c r="C56" s="78">
        <f>SUM(C17:C55)</f>
        <v/>
      </c>
      <c r="F56" s="4" t="n"/>
    </row>
    <row r="57"/>
    <row r="58"/>
    <row r="59"/>
    <row r="60"/>
    <row r="61"/>
    <row r="62"/>
    <row r="63" ht="23.1" customHeight="1" s="87"/>
    <row r="64">
      <c r="A64" t="inlineStr">
        <is>
          <t>J141</t>
        </is>
      </c>
      <c r="B64" s="2" t="inlineStr">
        <is>
          <t>Agriculture</t>
        </is>
      </c>
      <c r="C64" s="78" t="n"/>
      <c r="F64" s="4" t="n"/>
    </row>
    <row r="65">
      <c r="A65" t="inlineStr">
        <is>
          <t>J142</t>
        </is>
      </c>
      <c r="B65" s="2" t="inlineStr">
        <is>
          <t>Natural resources and conservation</t>
        </is>
      </c>
      <c r="C65" s="78" t="n"/>
      <c r="F65" s="4" t="n"/>
    </row>
    <row r="66">
      <c r="A66" t="inlineStr">
        <is>
          <t>J143</t>
        </is>
      </c>
      <c r="B66" s="2" t="inlineStr">
        <is>
          <t>Architecture</t>
        </is>
      </c>
      <c r="C66" s="78" t="n"/>
      <c r="F66" s="4" t="n"/>
    </row>
    <row r="67">
      <c r="A67" t="inlineStr">
        <is>
          <t>J144</t>
        </is>
      </c>
      <c r="B67" s="2" t="inlineStr">
        <is>
          <t>Area, ethnic, and gender studies</t>
        </is>
      </c>
      <c r="C67" s="78" t="n"/>
      <c r="F67" s="4" t="n"/>
    </row>
    <row r="68">
      <c r="A68" t="inlineStr">
        <is>
          <t>J145</t>
        </is>
      </c>
      <c r="B68" s="2" t="inlineStr">
        <is>
          <t>Communication/journalism</t>
        </is>
      </c>
      <c r="C68" s="78" t="n"/>
      <c r="F68" s="4" t="n"/>
    </row>
    <row r="69">
      <c r="A69" t="inlineStr">
        <is>
          <t>J146</t>
        </is>
      </c>
      <c r="B69" s="2" t="inlineStr">
        <is>
          <t>Communication technologies</t>
        </is>
      </c>
      <c r="C69" s="78" t="n"/>
      <c r="F69" s="4" t="n"/>
    </row>
    <row r="70">
      <c r="A70" t="inlineStr">
        <is>
          <t>J147</t>
        </is>
      </c>
      <c r="B70" s="2" t="inlineStr">
        <is>
          <t>Computer and information sciences</t>
        </is>
      </c>
      <c r="C70" s="78" t="n"/>
      <c r="F70" s="4" t="n"/>
    </row>
    <row r="71">
      <c r="A71" t="inlineStr">
        <is>
          <t>J148</t>
        </is>
      </c>
      <c r="B71" s="2" t="inlineStr">
        <is>
          <t>Personal and culinary services</t>
        </is>
      </c>
      <c r="C71" s="78" t="n"/>
      <c r="F71" s="4" t="n"/>
    </row>
    <row r="72">
      <c r="A72" t="inlineStr">
        <is>
          <t>J149</t>
        </is>
      </c>
      <c r="B72" s="2" t="inlineStr">
        <is>
          <t>Education</t>
        </is>
      </c>
      <c r="C72" s="78" t="n"/>
      <c r="F72" s="4" t="n"/>
    </row>
    <row r="73">
      <c r="A73" t="inlineStr">
        <is>
          <t>J150</t>
        </is>
      </c>
      <c r="B73" s="2" t="inlineStr">
        <is>
          <t>Engineering</t>
        </is>
      </c>
      <c r="C73" s="78" t="n"/>
      <c r="F73" s="4" t="n"/>
    </row>
    <row r="74" ht="15.6" customHeight="1" s="87">
      <c r="A74" t="inlineStr">
        <is>
          <t>J151</t>
        </is>
      </c>
      <c r="B74" s="2" t="inlineStr">
        <is>
          <t>Engineering technologies</t>
        </is>
      </c>
      <c r="C74" s="78" t="n"/>
      <c r="F74" s="4" t="n"/>
    </row>
    <row r="75" ht="30" customHeight="1" s="87">
      <c r="A75" t="inlineStr">
        <is>
          <t>J152</t>
        </is>
      </c>
      <c r="B75" s="2" t="inlineStr">
        <is>
          <t>Foreign languages, literatures, and linguistics</t>
        </is>
      </c>
      <c r="C75" s="78" t="n"/>
      <c r="F75" s="4" t="n"/>
    </row>
    <row r="76">
      <c r="A76" t="inlineStr">
        <is>
          <t>J153</t>
        </is>
      </c>
      <c r="B76" s="2" t="inlineStr">
        <is>
          <t>Family and consumer sciences</t>
        </is>
      </c>
      <c r="C76" s="78" t="n"/>
      <c r="F76" s="4" t="n"/>
    </row>
    <row r="77">
      <c r="A77" t="inlineStr">
        <is>
          <t>J154</t>
        </is>
      </c>
      <c r="B77" s="2" t="inlineStr">
        <is>
          <t>Law/legal studies</t>
        </is>
      </c>
      <c r="C77" s="78" t="n"/>
      <c r="F77" s="4" t="n"/>
    </row>
    <row r="78">
      <c r="A78" t="inlineStr">
        <is>
          <t>J155</t>
        </is>
      </c>
      <c r="B78" s="2" t="inlineStr">
        <is>
          <t>English</t>
        </is>
      </c>
      <c r="C78" s="78" t="n"/>
      <c r="F78" s="4" t="n"/>
    </row>
    <row r="79">
      <c r="A79" t="inlineStr">
        <is>
          <t>J156</t>
        </is>
      </c>
      <c r="B79" s="2" t="inlineStr">
        <is>
          <t>Liberal arts/general studies</t>
        </is>
      </c>
      <c r="C79" s="78" t="n"/>
      <c r="F79" s="4" t="n"/>
    </row>
    <row r="80">
      <c r="A80" t="inlineStr">
        <is>
          <t>J157</t>
        </is>
      </c>
      <c r="B80" s="2" t="inlineStr">
        <is>
          <t>Library science</t>
        </is>
      </c>
      <c r="C80" s="78" t="n"/>
      <c r="F80" s="4" t="n"/>
    </row>
    <row r="81">
      <c r="A81" t="inlineStr">
        <is>
          <t>J158</t>
        </is>
      </c>
      <c r="B81" s="2" t="inlineStr">
        <is>
          <t>Biological/life sciences</t>
        </is>
      </c>
      <c r="C81" s="78" t="n"/>
      <c r="F81" s="4" t="n"/>
    </row>
    <row r="82">
      <c r="A82" t="inlineStr">
        <is>
          <t>J159</t>
        </is>
      </c>
      <c r="B82" s="2" t="inlineStr">
        <is>
          <t>Mathematics and statistics</t>
        </is>
      </c>
      <c r="C82" s="78" t="n"/>
      <c r="F82" s="4" t="n"/>
    </row>
    <row r="83">
      <c r="A83" t="inlineStr">
        <is>
          <t>J160</t>
        </is>
      </c>
      <c r="B83" s="2" t="inlineStr">
        <is>
          <t>Military science and military technologies</t>
        </is>
      </c>
      <c r="C83" s="78" t="n"/>
      <c r="F83" s="4" t="n"/>
    </row>
    <row r="84">
      <c r="A84" t="inlineStr">
        <is>
          <t>J161</t>
        </is>
      </c>
      <c r="B84" s="2" t="inlineStr">
        <is>
          <t>Interdisciplinary studies</t>
        </is>
      </c>
      <c r="C84" s="78" t="n"/>
      <c r="F84" s="4" t="n"/>
    </row>
    <row r="85">
      <c r="A85" t="inlineStr">
        <is>
          <t>J162</t>
        </is>
      </c>
      <c r="B85" s="2" t="inlineStr">
        <is>
          <t>Parks and recreation</t>
        </is>
      </c>
      <c r="C85" s="78" t="n"/>
      <c r="F85" s="4" t="n"/>
    </row>
    <row r="86">
      <c r="A86" t="inlineStr">
        <is>
          <t>J163</t>
        </is>
      </c>
      <c r="B86" s="2" t="inlineStr">
        <is>
          <t>Philosophy and religious studies</t>
        </is>
      </c>
      <c r="C86" s="78" t="n"/>
      <c r="F86" s="4" t="n"/>
    </row>
    <row r="87">
      <c r="A87" t="inlineStr">
        <is>
          <t>J164</t>
        </is>
      </c>
      <c r="B87" s="2" t="inlineStr">
        <is>
          <t>Theology and religious vocations</t>
        </is>
      </c>
      <c r="C87" s="78" t="n"/>
      <c r="F87" s="4" t="n"/>
    </row>
    <row r="88">
      <c r="A88" t="inlineStr">
        <is>
          <t>J165</t>
        </is>
      </c>
      <c r="B88" s="2" t="inlineStr">
        <is>
          <t>Physical sciences</t>
        </is>
      </c>
      <c r="C88" s="78" t="n"/>
      <c r="F88" s="4" t="n"/>
    </row>
    <row r="89">
      <c r="A89" t="inlineStr">
        <is>
          <t>J166</t>
        </is>
      </c>
      <c r="B89" s="2" t="inlineStr">
        <is>
          <t>Science technologies</t>
        </is>
      </c>
      <c r="C89" s="78" t="n"/>
      <c r="F89" s="4" t="n"/>
    </row>
    <row r="90">
      <c r="A90" t="inlineStr">
        <is>
          <t>J167</t>
        </is>
      </c>
      <c r="B90" s="2" t="inlineStr">
        <is>
          <t>Psychology</t>
        </is>
      </c>
      <c r="C90" s="78" t="n"/>
      <c r="F90" s="4" t="n"/>
    </row>
    <row r="91" ht="30" customHeight="1" s="87">
      <c r="A91" t="inlineStr">
        <is>
          <t>J168</t>
        </is>
      </c>
      <c r="B91" s="2" t="inlineStr">
        <is>
          <t>Homeland Security, law enforcement, firefighting, and protective services</t>
        </is>
      </c>
      <c r="C91" s="78" t="n"/>
      <c r="F91" s="4" t="n"/>
    </row>
    <row r="92">
      <c r="A92" t="inlineStr">
        <is>
          <t>J169</t>
        </is>
      </c>
      <c r="B92" s="2" t="inlineStr">
        <is>
          <t>Public administration and social services</t>
        </is>
      </c>
      <c r="C92" s="78" t="n"/>
      <c r="F92" s="4" t="n"/>
    </row>
    <row r="93">
      <c r="A93" t="inlineStr">
        <is>
          <t>J170</t>
        </is>
      </c>
      <c r="B93" s="2" t="inlineStr">
        <is>
          <t xml:space="preserve">Social sciences </t>
        </is>
      </c>
      <c r="C93" s="78" t="n"/>
      <c r="F93" s="4" t="n"/>
    </row>
    <row r="94">
      <c r="A94" t="inlineStr">
        <is>
          <t>J171</t>
        </is>
      </c>
      <c r="B94" s="2" t="inlineStr">
        <is>
          <t>Construction trades</t>
        </is>
      </c>
      <c r="C94" s="78" t="n"/>
      <c r="F94" s="4" t="n"/>
    </row>
    <row r="95">
      <c r="A95" t="inlineStr">
        <is>
          <t>J172</t>
        </is>
      </c>
      <c r="B95" s="2" t="inlineStr">
        <is>
          <t>Mechanic and repair technologies</t>
        </is>
      </c>
      <c r="C95" s="78" t="n"/>
      <c r="F95" s="4" t="n"/>
    </row>
    <row r="96">
      <c r="A96" t="inlineStr">
        <is>
          <t>J173</t>
        </is>
      </c>
      <c r="B96" s="2" t="inlineStr">
        <is>
          <t>Precision production</t>
        </is>
      </c>
      <c r="C96" s="78" t="n"/>
      <c r="F96" s="4" t="n"/>
    </row>
    <row r="97">
      <c r="A97" t="inlineStr">
        <is>
          <t>J174</t>
        </is>
      </c>
      <c r="B97" s="2" t="inlineStr">
        <is>
          <t>Transportation and materials moving</t>
        </is>
      </c>
      <c r="C97" s="78" t="n"/>
      <c r="F97" s="4" t="n"/>
    </row>
    <row r="98">
      <c r="A98" t="inlineStr">
        <is>
          <t>J175</t>
        </is>
      </c>
      <c r="B98" s="2" t="inlineStr">
        <is>
          <t>Visual and performing arts</t>
        </is>
      </c>
      <c r="C98" s="78" t="n"/>
      <c r="F98" s="4" t="n"/>
    </row>
    <row r="99" ht="32.1" customHeight="1" s="87">
      <c r="A99" t="inlineStr">
        <is>
          <t>J176</t>
        </is>
      </c>
      <c r="B99" s="2" t="inlineStr">
        <is>
          <t>Health professions and related programs</t>
        </is>
      </c>
      <c r="C99" s="78" t="n"/>
      <c r="F99" s="4" t="n"/>
    </row>
    <row r="100">
      <c r="A100" t="inlineStr">
        <is>
          <t>J177</t>
        </is>
      </c>
      <c r="B100" s="2" t="inlineStr">
        <is>
          <t>Business/marketing</t>
        </is>
      </c>
      <c r="C100" s="78" t="n"/>
      <c r="F100" s="4" t="n"/>
    </row>
    <row r="101">
      <c r="A101" t="inlineStr">
        <is>
          <t>J178</t>
        </is>
      </c>
      <c r="B101" s="2" t="inlineStr">
        <is>
          <t>History</t>
        </is>
      </c>
      <c r="C101" s="78" t="n"/>
      <c r="F101" s="4" t="n"/>
    </row>
    <row r="102">
      <c r="A102" t="inlineStr">
        <is>
          <t>J179</t>
        </is>
      </c>
      <c r="B102" s="2" t="inlineStr">
        <is>
          <t>Other</t>
        </is>
      </c>
      <c r="C102" s="78" t="n"/>
      <c r="F102" s="4" t="n"/>
    </row>
    <row r="103">
      <c r="A103" t="inlineStr">
        <is>
          <t>J180</t>
        </is>
      </c>
      <c r="B103" t="inlineStr">
        <is>
          <t>TOTAL (should = 100%)</t>
        </is>
      </c>
      <c r="C103" s="78">
        <f>SUM(C64:C102)</f>
        <v/>
      </c>
      <c r="F103" s="4" t="n"/>
    </row>
    <row r="104"/>
    <row r="105"/>
    <row r="106"/>
    <row r="107"/>
    <row r="108"/>
    <row r="109" ht="23.1" customHeight="1" s="87"/>
    <row r="110">
      <c r="A110" t="inlineStr">
        <is>
          <t>J181</t>
        </is>
      </c>
      <c r="B110" s="2" t="inlineStr">
        <is>
          <t>Agriculture</t>
        </is>
      </c>
      <c r="C110" s="105" t="n">
        <v>0.055</v>
      </c>
      <c r="D110" s="50" t="n"/>
      <c r="E110" s="50" t="n"/>
      <c r="F110" s="4" t="n"/>
    </row>
    <row r="111">
      <c r="A111" t="inlineStr">
        <is>
          <t>J182</t>
        </is>
      </c>
      <c r="B111" s="2" t="inlineStr">
        <is>
          <t>Natural resources and conservation</t>
        </is>
      </c>
      <c r="C111" s="51" t="n">
        <v>0.007</v>
      </c>
      <c r="D111" s="50" t="n"/>
      <c r="E111" s="50" t="n"/>
      <c r="F111" s="4" t="n"/>
    </row>
    <row r="112">
      <c r="A112" t="inlineStr">
        <is>
          <t>J183</t>
        </is>
      </c>
      <c r="B112" s="2" t="inlineStr">
        <is>
          <t>Architecture</t>
        </is>
      </c>
      <c r="C112" s="51" t="n">
        <v>0.011</v>
      </c>
      <c r="D112" s="50" t="n"/>
      <c r="E112" s="50" t="n"/>
      <c r="F112" s="4" t="n"/>
    </row>
    <row r="113">
      <c r="A113" t="inlineStr">
        <is>
          <t>J184</t>
        </is>
      </c>
      <c r="B113" s="2" t="inlineStr">
        <is>
          <t>Area, ethnic, and gender studies</t>
        </is>
      </c>
      <c r="C113" s="51" t="n">
        <v>0.004</v>
      </c>
      <c r="D113" s="50" t="n"/>
      <c r="E113" s="50" t="n"/>
      <c r="F113" s="4" t="n"/>
    </row>
    <row r="114">
      <c r="A114" t="inlineStr">
        <is>
          <t>J185</t>
        </is>
      </c>
      <c r="B114" s="2" t="inlineStr">
        <is>
          <t>Communication/journalism</t>
        </is>
      </c>
      <c r="C114" s="51" t="n">
        <v>0.053</v>
      </c>
      <c r="D114" s="50" t="n"/>
      <c r="E114" s="50" t="n"/>
      <c r="F114" s="4" t="n"/>
    </row>
    <row r="115">
      <c r="A115" t="inlineStr">
        <is>
          <t>J186</t>
        </is>
      </c>
      <c r="B115" s="2" t="inlineStr">
        <is>
          <t>Communication technologies</t>
        </is>
      </c>
      <c r="C115" s="51" t="n">
        <v>0</v>
      </c>
      <c r="D115" s="50" t="n"/>
      <c r="E115" s="50" t="n"/>
      <c r="F115" s="4" t="n"/>
    </row>
    <row r="116">
      <c r="A116" t="inlineStr">
        <is>
          <t>J187</t>
        </is>
      </c>
      <c r="B116" s="2" t="inlineStr">
        <is>
          <t>Computer and information sciences</t>
        </is>
      </c>
      <c r="C116" s="51" t="n">
        <v>0.073</v>
      </c>
      <c r="D116" s="50" t="n"/>
      <c r="E116" s="50" t="n"/>
      <c r="F116" s="4" t="n"/>
    </row>
    <row r="117">
      <c r="A117" t="inlineStr">
        <is>
          <t>J188</t>
        </is>
      </c>
      <c r="B117" s="2" t="inlineStr">
        <is>
          <t>Personal and culinary services</t>
        </is>
      </c>
      <c r="C117" s="51" t="n">
        <v>0</v>
      </c>
      <c r="D117" s="50" t="n"/>
      <c r="E117" s="50" t="n"/>
      <c r="F117" s="4" t="n"/>
    </row>
    <row r="118">
      <c r="A118" t="inlineStr">
        <is>
          <t>J189</t>
        </is>
      </c>
      <c r="B118" s="2" t="inlineStr">
        <is>
          <t>Education</t>
        </is>
      </c>
      <c r="C118" s="51" t="n">
        <v>0.028</v>
      </c>
      <c r="D118" s="50" t="n"/>
      <c r="E118" s="50" t="n"/>
      <c r="F118" s="4" t="n"/>
      <c r="I118" s="55" t="n"/>
    </row>
    <row r="119">
      <c r="A119" t="inlineStr">
        <is>
          <t>J190</t>
        </is>
      </c>
      <c r="B119" s="2" t="inlineStr">
        <is>
          <t>Engineering</t>
        </is>
      </c>
      <c r="C119" s="51" t="n">
        <v>0.202</v>
      </c>
      <c r="D119" s="50" t="n"/>
      <c r="E119" s="50" t="n"/>
      <c r="F119" s="4" t="n"/>
    </row>
    <row r="120" ht="15.6" customHeight="1" s="87">
      <c r="A120" t="inlineStr">
        <is>
          <t>J191</t>
        </is>
      </c>
      <c r="B120" s="2" t="inlineStr">
        <is>
          <t>Engineering technologies</t>
        </is>
      </c>
      <c r="C120" s="51" t="n">
        <v>0.001</v>
      </c>
      <c r="D120" s="50" t="n"/>
      <c r="E120" s="50" t="n"/>
      <c r="F120" s="4" t="n"/>
    </row>
    <row r="121" ht="30" customHeight="1" s="87">
      <c r="A121" t="inlineStr">
        <is>
          <t>J192</t>
        </is>
      </c>
      <c r="B121" s="2" t="inlineStr">
        <is>
          <t>Foreign languages, literatures, and linguistics</t>
        </is>
      </c>
      <c r="C121" s="51" t="n">
        <v>0.008</v>
      </c>
      <c r="D121" s="50" t="n"/>
      <c r="E121" s="50" t="n"/>
      <c r="F121" s="4" t="n"/>
    </row>
    <row r="122">
      <c r="A122" t="inlineStr">
        <is>
          <t>J193</t>
        </is>
      </c>
      <c r="B122" s="2" t="inlineStr">
        <is>
          <t>Family and consumer sciences</t>
        </is>
      </c>
      <c r="C122" s="51" t="n">
        <v>0.008</v>
      </c>
      <c r="D122" s="50" t="n"/>
      <c r="E122" s="50" t="n"/>
      <c r="F122" s="4" t="n"/>
    </row>
    <row r="123">
      <c r="A123" t="inlineStr">
        <is>
          <t>J194</t>
        </is>
      </c>
      <c r="B123" s="2" t="inlineStr">
        <is>
          <t>Law/legal studies</t>
        </is>
      </c>
      <c r="C123" s="51" t="n">
        <v>0</v>
      </c>
      <c r="D123" s="50" t="n"/>
      <c r="E123" s="50" t="n"/>
      <c r="F123" s="4" t="n"/>
    </row>
    <row r="124">
      <c r="A124" t="inlineStr">
        <is>
          <t>J195</t>
        </is>
      </c>
      <c r="B124" s="2" t="inlineStr">
        <is>
          <t>English</t>
        </is>
      </c>
      <c r="C124" s="51" t="n">
        <v>0.013</v>
      </c>
      <c r="D124" s="50" t="n"/>
      <c r="E124" s="50" t="n"/>
      <c r="F124" s="4" t="n"/>
      <c r="I124" s="55" t="n"/>
    </row>
    <row r="125">
      <c r="A125" t="inlineStr">
        <is>
          <t>J196</t>
        </is>
      </c>
      <c r="B125" s="2" t="inlineStr">
        <is>
          <t>Liberal arts/general studies</t>
        </is>
      </c>
      <c r="C125" s="51" t="n">
        <v>0.001</v>
      </c>
      <c r="D125" s="50" t="n"/>
      <c r="E125" s="50" t="n"/>
      <c r="F125" s="4" t="n"/>
      <c r="I125" s="55" t="n"/>
    </row>
    <row r="126">
      <c r="A126" t="inlineStr">
        <is>
          <t>J197</t>
        </is>
      </c>
      <c r="B126" s="2" t="inlineStr">
        <is>
          <t>Library science</t>
        </is>
      </c>
      <c r="C126" s="51" t="n">
        <v>0</v>
      </c>
      <c r="D126" s="50" t="n"/>
      <c r="E126" s="50" t="n"/>
      <c r="F126" s="4" t="n"/>
    </row>
    <row r="127">
      <c r="A127" t="inlineStr">
        <is>
          <t>J198</t>
        </is>
      </c>
      <c r="B127" s="2" t="inlineStr">
        <is>
          <t>Biological/life sciences</t>
        </is>
      </c>
      <c r="C127" s="51" t="n">
        <v>0.056</v>
      </c>
      <c r="D127" s="50" t="n"/>
      <c r="E127" s="50" t="n"/>
      <c r="F127" s="4" t="n"/>
    </row>
    <row r="128">
      <c r="A128" t="inlineStr">
        <is>
          <t>J199</t>
        </is>
      </c>
      <c r="B128" s="2" t="inlineStr">
        <is>
          <t>Mathematics and statistics</t>
        </is>
      </c>
      <c r="C128" s="51" t="n">
        <v>0.049</v>
      </c>
      <c r="D128" s="50" t="n"/>
      <c r="E128" s="50" t="n"/>
      <c r="F128" s="4" t="n"/>
    </row>
    <row r="129">
      <c r="A129" t="inlineStr">
        <is>
          <t>J200</t>
        </is>
      </c>
      <c r="B129" s="2" t="inlineStr">
        <is>
          <t>Military science and military technologies</t>
        </is>
      </c>
      <c r="C129" s="51" t="n">
        <v>0</v>
      </c>
      <c r="D129" s="50" t="n"/>
      <c r="E129" s="50" t="n"/>
      <c r="F129" s="4" t="n"/>
    </row>
    <row r="130">
      <c r="A130" t="inlineStr">
        <is>
          <t>J201</t>
        </is>
      </c>
      <c r="B130" s="2" t="inlineStr">
        <is>
          <t>Interdisciplinary studies</t>
        </is>
      </c>
      <c r="C130" s="51" t="n">
        <v>0.03</v>
      </c>
      <c r="D130" s="50" t="n"/>
      <c r="E130" s="50" t="n"/>
      <c r="F130" s="4" t="n"/>
    </row>
    <row r="131">
      <c r="A131" t="inlineStr">
        <is>
          <t>J202</t>
        </is>
      </c>
      <c r="B131" s="2" t="inlineStr">
        <is>
          <t>Parks and recreation</t>
        </is>
      </c>
      <c r="C131" s="51" t="n">
        <v>0.029</v>
      </c>
      <c r="D131" s="50" t="n"/>
      <c r="E131" s="50" t="n"/>
      <c r="F131" s="4" t="n"/>
    </row>
    <row r="132">
      <c r="A132" t="inlineStr">
        <is>
          <t>J203</t>
        </is>
      </c>
      <c r="B132" s="2" t="inlineStr">
        <is>
          <t>Philosophy and religious studies</t>
        </is>
      </c>
      <c r="C132" s="51" t="n">
        <v>0.003</v>
      </c>
      <c r="D132" s="50" t="n"/>
      <c r="E132" s="50" t="n"/>
      <c r="F132" s="4" t="n"/>
    </row>
    <row r="133">
      <c r="A133" t="inlineStr">
        <is>
          <t>J204</t>
        </is>
      </c>
      <c r="B133" s="2" t="inlineStr">
        <is>
          <t>Theology and religious vocations</t>
        </is>
      </c>
      <c r="C133" s="51" t="n">
        <v>0</v>
      </c>
      <c r="D133" s="50" t="n"/>
      <c r="E133" s="50" t="n"/>
      <c r="F133" s="4" t="n"/>
    </row>
    <row r="134">
      <c r="A134" t="inlineStr">
        <is>
          <t>J205</t>
        </is>
      </c>
      <c r="B134" s="2" t="inlineStr">
        <is>
          <t>Physical sciences</t>
        </is>
      </c>
      <c r="C134" s="51" t="n">
        <v>0.023</v>
      </c>
      <c r="D134" s="50" t="n"/>
      <c r="E134" s="50" t="n"/>
      <c r="F134" s="4" t="n"/>
    </row>
    <row r="135">
      <c r="A135" t="inlineStr">
        <is>
          <t>J206</t>
        </is>
      </c>
      <c r="B135" s="2" t="inlineStr">
        <is>
          <t>Science technologies</t>
        </is>
      </c>
      <c r="C135" s="51" t="n">
        <v>0</v>
      </c>
      <c r="D135" s="50" t="n"/>
      <c r="E135" s="50" t="n"/>
      <c r="F135" s="4" t="n"/>
    </row>
    <row r="136">
      <c r="A136" t="inlineStr">
        <is>
          <t>J207</t>
        </is>
      </c>
      <c r="B136" s="2" t="inlineStr">
        <is>
          <t>Psychology</t>
        </is>
      </c>
      <c r="C136" s="51" t="n">
        <v>0.06900000000000001</v>
      </c>
      <c r="D136" s="50" t="n"/>
      <c r="E136" s="50" t="n"/>
      <c r="F136" s="4" t="n"/>
    </row>
    <row r="137" ht="30" customHeight="1" s="87">
      <c r="A137" t="inlineStr">
        <is>
          <t>J208</t>
        </is>
      </c>
      <c r="B137" s="2" t="inlineStr">
        <is>
          <t>Homeland Security, law enforcement, firefighting, and protective services</t>
        </is>
      </c>
      <c r="C137" s="51" t="n">
        <v>0</v>
      </c>
      <c r="D137" s="50" t="n"/>
      <c r="E137" s="50" t="n"/>
      <c r="F137" s="4" t="n"/>
    </row>
    <row r="138">
      <c r="A138" t="inlineStr">
        <is>
          <t>J209</t>
        </is>
      </c>
      <c r="B138" s="2" t="inlineStr">
        <is>
          <t>Public administration and social services</t>
        </is>
      </c>
      <c r="C138" s="51" t="n">
        <v>0.008</v>
      </c>
      <c r="D138" s="50" t="n"/>
      <c r="E138" s="50" t="n"/>
      <c r="F138" s="4" t="n"/>
    </row>
    <row r="139">
      <c r="A139" t="inlineStr">
        <is>
          <t>J210</t>
        </is>
      </c>
      <c r="B139" s="2" t="inlineStr">
        <is>
          <t xml:space="preserve">Social sciences </t>
        </is>
      </c>
      <c r="C139" s="51" t="n">
        <v>0.079</v>
      </c>
      <c r="D139" s="50" t="n"/>
      <c r="E139" s="50" t="n"/>
      <c r="F139" s="4" t="n"/>
    </row>
    <row r="140">
      <c r="A140" t="inlineStr">
        <is>
          <t>J211</t>
        </is>
      </c>
      <c r="B140" s="2" t="inlineStr">
        <is>
          <t>Construction trades</t>
        </is>
      </c>
      <c r="C140" s="51" t="n">
        <v>0</v>
      </c>
      <c r="D140" s="50" t="n"/>
      <c r="E140" s="50" t="n"/>
      <c r="F140" s="4" t="n"/>
    </row>
    <row r="141">
      <c r="A141" t="inlineStr">
        <is>
          <t>J212</t>
        </is>
      </c>
      <c r="B141" s="2" t="inlineStr">
        <is>
          <t>Mechanic and repair technologies</t>
        </is>
      </c>
      <c r="C141" s="51" t="n">
        <v>0</v>
      </c>
      <c r="D141" s="50" t="n"/>
      <c r="E141" s="50" t="n"/>
      <c r="F141" s="4" t="n"/>
    </row>
    <row r="142">
      <c r="A142" t="inlineStr">
        <is>
          <t>J213</t>
        </is>
      </c>
      <c r="B142" s="2" t="inlineStr">
        <is>
          <t>Precision production</t>
        </is>
      </c>
      <c r="C142" s="51" t="n">
        <v>0</v>
      </c>
      <c r="D142" s="50" t="n"/>
      <c r="E142" s="50" t="n"/>
      <c r="F142" s="4" t="n"/>
    </row>
    <row r="143">
      <c r="A143" t="inlineStr">
        <is>
          <t>J214</t>
        </is>
      </c>
      <c r="B143" s="2" t="inlineStr">
        <is>
          <t>Transportation and materials moving</t>
        </is>
      </c>
      <c r="C143" s="51" t="n">
        <v>0</v>
      </c>
      <c r="D143" s="50" t="n"/>
      <c r="E143" s="50" t="n"/>
      <c r="F143" s="4" t="n"/>
    </row>
    <row r="144">
      <c r="A144" t="inlineStr">
        <is>
          <t>J215</t>
        </is>
      </c>
      <c r="B144" s="2" t="inlineStr">
        <is>
          <t>Visual and performing arts</t>
        </is>
      </c>
      <c r="C144" s="51" t="n">
        <v>0.021</v>
      </c>
      <c r="D144" s="50" t="n"/>
      <c r="E144" s="50" t="n"/>
      <c r="F144" s="4" t="n"/>
    </row>
    <row r="145" ht="32.1" customHeight="1" s="87">
      <c r="A145" t="inlineStr">
        <is>
          <t>J216</t>
        </is>
      </c>
      <c r="B145" s="2" t="inlineStr">
        <is>
          <t>Health professions and related programs</t>
        </is>
      </c>
      <c r="C145" s="51" t="n">
        <v>0.039</v>
      </c>
      <c r="D145" s="50" t="n"/>
      <c r="E145" s="50" t="n"/>
      <c r="F145" s="4" t="n"/>
    </row>
    <row r="146">
      <c r="A146" t="inlineStr">
        <is>
          <t>J217</t>
        </is>
      </c>
      <c r="B146" s="2" t="inlineStr">
        <is>
          <t>Business/marketing</t>
        </is>
      </c>
      <c r="C146" s="51" t="n">
        <v>0.12</v>
      </c>
      <c r="D146" s="50" t="n"/>
      <c r="E146" s="50" t="n"/>
      <c r="F146" s="4" t="n"/>
    </row>
    <row r="147">
      <c r="A147" t="inlineStr">
        <is>
          <t>J218</t>
        </is>
      </c>
      <c r="B147" s="2" t="inlineStr">
        <is>
          <t>History</t>
        </is>
      </c>
      <c r="C147" s="51" t="n">
        <v>0.01</v>
      </c>
      <c r="D147" s="50" t="n"/>
      <c r="E147" s="50" t="n"/>
      <c r="F147" s="4" t="n"/>
    </row>
    <row r="148">
      <c r="A148" t="inlineStr">
        <is>
          <t>J219</t>
        </is>
      </c>
      <c r="B148" s="2" t="inlineStr">
        <is>
          <t>Other</t>
        </is>
      </c>
      <c r="C148" s="50" t="n"/>
      <c r="D148" s="50" t="n"/>
      <c r="E148" s="50" t="n"/>
      <c r="F148" s="4" t="n"/>
    </row>
    <row r="149">
      <c r="A149" t="inlineStr">
        <is>
          <t>J220</t>
        </is>
      </c>
      <c r="B149" t="inlineStr">
        <is>
          <t>TOTAL (should = 100%)</t>
        </is>
      </c>
      <c r="C149" s="78">
        <f>SUM(C110:C148)</f>
        <v/>
      </c>
      <c r="F149" s="4" t="n"/>
    </row>
    <row r="150"/>
    <row r="151"/>
    <row r="152"/>
    <row r="153"/>
    <row r="154"/>
    <row r="155"/>
    <row r="156"/>
    <row r="157"/>
    <row r="158"/>
    <row r="159"/>
    <row r="160"/>
    <row r="161"/>
    <row r="162"/>
    <row r="163">
      <c r="J163" s="106" t="n"/>
    </row>
  </sheetData>
  <autoFilter ref="A1:L149"/>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Z1007"/>
  <sheetViews>
    <sheetView showGridLines="0" topLeftCell="A64" zoomScaleNormal="100" workbookViewId="0">
      <selection activeCell="A123" sqref="A123"/>
    </sheetView>
  </sheetViews>
  <sheetFormatPr baseColWidth="8" defaultColWidth="12.42578125" defaultRowHeight="15" customHeight="1"/>
  <cols>
    <col width="88.85546875" customWidth="1" style="13" min="1" max="1"/>
    <col width="0.85546875" customWidth="1" style="13" min="2" max="2"/>
    <col hidden="1" width="8.42578125" customWidth="1" style="13" min="3" max="6"/>
    <col width="8.42578125" customWidth="1" style="13" min="7" max="26"/>
    <col width="12.42578125" customWidth="1" style="13" min="27" max="16384"/>
  </cols>
  <sheetData>
    <row r="1" ht="12.75" customHeight="1" s="87">
      <c r="A1" s="11" t="inlineStr">
        <is>
          <t>Common Data Set Definitions</t>
        </is>
      </c>
      <c r="B1" s="12" t="n"/>
      <c r="C1" s="12" t="n"/>
      <c r="D1" s="12" t="n"/>
      <c r="E1" s="12" t="n"/>
      <c r="F1" s="12" t="n"/>
      <c r="G1" s="12" t="n"/>
      <c r="H1" s="12" t="n"/>
      <c r="I1" s="12" t="n"/>
      <c r="J1" s="12" t="n"/>
      <c r="K1" s="12" t="n"/>
      <c r="L1" s="12" t="n"/>
      <c r="M1" s="12" t="n"/>
      <c r="N1" s="12" t="n"/>
      <c r="O1" s="12" t="n"/>
      <c r="P1" s="12" t="n"/>
      <c r="Q1" s="12" t="n"/>
      <c r="R1" s="12" t="n"/>
      <c r="S1" s="12" t="n"/>
      <c r="T1" s="12" t="n"/>
      <c r="U1" s="12" t="n"/>
      <c r="V1" s="12" t="n"/>
      <c r="W1" s="12" t="n"/>
      <c r="X1" s="12" t="n"/>
      <c r="Y1" s="12" t="n"/>
      <c r="Z1" s="12" t="n"/>
    </row>
    <row r="2" ht="12.75" customHeight="1" s="87">
      <c r="A2" s="14" t="inlineStr">
        <is>
          <t>¨        All definitions related to the financial aid section appear at the end of the Definitions document.</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c r="Z2" s="12" t="n"/>
    </row>
    <row r="3" ht="12.75" customHeight="1" s="87">
      <c r="A3" s="15" t="n"/>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row>
    <row r="4" ht="12.75" customHeight="1" s="87">
      <c r="A4" s="14" t="inlineStr">
        <is>
          <t xml:space="preserve">¨        Items preceded by an asterisk (*) represent definitions agreed to among publishers which do not appear on the CDS document but may be present on individual publishers’ surveys. </t>
        </is>
      </c>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ht="12.75" customHeight="1" s="87">
      <c r="A5" s="14"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row>
    <row r="6" ht="12.75" customHeight="1" s="87">
      <c r="A6" s="16" t="inlineStr">
        <is>
          <t>¨        Additional guidance for some terms, particularly those common with the IPEDS survey, may be found here:  https://surveys.nces.ed.gov/ipeds/public/glossary</t>
        </is>
      </c>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ht="12.75" customHeight="1" s="87">
      <c r="A7" s="14" t="n"/>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row>
    <row r="8" ht="12.75" customHeight="1" s="87">
      <c r="A8" s="17" t="inlineStr">
        <is>
          <t>*Academic advisement: Plan under which each student is assigned to a faculty member or a trained adviser, who, through regular meetings, helps the student plan and implement immediate and long-term academic and vocational goals.</t>
        </is>
      </c>
      <c r="B8" s="12" t="n"/>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row>
    <row r="9" ht="12.75" customHeight="1" s="87">
      <c r="A9" s="17" t="inlineStr">
        <is>
          <t>Accelerated program: Completion of a college program of study in fewer than the usual number of years, most often by attending summer sessions and carrying extra courses during the regular academic term.</t>
        </is>
      </c>
      <c r="B9" s="12" t="n"/>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row>
    <row r="10" ht="12.75" customHeight="1" s="87">
      <c r="A10" s="17" t="inlineStr">
        <is>
          <t>Admitted student: Applicant who is offered admission to a degree-granting program at your institution.</t>
        </is>
      </c>
      <c r="B10" s="12" t="n"/>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ht="12.75" customHeight="1" s="87">
      <c r="A11" s="17" t="n"/>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ht="12.75" customHeight="1" s="87">
      <c r="A12" s="17" t="inlineStr">
        <is>
          <t>*Adult student services: Admission assistance, support, orientation, and other services expressly for adults who have started college for the first time, or who are re-entering after a lapse of a few years.</t>
        </is>
      </c>
      <c r="B12" s="12" t="n"/>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ht="12.75" customHeight="1" s="87">
      <c r="A13" s="17" t="inlineStr">
        <is>
          <t>American Indian or Alaska Native: A person having origins in any of the original peoples of North and South America (including Central America) and maintaining tribal affiliation or community attachment.</t>
        </is>
      </c>
      <c r="B13" s="12" t="n"/>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ht="12.75" customHeight="1" s="87">
      <c r="A14" s="17" t="inlineStr">
        <is>
          <t>Applicant (first-time, first year):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is>
      </c>
      <c r="B14" s="12" t="n"/>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ht="12.75" customHeight="1" s="87">
      <c r="A15" s="17" t="inlineStr">
        <is>
          <t>Application fee: That amount of money that an institution charges for processing a student’s application for acceptance. This amount is not creditable toward tuition and required fees, nor is it refundable if the student is not admitted to the institution.</t>
        </is>
      </c>
      <c r="B15" s="12" t="n"/>
      <c r="C15" s="12" t="n"/>
      <c r="D15" s="12" t="n"/>
      <c r="E15" s="12" t="n"/>
      <c r="F15" s="12" t="n"/>
      <c r="G15" s="12" t="n"/>
      <c r="H15" s="12" t="n"/>
      <c r="I15" s="12" t="n"/>
      <c r="J15" s="12" t="n"/>
      <c r="K15" s="12" t="n"/>
      <c r="L15" s="12" t="n"/>
      <c r="M15" s="12" t="n"/>
      <c r="N15" s="12" t="n"/>
      <c r="O15" s="12" t="n"/>
      <c r="P15" s="12" t="n"/>
      <c r="Q15" s="12" t="n"/>
      <c r="R15" s="12" t="n"/>
      <c r="S15" s="12" t="n"/>
      <c r="T15" s="12" t="n"/>
      <c r="U15" s="12" t="n"/>
      <c r="V15" s="12" t="n"/>
      <c r="W15" s="12" t="n"/>
      <c r="X15" s="12" t="n"/>
      <c r="Y15" s="12" t="n"/>
      <c r="Z15" s="12" t="n"/>
    </row>
    <row r="16" ht="12.75" customHeight="1" s="87">
      <c r="A16" s="17" t="inlineStr">
        <is>
          <t>Asian: A person having origins in any of the original peoples of the Far East, Southeast Asia, or the Indian subcontinent, including, for example, Cambodia, China, India, Japan, Korea, Malaysia, Pakistan, the Philippine Islands, Thailand, and Vietnam.</t>
        </is>
      </c>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row>
    <row r="17" ht="12.75" customHeight="1" s="87">
      <c r="A17" s="17" t="inlineStr">
        <is>
          <t>Associate degree: An award that normally requires at least two but less than four years of full-time equivalent college work.</t>
        </is>
      </c>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row>
    <row r="18" ht="12.75" customHeight="1" s="87">
      <c r="A18" s="17" t="inlineStr">
        <is>
          <t>Bachelor’s degree: An award (baccalaureate or equivalent degree, as determined by the Secretary of the U.S. Department of Education) that normally requires at least four years but not 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is>
      </c>
      <c r="B18" s="12" t="n"/>
      <c r="C18" s="12" t="n"/>
      <c r="D18" s="12" t="n"/>
      <c r="E18" s="12" t="n"/>
      <c r="F18" s="12" t="n"/>
      <c r="G18" s="12" t="n"/>
      <c r="H18" s="12" t="n"/>
      <c r="I18" s="12" t="n"/>
      <c r="J18" s="12" t="n"/>
      <c r="K18" s="12" t="n"/>
      <c r="L18" s="12" t="n"/>
      <c r="M18" s="12" t="n"/>
      <c r="N18" s="12" t="n"/>
      <c r="O18" s="12" t="n"/>
      <c r="P18" s="12" t="n"/>
      <c r="Q18" s="12" t="n"/>
      <c r="R18" s="12" t="n"/>
      <c r="S18" s="12" t="n"/>
      <c r="T18" s="12" t="n"/>
      <c r="U18" s="12" t="n"/>
      <c r="V18" s="12" t="n"/>
      <c r="W18" s="12" t="n"/>
      <c r="X18" s="12" t="n"/>
      <c r="Y18" s="12" t="n"/>
      <c r="Z18" s="12" t="n"/>
    </row>
    <row r="19" ht="12.75" customHeight="1" s="87">
      <c r="A19" s="17" t="inlineStr">
        <is>
          <t>Black or African American: A person having origins in any of the black racial groups of Africa.</t>
        </is>
      </c>
      <c r="B19" s="12" t="n"/>
      <c r="C19" s="12" t="n"/>
      <c r="D19" s="12" t="n"/>
      <c r="E19" s="12" t="n"/>
      <c r="F19" s="12" t="n"/>
      <c r="G19" s="12" t="n"/>
      <c r="H19" s="12" t="n"/>
      <c r="I19" s="12" t="n"/>
      <c r="J19" s="12" t="n"/>
      <c r="K19" s="12" t="n"/>
      <c r="L19" s="12" t="n"/>
      <c r="M19" s="12" t="n"/>
      <c r="N19" s="12" t="n"/>
      <c r="O19" s="12" t="n"/>
      <c r="P19" s="12" t="n"/>
      <c r="Q19" s="12" t="n"/>
      <c r="R19" s="12" t="n"/>
      <c r="S19" s="12" t="n"/>
      <c r="T19" s="12" t="n"/>
      <c r="U19" s="12" t="n"/>
      <c r="V19" s="12" t="n"/>
      <c r="W19" s="12" t="n"/>
      <c r="X19" s="12" t="n"/>
      <c r="Y19" s="12" t="n"/>
      <c r="Z19" s="12" t="n"/>
    </row>
    <row r="20" ht="12.75" customHeight="1" s="87">
      <c r="A20" s="17" t="inlineStr">
        <is>
          <t>Board (charges): Assume average cost for 19 meals per week or the maximum meal plan.</t>
        </is>
      </c>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row>
    <row r="21" ht="12.75" customHeight="1" s="87">
      <c r="A21" s="17" t="inlineStr">
        <is>
          <t>Books and supplies (costs): Average cost of books and supplies. Do not include unusual costs for special groups of students (e.g., engineering or art majors), unless they constitute the majority of students at your institution.</t>
        </is>
      </c>
      <c r="B21" s="12" t="n"/>
      <c r="C21" s="12" t="n"/>
      <c r="D21" s="12" t="n"/>
      <c r="E21" s="12" t="n"/>
      <c r="F21" s="12" t="n"/>
      <c r="G21" s="12" t="n"/>
      <c r="H21" s="12" t="n"/>
      <c r="I21" s="12" t="n"/>
      <c r="J21" s="12" t="n"/>
      <c r="K21" s="12" t="n"/>
      <c r="L21" s="12" t="n"/>
      <c r="M21" s="12" t="n"/>
      <c r="N21" s="12" t="n"/>
      <c r="O21" s="12" t="n"/>
      <c r="P21" s="12" t="n"/>
      <c r="Q21" s="12" t="n"/>
      <c r="R21" s="12" t="n"/>
      <c r="S21" s="12" t="n"/>
      <c r="T21" s="12" t="n"/>
      <c r="U21" s="12" t="n"/>
      <c r="V21" s="12" t="n"/>
      <c r="W21" s="12" t="n"/>
      <c r="X21" s="12" t="n"/>
      <c r="Y21" s="12" t="n"/>
      <c r="Z21" s="12" t="n"/>
    </row>
    <row r="22" ht="12.75" customHeight="1" s="87">
      <c r="A22" s="17" t="inlineStr">
        <is>
          <t>Calendar system: The method by which an institution structures most of its courses for the academic year.</t>
        </is>
      </c>
      <c r="B22" s="12" t="n"/>
      <c r="C22" s="12" t="n"/>
      <c r="D22" s="12" t="n"/>
      <c r="E22" s="12" t="n"/>
      <c r="F22" s="12" t="n"/>
      <c r="G22" s="12" t="n"/>
      <c r="H22" s="12" t="n"/>
      <c r="I22" s="12" t="n"/>
      <c r="J22" s="12" t="n"/>
      <c r="K22" s="12" t="n"/>
      <c r="L22" s="12" t="n"/>
      <c r="M22" s="12" t="n"/>
      <c r="N22" s="12" t="n"/>
      <c r="O22" s="12" t="n"/>
      <c r="P22" s="12" t="n"/>
      <c r="Q22" s="12" t="n"/>
      <c r="R22" s="12" t="n"/>
      <c r="S22" s="12" t="n"/>
      <c r="T22" s="12" t="n"/>
      <c r="U22" s="12" t="n"/>
      <c r="V22" s="12" t="n"/>
      <c r="W22" s="12" t="n"/>
      <c r="X22" s="12" t="n"/>
      <c r="Y22" s="12" t="n"/>
      <c r="Z22" s="12" t="n"/>
    </row>
    <row r="23" ht="12.75" customHeight="1" s="87">
      <c r="A23" s="18" t="inlineStr">
        <is>
          <t>Campus Ministry: Religious student organizations (denominational or nondenominational) devoted to fostering religious life on college campuses. May also refer to Campus Crusade for Christ, an interdenominational Christian organization.</t>
        </is>
      </c>
      <c r="B23" s="12" t="n"/>
      <c r="C23" s="12" t="n"/>
      <c r="D23" s="12" t="n"/>
      <c r="E23" s="12" t="n"/>
      <c r="F23" s="12" t="n"/>
      <c r="G23" s="12" t="n"/>
      <c r="H23" s="12" t="n"/>
      <c r="I23" s="12" t="n"/>
      <c r="J23" s="12" t="n"/>
      <c r="K23" s="12" t="n"/>
      <c r="L23" s="12" t="n"/>
      <c r="M23" s="12" t="n"/>
      <c r="N23" s="12" t="n"/>
      <c r="O23" s="12" t="n"/>
      <c r="P23" s="12" t="n"/>
      <c r="Q23" s="12" t="n"/>
      <c r="R23" s="12" t="n"/>
      <c r="S23" s="12" t="n"/>
      <c r="T23" s="12" t="n"/>
      <c r="U23" s="12" t="n"/>
      <c r="V23" s="12" t="n"/>
      <c r="W23" s="12" t="n"/>
      <c r="X23" s="12" t="n"/>
      <c r="Y23" s="12" t="n"/>
      <c r="Z23" s="12" t="n"/>
    </row>
    <row r="24" ht="12.75" customHeight="1" s="87">
      <c r="A24" s="19" t="n"/>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c r="V24" s="12" t="n"/>
      <c r="W24" s="12" t="n"/>
      <c r="X24" s="12" t="n"/>
      <c r="Y24" s="12" t="n"/>
      <c r="Z24" s="12" t="n"/>
    </row>
    <row r="25" ht="12.75" customHeight="1" s="87">
      <c r="A25" s="17" t="inlineStr">
        <is>
          <t>*Career and placement services: 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is>
      </c>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row>
    <row r="26" ht="12.75" customHeight="1" s="87">
      <c r="A26" s="17" t="inlineStr">
        <is>
          <t>Carnegie units: One year of study or the equivalent in a secondary school subject.</t>
        </is>
      </c>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row>
    <row r="27" ht="12.75" customHeight="1" s="87">
      <c r="A27" s="17" t="inlineStr">
        <is>
          <t>Certificate: See Postsecondary award, certificate, or diploma.</t>
        </is>
      </c>
      <c r="B27" s="12" t="n"/>
      <c r="C27" s="12" t="n"/>
      <c r="D27" s="12" t="n"/>
      <c r="E27" s="12" t="n"/>
      <c r="F27" s="12" t="n"/>
      <c r="G27" s="12" t="n"/>
      <c r="H27" s="12" t="n"/>
      <c r="I27" s="12" t="n"/>
      <c r="J27" s="12" t="n"/>
      <c r="K27" s="12" t="n"/>
      <c r="L27" s="12" t="n"/>
      <c r="M27" s="12" t="n"/>
      <c r="N27" s="12" t="n"/>
      <c r="O27" s="12" t="n"/>
      <c r="P27" s="12" t="n"/>
      <c r="Q27" s="12" t="n"/>
      <c r="R27" s="12" t="n"/>
      <c r="S27" s="12" t="n"/>
      <c r="T27" s="12" t="n"/>
      <c r="U27" s="12" t="n"/>
      <c r="V27" s="12" t="n"/>
      <c r="W27" s="12" t="n"/>
      <c r="X27" s="12" t="n"/>
      <c r="Y27" s="12" t="n"/>
      <c r="Z27" s="12" t="n"/>
    </row>
    <row r="28" ht="12.75" customHeight="1" s="87">
      <c r="A28" s="17" t="inlineStr">
        <is>
          <t>Class rank: The relative numerical position of a student in his or her graduating class, calculated by the high school on the basis of grade-point average, whether weighted or unweighted.</t>
        </is>
      </c>
      <c r="B28" s="12" t="n"/>
      <c r="C28" s="12" t="n"/>
      <c r="D28" s="12" t="n"/>
      <c r="E28" s="12" t="n"/>
      <c r="F28" s="12" t="n"/>
      <c r="G28" s="12" t="n"/>
      <c r="H28" s="12" t="n"/>
      <c r="I28" s="12" t="n"/>
      <c r="J28" s="12" t="n"/>
      <c r="K28" s="12" t="n"/>
      <c r="L28" s="12" t="n"/>
      <c r="M28" s="12" t="n"/>
      <c r="N28" s="12" t="n"/>
      <c r="O28" s="12" t="n"/>
      <c r="P28" s="12" t="n"/>
      <c r="Q28" s="12" t="n"/>
      <c r="R28" s="12" t="n"/>
      <c r="S28" s="12" t="n"/>
      <c r="T28" s="12" t="n"/>
      <c r="U28" s="12" t="n"/>
      <c r="V28" s="12" t="n"/>
      <c r="W28" s="12" t="n"/>
      <c r="X28" s="12" t="n"/>
      <c r="Y28" s="12" t="n"/>
      <c r="Z28" s="12" t="n"/>
    </row>
    <row r="29" ht="12.75" customHeight="1" s="87">
      <c r="A29" s="17" t="inlineStr">
        <is>
          <t xml:space="preserve">College-preparatory program: Courses in academic subjects (English, history and social studies, foreign languages, mathematics, science, and the arts) that stress preparation for college or university study. </t>
        </is>
      </c>
      <c r="B29" s="12" t="n"/>
      <c r="C29" s="12" t="n"/>
      <c r="D29" s="12" t="n"/>
      <c r="E29" s="12" t="n"/>
      <c r="F29" s="12" t="n"/>
      <c r="G29" s="12" t="n"/>
      <c r="H29" s="12" t="n"/>
      <c r="I29" s="12" t="n"/>
      <c r="J29" s="12" t="n"/>
      <c r="K29" s="12" t="n"/>
      <c r="L29" s="12" t="n"/>
      <c r="M29" s="12" t="n"/>
      <c r="N29" s="12" t="n"/>
      <c r="O29" s="12" t="n"/>
      <c r="P29" s="12" t="n"/>
      <c r="Q29" s="12" t="n"/>
      <c r="R29" s="12" t="n"/>
      <c r="S29" s="12" t="n"/>
      <c r="T29" s="12" t="n"/>
      <c r="U29" s="12" t="n"/>
      <c r="V29" s="12" t="n"/>
      <c r="W29" s="12" t="n"/>
      <c r="X29" s="12" t="n"/>
      <c r="Y29" s="12" t="n"/>
      <c r="Z29" s="12" t="n"/>
    </row>
    <row r="30" ht="12.75" customHeight="1" s="87">
      <c r="A30" s="17" t="inlineStr">
        <is>
          <t xml:space="preserve">Common Application: The standard application form distributed by the National Association of Secondary School Principals for a large number of private colleges who are members of the Common Application Group. </t>
        </is>
      </c>
      <c r="B30" s="12" t="n"/>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row>
    <row r="31" ht="12.75" customHeight="1" s="87">
      <c r="A31" s="17" t="inlineStr">
        <is>
          <t>*Community service program: Referral center for students wishing to perform volunteer work in the community or participate in volunteer activities coordinated by academic departments.</t>
        </is>
      </c>
      <c r="B31" s="12" t="n"/>
      <c r="C31" s="12" t="n"/>
      <c r="D31" s="12" t="n"/>
      <c r="E31" s="12" t="n"/>
      <c r="F31" s="12" t="n"/>
      <c r="G31" s="12" t="n"/>
      <c r="H31" s="12" t="n"/>
      <c r="I31" s="12" t="n"/>
      <c r="J31" s="12" t="n"/>
      <c r="K31" s="12" t="n"/>
      <c r="L31" s="12" t="n"/>
      <c r="M31" s="12" t="n"/>
      <c r="N31" s="12" t="n"/>
      <c r="O31" s="12" t="n"/>
      <c r="P31" s="12" t="n"/>
      <c r="Q31" s="12" t="n"/>
      <c r="R31" s="12" t="n"/>
      <c r="S31" s="12" t="n"/>
      <c r="T31" s="12" t="n"/>
      <c r="U31" s="12" t="n"/>
      <c r="V31" s="12" t="n"/>
      <c r="W31" s="12" t="n"/>
      <c r="X31" s="12" t="n"/>
      <c r="Y31" s="12" t="n"/>
      <c r="Z31" s="12" t="n"/>
    </row>
    <row r="32" ht="12.75" customHeight="1" s="87">
      <c r="A32" s="17" t="inlineStr">
        <is>
          <t xml:space="preserve">Commuter: A student who lives off campus in housing that is not owned by, operated by, or affiliated with the college. This category includes students who commute from home and students who have moved to the area to attend college. </t>
        </is>
      </c>
      <c r="B32" s="12" t="n"/>
      <c r="C32" s="12" t="n"/>
      <c r="D32" s="12" t="n"/>
      <c r="E32" s="12" t="n"/>
      <c r="F32" s="12" t="n"/>
      <c r="G32" s="12" t="n"/>
      <c r="H32" s="12" t="n"/>
      <c r="I32" s="12" t="n"/>
      <c r="J32" s="12" t="n"/>
      <c r="K32" s="12" t="n"/>
      <c r="L32" s="12" t="n"/>
      <c r="M32" s="12" t="n"/>
      <c r="N32" s="12" t="n"/>
      <c r="O32" s="12" t="n"/>
      <c r="P32" s="12" t="n"/>
      <c r="Q32" s="12" t="n"/>
      <c r="R32" s="12" t="n"/>
      <c r="S32" s="12" t="n"/>
      <c r="T32" s="12" t="n"/>
      <c r="U32" s="12" t="n"/>
      <c r="V32" s="12" t="n"/>
      <c r="W32" s="12" t="n"/>
      <c r="X32" s="12" t="n"/>
      <c r="Y32" s="12" t="n"/>
      <c r="Z32" s="12" t="n"/>
    </row>
    <row r="33" ht="12.75" customHeight="1" s="87">
      <c r="A33" s="17" t="inlineStr">
        <is>
          <t>Comprehensive transition and postsecondary program for students with intellectual disabilities: Programs designed to support postsecondary students with intellectual disabilities obtain instruction in academic, career and technical, and independent living  subjects in preparation for employment.</t>
        </is>
      </c>
      <c r="B33" s="12" t="n"/>
      <c r="C33" s="12" t="n"/>
      <c r="D33" s="12" t="n"/>
      <c r="E33" s="12" t="n"/>
      <c r="F33" s="12" t="n"/>
      <c r="G33" s="12" t="n"/>
      <c r="H33" s="12" t="n"/>
      <c r="I33" s="12" t="n"/>
      <c r="J33" s="12" t="n"/>
      <c r="K33" s="12" t="n"/>
      <c r="L33" s="12" t="n"/>
      <c r="M33" s="12" t="n"/>
      <c r="N33" s="12" t="n"/>
      <c r="O33" s="12" t="n"/>
      <c r="P33" s="12" t="n"/>
      <c r="Q33" s="12" t="n"/>
      <c r="R33" s="12" t="n"/>
      <c r="S33" s="12" t="n"/>
      <c r="T33" s="12" t="n"/>
      <c r="U33" s="12" t="n"/>
      <c r="V33" s="12" t="n"/>
      <c r="W33" s="12" t="n"/>
      <c r="X33" s="12" t="n"/>
      <c r="Y33" s="12" t="n"/>
      <c r="Z33" s="12" t="n"/>
    </row>
    <row r="34" ht="12.75" customHeight="1" s="87">
      <c r="A34" s="17" t="inlineStr">
        <is>
          <t>Clock hour: A unit of measure that represents an hour of scheduled instruction given to students. Also referred to as contact hour.</t>
        </is>
      </c>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row>
    <row r="35" ht="12.75" customHeight="1" s="87">
      <c r="A35" s="17" t="inlineStr">
        <is>
          <t>Continuous basis (for program enrollment):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is>
      </c>
      <c r="B35" s="12" t="n"/>
      <c r="C35" s="12" t="n"/>
      <c r="D35" s="12" t="n"/>
      <c r="E35" s="12" t="n"/>
      <c r="F35" s="12" t="n"/>
      <c r="G35" s="12" t="n"/>
      <c r="H35" s="12" t="n"/>
      <c r="I35" s="12" t="n"/>
      <c r="J35" s="12" t="n"/>
      <c r="K35" s="12" t="n"/>
      <c r="L35" s="12" t="n"/>
      <c r="M35" s="12" t="n"/>
      <c r="N35" s="12" t="n"/>
      <c r="O35" s="12" t="n"/>
      <c r="P35" s="12" t="n"/>
      <c r="Q35" s="12" t="n"/>
      <c r="R35" s="12" t="n"/>
      <c r="S35" s="12" t="n"/>
      <c r="T35" s="12" t="n"/>
      <c r="U35" s="12" t="n"/>
      <c r="V35" s="12" t="n"/>
      <c r="W35" s="12" t="n"/>
      <c r="X35" s="12" t="n"/>
      <c r="Y35" s="12" t="n"/>
      <c r="Z35" s="12" t="n"/>
    </row>
    <row r="36" ht="12.75" customHeight="1" s="87">
      <c r="A36" s="17" t="inlineStr">
        <is>
          <t>Cooperative education program: A program that provides for alternate class attendance and employment in business, industry, or government.</t>
        </is>
      </c>
      <c r="B36" s="12" t="n"/>
      <c r="C36" s="12" t="n"/>
      <c r="D36" s="12" t="n"/>
      <c r="E36" s="12" t="n"/>
      <c r="F36" s="12" t="n"/>
      <c r="G36" s="12" t="n"/>
      <c r="H36" s="12" t="n"/>
      <c r="I36" s="12" t="n"/>
      <c r="J36" s="12" t="n"/>
      <c r="K36" s="12" t="n"/>
      <c r="L36" s="12" t="n"/>
      <c r="M36" s="12" t="n"/>
      <c r="N36" s="12" t="n"/>
      <c r="O36" s="12" t="n"/>
      <c r="P36" s="12" t="n"/>
      <c r="Q36" s="12" t="n"/>
      <c r="R36" s="12" t="n"/>
      <c r="S36" s="12" t="n"/>
      <c r="T36" s="12" t="n"/>
      <c r="U36" s="12" t="n"/>
      <c r="V36" s="12" t="n"/>
      <c r="W36" s="12" t="n"/>
      <c r="X36" s="12" t="n"/>
      <c r="Y36" s="12" t="n"/>
      <c r="Z36" s="12" t="n"/>
    </row>
    <row r="37" ht="12.75" customHeight="1" s="87">
      <c r="A37" s="17" t="inlineStr">
        <is>
          <t>Cooperative housing: College-owned, -operated, or -affiliated housing in which students share food and housing expenses and participate in household chores to reduce living expenses.</t>
        </is>
      </c>
      <c r="B37" s="12" t="n"/>
      <c r="C37" s="12" t="n"/>
      <c r="D37" s="12" t="n"/>
      <c r="E37" s="12" t="n"/>
      <c r="F37" s="12" t="n"/>
      <c r="G37" s="12" t="n"/>
      <c r="H37" s="12" t="n"/>
      <c r="I37" s="12" t="n"/>
      <c r="J37" s="12" t="n"/>
      <c r="K37" s="12" t="n"/>
      <c r="L37" s="12" t="n"/>
      <c r="M37" s="12" t="n"/>
      <c r="N37" s="12" t="n"/>
      <c r="O37" s="12" t="n"/>
      <c r="P37" s="12" t="n"/>
      <c r="Q37" s="12" t="n"/>
      <c r="R37" s="12" t="n"/>
      <c r="S37" s="12" t="n"/>
      <c r="T37" s="12" t="n"/>
      <c r="U37" s="12" t="n"/>
      <c r="V37" s="12" t="n"/>
      <c r="W37" s="12" t="n"/>
      <c r="X37" s="12" t="n"/>
      <c r="Y37" s="12" t="n"/>
      <c r="Z37" s="12" t="n"/>
    </row>
    <row r="38" ht="12.75" customHeight="1" s="87">
      <c r="A38" s="17" t="inlineStr">
        <is>
          <t>*Counseling service: Activities designed to assist students in making plans and decisions related to their education, career, or personal development.</t>
        </is>
      </c>
      <c r="B38" s="12" t="n"/>
      <c r="C38" s="12" t="n"/>
      <c r="D38" s="12" t="n"/>
      <c r="E38" s="12" t="n"/>
      <c r="F38" s="12" t="n"/>
      <c r="G38" s="12" t="n"/>
      <c r="H38" s="12" t="n"/>
      <c r="I38" s="12" t="n"/>
      <c r="J38" s="12" t="n"/>
      <c r="K38" s="12" t="n"/>
      <c r="L38" s="12" t="n"/>
      <c r="M38" s="12" t="n"/>
      <c r="N38" s="12" t="n"/>
      <c r="O38" s="12" t="n"/>
      <c r="P38" s="12" t="n"/>
      <c r="Q38" s="12" t="n"/>
      <c r="R38" s="12" t="n"/>
      <c r="S38" s="12" t="n"/>
      <c r="T38" s="12" t="n"/>
      <c r="U38" s="12" t="n"/>
      <c r="V38" s="12" t="n"/>
      <c r="W38" s="12" t="n"/>
      <c r="X38" s="12" t="n"/>
      <c r="Y38" s="12" t="n"/>
      <c r="Z38" s="12" t="n"/>
    </row>
    <row r="39" ht="12.75" customHeight="1" s="87">
      <c r="A39" s="17" t="inlineStr">
        <is>
          <t>Credit: Recognition of attendance or performance in an instructional activity (course or program) that can be applied by a recipient toward the requirements for a degree, diploma, certificate, or recognized postsecondary credential.</t>
        </is>
      </c>
      <c r="B39" s="12" t="n"/>
      <c r="C39" s="12" t="n"/>
      <c r="D39" s="12" t="n"/>
      <c r="E39" s="12" t="n"/>
      <c r="F39" s="12" t="n"/>
      <c r="G39" s="12" t="n"/>
      <c r="H39" s="12" t="n"/>
      <c r="I39" s="12" t="n"/>
      <c r="J39" s="12" t="n"/>
      <c r="K39" s="12" t="n"/>
      <c r="L39" s="12" t="n"/>
      <c r="M39" s="12" t="n"/>
      <c r="N39" s="12" t="n"/>
      <c r="O39" s="12" t="n"/>
      <c r="P39" s="12" t="n"/>
      <c r="Q39" s="12" t="n"/>
      <c r="R39" s="12" t="n"/>
      <c r="S39" s="12" t="n"/>
      <c r="T39" s="12" t="n"/>
      <c r="U39" s="12" t="n"/>
      <c r="V39" s="12" t="n"/>
      <c r="W39" s="12" t="n"/>
      <c r="X39" s="12" t="n"/>
      <c r="Y39" s="12" t="n"/>
      <c r="Z39" s="12" t="n"/>
    </row>
    <row r="40" ht="12.75" customHeight="1" s="87">
      <c r="A40" s="17" t="inlineStr">
        <is>
          <t>Credit course: A course that, if successfully completed, can be applied toward the number of courses required for achieving a degree, diploma, certificate, or other recognized postsecondary credential.</t>
        </is>
      </c>
      <c r="B40" s="12" t="n"/>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row>
    <row r="41" ht="12.75" customHeight="1" s="87">
      <c r="A41" s="17" t="inlineStr">
        <is>
          <t>Credit hour: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is>
      </c>
      <c r="B41" s="12" t="n"/>
      <c r="C41" s="12" t="n"/>
      <c r="D41" s="12" t="n"/>
      <c r="E41" s="12" t="n"/>
      <c r="F41" s="12" t="n"/>
      <c r="G41" s="12" t="n"/>
      <c r="H41" s="12" t="n"/>
      <c r="I41" s="12" t="n"/>
      <c r="J41" s="12" t="n"/>
      <c r="K41" s="12" t="n"/>
      <c r="L41" s="12" t="n"/>
      <c r="M41" s="12" t="n"/>
      <c r="N41" s="12" t="n"/>
      <c r="O41" s="12" t="n"/>
      <c r="P41" s="12" t="n"/>
      <c r="Q41" s="12" t="n"/>
      <c r="R41" s="12" t="n"/>
      <c r="S41" s="12" t="n"/>
      <c r="T41" s="12" t="n"/>
      <c r="U41" s="12" t="n"/>
      <c r="V41" s="12" t="n"/>
      <c r="W41" s="12" t="n"/>
      <c r="X41" s="12" t="n"/>
      <c r="Y41" s="12" t="n"/>
      <c r="Z41" s="12" t="n"/>
    </row>
    <row r="42" ht="12.75" customHeight="1" s="87">
      <c r="A42" s="17" t="inlineStr">
        <is>
          <t>Cross-registration: A system whereby students enrolled at one institution may take courses at another institution without having to apply to the second institution.</t>
        </is>
      </c>
      <c r="B42" s="12" t="n"/>
      <c r="C42" s="12" t="n"/>
      <c r="D42" s="12" t="n"/>
      <c r="E42" s="12" t="n"/>
      <c r="F42" s="12" t="n"/>
      <c r="G42" s="12" t="n"/>
      <c r="H42" s="12" t="n"/>
      <c r="I42" s="12" t="n"/>
      <c r="J42" s="12" t="n"/>
      <c r="K42" s="12" t="n"/>
      <c r="L42" s="12" t="n"/>
      <c r="M42" s="12" t="n"/>
      <c r="N42" s="12" t="n"/>
      <c r="O42" s="12" t="n"/>
      <c r="P42" s="12" t="n"/>
      <c r="Q42" s="12" t="n"/>
      <c r="R42" s="12" t="n"/>
      <c r="S42" s="12" t="n"/>
      <c r="T42" s="12" t="n"/>
      <c r="U42" s="12" t="n"/>
      <c r="V42" s="12" t="n"/>
      <c r="W42" s="12" t="n"/>
      <c r="X42" s="12" t="n"/>
      <c r="Y42" s="12" t="n"/>
      <c r="Z42" s="12" t="n"/>
    </row>
    <row r="43" ht="12.75" customHeight="1" s="87">
      <c r="A43" s="17" t="inlineStr">
        <is>
          <t>Deferred admission: The practice of permitting admitted students to postpone enrollment, usually for a period of one academic term or one year.</t>
        </is>
      </c>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row>
    <row r="44" ht="12.75" customHeight="1" s="87">
      <c r="A44" s="17" t="inlineStr">
        <is>
          <t>Degree: An award conferred by a college, university, or other postsecondary education institution as official recognition for the successful completion of a program of studies.</t>
        </is>
      </c>
      <c r="B44" s="12" t="n"/>
      <c r="C44" s="12" t="n"/>
      <c r="D44" s="12" t="n"/>
      <c r="E44" s="12" t="n"/>
      <c r="F44" s="12" t="n"/>
      <c r="G44" s="12" t="n"/>
      <c r="H44" s="12" t="n"/>
      <c r="I44" s="12" t="n"/>
      <c r="J44" s="12" t="n"/>
      <c r="K44" s="12" t="n"/>
      <c r="L44" s="12" t="n"/>
      <c r="M44" s="12" t="n"/>
      <c r="N44" s="12" t="n"/>
      <c r="O44" s="12" t="n"/>
      <c r="P44" s="12" t="n"/>
      <c r="Q44" s="12" t="n"/>
      <c r="R44" s="12" t="n"/>
      <c r="S44" s="12" t="n"/>
      <c r="T44" s="12" t="n"/>
      <c r="U44" s="12" t="n"/>
      <c r="V44" s="12" t="n"/>
      <c r="W44" s="12" t="n"/>
      <c r="X44" s="12" t="n"/>
      <c r="Y44" s="12" t="n"/>
      <c r="Z44" s="12" t="n"/>
    </row>
    <row r="45" ht="12.75" customHeight="1" s="87">
      <c r="A45" s="17" t="inlineStr">
        <is>
          <t>Degree-seeking students: Students enrolled in courses for credit who are recognized by the institution as seeking a degree or recognized postsecondary credential. At the undergraduate level, this is intended to include students enrolled in vocational or occupational programs.</t>
        </is>
      </c>
      <c r="B45" s="12" t="n"/>
      <c r="C45" s="12" t="n"/>
      <c r="D45" s="12" t="n"/>
      <c r="E45" s="12" t="n"/>
      <c r="F45" s="12" t="n"/>
      <c r="G45" s="12" t="n"/>
      <c r="H45" s="12" t="n"/>
      <c r="I45" s="12" t="n"/>
      <c r="J45" s="12" t="n"/>
      <c r="K45" s="12" t="n"/>
      <c r="L45" s="12" t="n"/>
      <c r="M45" s="12" t="n"/>
      <c r="N45" s="12" t="n"/>
      <c r="O45" s="12" t="n"/>
      <c r="P45" s="12" t="n"/>
      <c r="Q45" s="12" t="n"/>
      <c r="R45" s="12" t="n"/>
      <c r="S45" s="12" t="n"/>
      <c r="T45" s="12" t="n"/>
      <c r="U45" s="12" t="n"/>
      <c r="V45" s="12" t="n"/>
      <c r="W45" s="12" t="n"/>
      <c r="X45" s="12" t="n"/>
      <c r="Y45" s="12" t="n"/>
      <c r="Z45" s="12" t="n"/>
    </row>
    <row r="46" ht="12.75" customHeight="1" s="87">
      <c r="A46" s="17" t="inlineStr">
        <is>
          <t>*Developmental services: Instructional courses designed for students deficient in the general competencies necessary for a regular postsecondary curriculum and educational setting.</t>
        </is>
      </c>
      <c r="B46" s="12" t="n"/>
      <c r="C46" s="12" t="n"/>
      <c r="D46" s="12" t="n"/>
      <c r="E46" s="12" t="n"/>
      <c r="F46" s="12" t="n"/>
      <c r="G46" s="12" t="n"/>
      <c r="H46" s="12" t="n"/>
      <c r="I46" s="12" t="n"/>
      <c r="J46" s="12" t="n"/>
      <c r="K46" s="12" t="n"/>
      <c r="L46" s="12" t="n"/>
      <c r="M46" s="12" t="n"/>
      <c r="N46" s="12" t="n"/>
      <c r="O46" s="12" t="n"/>
      <c r="P46" s="12" t="n"/>
      <c r="Q46" s="12" t="n"/>
      <c r="R46" s="12" t="n"/>
      <c r="S46" s="12" t="n"/>
      <c r="T46" s="12" t="n"/>
      <c r="U46" s="12" t="n"/>
      <c r="V46" s="12" t="n"/>
      <c r="W46" s="12" t="n"/>
      <c r="X46" s="12" t="n"/>
      <c r="Y46" s="12" t="n"/>
      <c r="Z46" s="12" t="n"/>
    </row>
    <row r="47" ht="12.75" customHeight="1" s="87">
      <c r="A47" s="17" t="inlineStr">
        <is>
          <t>Differs by program (calendar system): 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is>
      </c>
      <c r="B47" s="12" t="n"/>
      <c r="C47" s="12" t="n"/>
      <c r="D47" s="12" t="n"/>
      <c r="E47" s="12" t="n"/>
      <c r="F47" s="12" t="n"/>
      <c r="G47" s="12" t="n"/>
      <c r="H47" s="12" t="n"/>
      <c r="I47" s="12" t="n"/>
      <c r="J47" s="12" t="n"/>
      <c r="K47" s="12" t="n"/>
      <c r="L47" s="12" t="n"/>
      <c r="M47" s="12" t="n"/>
      <c r="N47" s="12" t="n"/>
      <c r="O47" s="12" t="n"/>
      <c r="P47" s="12" t="n"/>
      <c r="Q47" s="12" t="n"/>
      <c r="R47" s="12" t="n"/>
      <c r="S47" s="12" t="n"/>
      <c r="T47" s="12" t="n"/>
      <c r="U47" s="12" t="n"/>
      <c r="V47" s="12" t="n"/>
      <c r="W47" s="12" t="n"/>
      <c r="X47" s="12" t="n"/>
      <c r="Y47" s="12" t="n"/>
      <c r="Z47" s="12" t="n"/>
    </row>
    <row r="48" ht="12.75" customHeight="1" s="87">
      <c r="A48" s="17" t="inlineStr">
        <is>
          <t>Diploma: See Postsecondary award, certificate, or diploma.</t>
        </is>
      </c>
      <c r="B48" s="12" t="n"/>
      <c r="C48" s="12" t="n"/>
      <c r="D48" s="12" t="n"/>
      <c r="E48" s="12" t="n"/>
      <c r="F48" s="12" t="n"/>
      <c r="G48" s="12" t="n"/>
      <c r="H48" s="12" t="n"/>
      <c r="I48" s="12" t="n"/>
      <c r="J48" s="12" t="n"/>
      <c r="K48" s="12" t="n"/>
      <c r="L48" s="12" t="n"/>
      <c r="M48" s="12" t="n"/>
      <c r="N48" s="12" t="n"/>
      <c r="O48" s="12" t="n"/>
      <c r="P48" s="12" t="n"/>
      <c r="Q48" s="12" t="n"/>
      <c r="R48" s="12" t="n"/>
      <c r="S48" s="12" t="n"/>
      <c r="T48" s="12" t="n"/>
      <c r="U48" s="12" t="n"/>
      <c r="V48" s="12" t="n"/>
      <c r="W48" s="12" t="n"/>
      <c r="X48" s="12" t="n"/>
      <c r="Y48" s="12" t="n"/>
      <c r="Z48" s="12" t="n"/>
    </row>
    <row r="49" ht="12.75" customHeight="1" s="87">
      <c r="A49" s="17" t="inlineStr">
        <is>
          <t>Distance learning: An option for earning course credit at off-campus locations via cable television, internet, satellite classes, videotapes, correspondence courses, or other means.</t>
        </is>
      </c>
      <c r="B49" s="12" t="n"/>
      <c r="C49" s="12" t="n"/>
      <c r="D49" s="12" t="n"/>
      <c r="E49" s="12" t="n"/>
      <c r="F49" s="12" t="n"/>
      <c r="G49" s="12" t="n"/>
      <c r="H49" s="12" t="n"/>
      <c r="I49" s="12" t="n"/>
      <c r="J49" s="12" t="n"/>
      <c r="K49" s="12" t="n"/>
      <c r="L49" s="12" t="n"/>
      <c r="M49" s="12" t="n"/>
      <c r="N49" s="12" t="n"/>
      <c r="O49" s="12" t="n"/>
      <c r="P49" s="12" t="n"/>
      <c r="Q49" s="12" t="n"/>
      <c r="R49" s="12" t="n"/>
      <c r="S49" s="12" t="n"/>
      <c r="T49" s="12" t="n"/>
      <c r="U49" s="12" t="n"/>
      <c r="V49" s="12" t="n"/>
      <c r="W49" s="12" t="n"/>
      <c r="X49" s="12" t="n"/>
      <c r="Y49" s="12" t="n"/>
      <c r="Z49" s="12" t="n"/>
    </row>
    <row r="50" ht="12.75" customHeight="1" s="87">
      <c r="A50" s="18" t="inlineStr">
        <is>
          <t>Doctor’s degree-research/scholarship: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is>
      </c>
      <c r="B50" s="12" t="n"/>
      <c r="C50" s="12" t="n"/>
      <c r="D50" s="12" t="n"/>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c r="Y50" s="12" t="n"/>
      <c r="Z50" s="12" t="n"/>
    </row>
    <row r="51" ht="12.75" customHeight="1" s="87">
      <c r="A51" s="18" t="inlineStr">
        <is>
          <t>Doctor’s degree-professional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is>
      </c>
      <c r="B51" s="12" t="n"/>
      <c r="C51" s="12" t="n"/>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c r="Y51" s="12" t="n"/>
      <c r="Z51" s="12" t="n"/>
    </row>
    <row r="52" ht="12.75" customHeight="1" s="87">
      <c r="A52" s="18" t="inlineStr">
        <is>
          <t>Doctor’s degree-other: A doctor’s degree that does not meet the definition of a doctor’s degree - research/scholarship or a doctor’s degree - professional practice.</t>
        </is>
      </c>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row>
    <row r="53" ht="12.75" customHeight="1" s="87">
      <c r="A53" s="17" t="inlineStr">
        <is>
          <t>Double major: Program in which students may complete two undergraduate programs of study simultaneously.</t>
        </is>
      </c>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c r="Y53" s="12" t="n"/>
      <c r="Z53" s="12" t="n"/>
    </row>
    <row r="54" ht="12.75" customHeight="1" s="87">
      <c r="A54" s="17" t="inlineStr">
        <is>
          <t>Dual enrollment: 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is>
      </c>
      <c r="B54" s="12" t="n"/>
      <c r="C54" s="12" t="n"/>
      <c r="D54" s="12" t="n"/>
      <c r="E54" s="12" t="n"/>
      <c r="F54" s="12" t="n"/>
      <c r="G54" s="12" t="n"/>
      <c r="H54" s="12" t="n"/>
      <c r="I54" s="12" t="n"/>
      <c r="J54" s="12" t="n"/>
      <c r="K54" s="12" t="n"/>
      <c r="L54" s="12" t="n"/>
      <c r="M54" s="12" t="n"/>
      <c r="N54" s="12" t="n"/>
      <c r="O54" s="12" t="n"/>
      <c r="P54" s="12" t="n"/>
      <c r="Q54" s="12" t="n"/>
      <c r="R54" s="12" t="n"/>
      <c r="S54" s="12" t="n"/>
      <c r="T54" s="12" t="n"/>
      <c r="U54" s="12" t="n"/>
      <c r="V54" s="12" t="n"/>
      <c r="W54" s="12" t="n"/>
      <c r="X54" s="12" t="n"/>
      <c r="Y54" s="12" t="n"/>
      <c r="Z54" s="12" t="n"/>
    </row>
    <row r="55" ht="12.75" customHeight="1" s="87">
      <c r="A55" s="17" t="inlineStr">
        <is>
          <t>Early action plan: An admission plan that allows students to apply and be notified of an admission decision well in advance of the regular notification dates. If admitted, the candidate is not committed to enroll; the student may reply to the offer under the college’s regular reply policy.</t>
        </is>
      </c>
      <c r="B55" s="12" t="n"/>
      <c r="C55" s="12" t="n"/>
      <c r="D55" s="12" t="n"/>
      <c r="E55" s="12" t="n"/>
      <c r="F55" s="12" t="n"/>
      <c r="G55" s="12" t="n"/>
      <c r="H55" s="12" t="n"/>
      <c r="I55" s="12" t="n"/>
      <c r="J55" s="12" t="n"/>
      <c r="K55" s="12" t="n"/>
      <c r="L55" s="12" t="n"/>
      <c r="M55" s="12" t="n"/>
      <c r="N55" s="12" t="n"/>
      <c r="O55" s="12" t="n"/>
      <c r="P55" s="12" t="n"/>
      <c r="Q55" s="12" t="n"/>
      <c r="R55" s="12" t="n"/>
      <c r="S55" s="12" t="n"/>
      <c r="T55" s="12" t="n"/>
      <c r="U55" s="12" t="n"/>
      <c r="V55" s="12" t="n"/>
      <c r="W55" s="12" t="n"/>
      <c r="X55" s="12" t="n"/>
      <c r="Y55" s="12" t="n"/>
      <c r="Z55" s="12" t="n"/>
    </row>
    <row r="56" ht="12.75" customHeight="1" s="87">
      <c r="A56" s="17" t="inlineStr">
        <is>
          <t>Early admission: A policy under which students who have not completed high school are admitted and enroll full time in college, usually after completion of their junior year.</t>
        </is>
      </c>
      <c r="B56" s="12" t="n"/>
      <c r="C56" s="12" t="n"/>
      <c r="D56" s="12" t="n"/>
      <c r="E56" s="12" t="n"/>
      <c r="F56" s="12" t="n"/>
      <c r="G56" s="12" t="n"/>
      <c r="H56" s="12" t="n"/>
      <c r="I56" s="12" t="n"/>
      <c r="J56" s="12" t="n"/>
      <c r="K56" s="12" t="n"/>
      <c r="L56" s="12" t="n"/>
      <c r="M56" s="12" t="n"/>
      <c r="N56" s="12" t="n"/>
      <c r="O56" s="12" t="n"/>
      <c r="P56" s="12" t="n"/>
      <c r="Q56" s="12" t="n"/>
      <c r="R56" s="12" t="n"/>
      <c r="S56" s="12" t="n"/>
      <c r="T56" s="12" t="n"/>
      <c r="U56" s="12" t="n"/>
      <c r="V56" s="12" t="n"/>
      <c r="W56" s="12" t="n"/>
      <c r="X56" s="12" t="n"/>
      <c r="Y56" s="12" t="n"/>
      <c r="Z56" s="12" t="n"/>
    </row>
    <row r="57" ht="12.75" customHeight="1" s="87">
      <c r="A57" s="17" t="inlineStr">
        <is>
          <t>Early decision plan: 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is>
      </c>
      <c r="B57" s="12" t="n"/>
      <c r="C57" s="12" t="n"/>
      <c r="D57" s="12" t="n"/>
      <c r="E57" s="12" t="n"/>
      <c r="F57" s="12" t="n"/>
      <c r="G57" s="12" t="n"/>
      <c r="H57" s="12" t="n"/>
      <c r="I57" s="12" t="n"/>
      <c r="J57" s="12" t="n"/>
      <c r="K57" s="12" t="n"/>
      <c r="L57" s="12" t="n"/>
      <c r="M57" s="12" t="n"/>
      <c r="N57" s="12" t="n"/>
      <c r="O57" s="12" t="n"/>
      <c r="P57" s="12" t="n"/>
      <c r="Q57" s="12" t="n"/>
      <c r="R57" s="12" t="n"/>
      <c r="S57" s="12" t="n"/>
      <c r="T57" s="12" t="n"/>
      <c r="U57" s="12" t="n"/>
      <c r="V57" s="12" t="n"/>
      <c r="W57" s="12" t="n"/>
      <c r="X57" s="12" t="n"/>
      <c r="Y57" s="12" t="n"/>
      <c r="Z57" s="12" t="n"/>
    </row>
    <row r="58" ht="12.75" customHeight="1" s="87">
      <c r="A58" s="17" t="inlineStr">
        <is>
          <t>English as a Second Language (ESL): A course of study designed specifically for students whose native language is not English.</t>
        </is>
      </c>
      <c r="B58" s="12" t="n"/>
      <c r="C58" s="12" t="n"/>
      <c r="D58" s="12" t="n"/>
      <c r="E58" s="12" t="n"/>
      <c r="F58" s="12" t="n"/>
      <c r="G58" s="12" t="n"/>
      <c r="H58" s="12" t="n"/>
      <c r="I58" s="12" t="n"/>
      <c r="J58" s="12" t="n"/>
      <c r="K58" s="12" t="n"/>
      <c r="L58" s="12" t="n"/>
      <c r="M58" s="12" t="n"/>
      <c r="N58" s="12" t="n"/>
      <c r="O58" s="12" t="n"/>
      <c r="P58" s="12" t="n"/>
      <c r="Q58" s="12" t="n"/>
      <c r="R58" s="12" t="n"/>
      <c r="S58" s="12" t="n"/>
      <c r="T58" s="12" t="n"/>
      <c r="U58" s="12" t="n"/>
      <c r="V58" s="12" t="n"/>
      <c r="W58" s="12" t="n"/>
      <c r="X58" s="12" t="n"/>
      <c r="Y58" s="12" t="n"/>
      <c r="Z58" s="12" t="n"/>
    </row>
    <row r="59" ht="12.75" customHeight="1" s="87">
      <c r="A59" s="17" t="inlineStr">
        <is>
          <t>Exchange student program-domestic: Any arrangement between a student and a college that permits study for a semester or more at another college in the United States without extending the amount of time required for a degree. See also Study abroad.</t>
        </is>
      </c>
      <c r="B59" s="12" t="n"/>
      <c r="C59" s="12" t="n"/>
      <c r="D59" s="12" t="n"/>
      <c r="E59" s="12" t="n"/>
      <c r="F59" s="12" t="n"/>
      <c r="G59" s="12" t="n"/>
      <c r="H59" s="12" t="n"/>
      <c r="I59" s="12" t="n"/>
      <c r="J59" s="12" t="n"/>
      <c r="K59" s="12" t="n"/>
      <c r="L59" s="12" t="n"/>
      <c r="M59" s="12" t="n"/>
      <c r="N59" s="12" t="n"/>
      <c r="O59" s="12" t="n"/>
      <c r="P59" s="12" t="n"/>
      <c r="Q59" s="12" t="n"/>
      <c r="R59" s="12" t="n"/>
      <c r="S59" s="12" t="n"/>
      <c r="T59" s="12" t="n"/>
      <c r="U59" s="12" t="n"/>
      <c r="V59" s="12" t="n"/>
      <c r="W59" s="12" t="n"/>
      <c r="X59" s="12" t="n"/>
      <c r="Y59" s="12" t="n"/>
      <c r="Z59" s="12" t="n"/>
    </row>
    <row r="60" ht="12.75" customHeight="1" s="87">
      <c r="A60" s="17" t="inlineStr">
        <is>
          <t>External degree program: A program of study in which students earn credits toward a degree through independent study, college courses, proficiency examinations, and personal experience. External degree programs require minimal or no classroom attendance.</t>
        </is>
      </c>
      <c r="B60" s="12" t="n"/>
      <c r="C60" s="12" t="n"/>
      <c r="D60" s="12" t="n"/>
      <c r="E60" s="12" t="n"/>
      <c r="F60" s="12" t="n"/>
      <c r="G60" s="12" t="n"/>
      <c r="H60" s="12" t="n"/>
      <c r="I60" s="12" t="n"/>
      <c r="J60" s="12" t="n"/>
      <c r="K60" s="12" t="n"/>
      <c r="L60" s="12" t="n"/>
      <c r="M60" s="12" t="n"/>
      <c r="N60" s="12" t="n"/>
      <c r="O60" s="12" t="n"/>
      <c r="P60" s="12" t="n"/>
      <c r="Q60" s="12" t="n"/>
      <c r="R60" s="12" t="n"/>
      <c r="S60" s="12" t="n"/>
      <c r="T60" s="12" t="n"/>
      <c r="U60" s="12" t="n"/>
      <c r="V60" s="12" t="n"/>
      <c r="W60" s="12" t="n"/>
      <c r="X60" s="12" t="n"/>
      <c r="Y60" s="12" t="n"/>
      <c r="Z60" s="12" t="n"/>
    </row>
    <row r="61" ht="12.75" customHeight="1" s="87">
      <c r="A61" s="17" t="inlineStr">
        <is>
          <t>Extracurricular activities (as admission factor): Special consideration in the admissions process given for participation in both school and nonschool-related activities of interest to the college, such as clubs, hobbies, student government, athletics, performing arts, etc.</t>
        </is>
      </c>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row>
    <row r="62" ht="12.75" customHeight="1" s="87">
      <c r="A62" s="17" t="inlineStr">
        <is>
          <t>First-time student: 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is>
      </c>
      <c r="B62" s="12" t="n"/>
      <c r="C62" s="12" t="n"/>
      <c r="D62" s="12" t="n"/>
      <c r="E62" s="12" t="n"/>
      <c r="F62" s="12" t="n"/>
      <c r="G62" s="12" t="n"/>
      <c r="H62" s="12" t="n"/>
      <c r="I62" s="12" t="n"/>
      <c r="J62" s="12" t="n"/>
      <c r="K62" s="12" t="n"/>
      <c r="L62" s="12" t="n"/>
      <c r="M62" s="12" t="n"/>
      <c r="N62" s="12" t="n"/>
      <c r="O62" s="12" t="n"/>
      <c r="P62" s="12" t="n"/>
      <c r="Q62" s="12" t="n"/>
      <c r="R62" s="12" t="n"/>
      <c r="S62" s="12" t="n"/>
      <c r="T62" s="12" t="n"/>
      <c r="U62" s="12" t="n"/>
      <c r="V62" s="12" t="n"/>
      <c r="W62" s="12" t="n"/>
      <c r="X62" s="12" t="n"/>
      <c r="Y62" s="12" t="n"/>
      <c r="Z62" s="12" t="n"/>
    </row>
    <row r="63" ht="12.75" customHeight="1" s="87">
      <c r="A63" s="17" t="inlineStr">
        <is>
          <t>First-time, first-year student: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is>
      </c>
      <c r="B63" s="12" t="n"/>
      <c r="C63" s="12" t="n"/>
      <c r="D63" s="12" t="n"/>
      <c r="E63" s="12" t="n"/>
      <c r="F63" s="12" t="n"/>
      <c r="G63" s="12" t="n"/>
      <c r="H63" s="12" t="n"/>
      <c r="I63" s="12" t="n"/>
      <c r="J63" s="12" t="n"/>
      <c r="K63" s="12" t="n"/>
      <c r="L63" s="12" t="n"/>
      <c r="M63" s="12" t="n"/>
      <c r="N63" s="12" t="n"/>
      <c r="O63" s="12" t="n"/>
      <c r="P63" s="12" t="n"/>
      <c r="Q63" s="12" t="n"/>
      <c r="R63" s="12" t="n"/>
      <c r="S63" s="12" t="n"/>
      <c r="T63" s="12" t="n"/>
      <c r="U63" s="12" t="n"/>
      <c r="V63" s="12" t="n"/>
      <c r="W63" s="12" t="n"/>
      <c r="X63" s="12" t="n"/>
      <c r="Y63" s="12" t="n"/>
      <c r="Z63" s="12" t="n"/>
    </row>
    <row r="64" ht="12.75" customHeight="1" s="87">
      <c r="A64" s="17" t="inlineStr">
        <is>
          <t>First-year student: A student who has completed less than the equivalent of 1 full year of undergraduate work; that is, less than 30 semester hours (in a 120-hour degree program) or less than 900 clock hours.</t>
        </is>
      </c>
      <c r="B64" s="12" t="n"/>
      <c r="C64" s="12" t="n"/>
      <c r="D64" s="12" t="n"/>
      <c r="E64" s="12" t="n"/>
      <c r="F64" s="12" t="n"/>
      <c r="G64" s="12" t="n"/>
      <c r="H64" s="12" t="n"/>
      <c r="I64" s="12" t="n"/>
      <c r="J64" s="12" t="n"/>
      <c r="K64" s="12" t="n"/>
      <c r="L64" s="12" t="n"/>
      <c r="M64" s="12" t="n"/>
      <c r="N64" s="12" t="n"/>
      <c r="O64" s="12" t="n"/>
      <c r="P64" s="12" t="n"/>
      <c r="Q64" s="12" t="n"/>
      <c r="R64" s="12" t="n"/>
      <c r="S64" s="12" t="n"/>
      <c r="T64" s="12" t="n"/>
      <c r="U64" s="12" t="n"/>
      <c r="V64" s="12" t="n"/>
      <c r="W64" s="12" t="n"/>
      <c r="X64" s="12" t="n"/>
      <c r="Y64" s="12" t="n"/>
      <c r="Z64" s="12" t="n"/>
    </row>
    <row r="65" ht="12.75" customHeight="1" s="87">
      <c r="A65" s="17" t="inlineStr">
        <is>
          <t>Food and housing (charges)—on campus: Assume double occupancy in institutional housing and 19 meals per week (or maximum meal plan).</t>
        </is>
      </c>
      <c r="B65" s="12" t="n"/>
      <c r="C65" s="12" t="n"/>
      <c r="D65" s="12" t="n"/>
      <c r="E65" s="12" t="n"/>
      <c r="F65" s="12" t="n"/>
      <c r="G65" s="12" t="n"/>
      <c r="H65" s="12" t="n"/>
      <c r="I65" s="12" t="n"/>
      <c r="J65" s="12" t="n"/>
      <c r="K65" s="12" t="n"/>
      <c r="L65" s="12" t="n"/>
      <c r="M65" s="12" t="n"/>
      <c r="N65" s="12" t="n"/>
      <c r="O65" s="12" t="n"/>
      <c r="P65" s="12" t="n"/>
      <c r="Q65" s="12" t="n"/>
      <c r="R65" s="12" t="n"/>
      <c r="S65" s="12" t="n"/>
      <c r="T65" s="12" t="n"/>
      <c r="U65" s="12" t="n"/>
      <c r="V65" s="12" t="n"/>
      <c r="W65" s="12" t="n"/>
      <c r="X65" s="12" t="n"/>
      <c r="Y65" s="12" t="n"/>
      <c r="Z65" s="12" t="n"/>
    </row>
    <row r="66" ht="12.75" customHeight="1" s="87">
      <c r="A66" s="17" t="inlineStr">
        <is>
          <t>Full-time student (undergraduate): A student enrolled for 12 or more semester credits, 12 or more quarter credits, or 24 or more clock hours a week each term.</t>
        </is>
      </c>
      <c r="B66" s="12" t="n"/>
      <c r="C66" s="12" t="n"/>
      <c r="D66" s="12" t="n"/>
      <c r="E66" s="12" t="n"/>
      <c r="F66" s="12" t="n"/>
      <c r="G66" s="12" t="n"/>
      <c r="H66" s="12" t="n"/>
      <c r="I66" s="12" t="n"/>
      <c r="J66" s="12" t="n"/>
      <c r="K66" s="12" t="n"/>
      <c r="L66" s="12" t="n"/>
      <c r="M66" s="12" t="n"/>
      <c r="N66" s="12" t="n"/>
      <c r="O66" s="12" t="n"/>
      <c r="P66" s="12" t="n"/>
      <c r="Q66" s="12" t="n"/>
      <c r="R66" s="12" t="n"/>
      <c r="S66" s="12" t="n"/>
      <c r="T66" s="12" t="n"/>
      <c r="U66" s="12" t="n"/>
      <c r="V66" s="12" t="n"/>
      <c r="W66" s="12" t="n"/>
      <c r="X66" s="12" t="n"/>
      <c r="Y66" s="12" t="n"/>
      <c r="Z66" s="12" t="n"/>
    </row>
    <row r="67" ht="12.75" customHeight="1" s="87">
      <c r="A67" s="17" t="inlineStr">
        <is>
          <t>Geographical residence (as admission factor): Special consideration in the admission process given to students from a particular region, state, or country of residence.</t>
        </is>
      </c>
      <c r="B67" s="12" t="n"/>
      <c r="C67" s="12" t="n"/>
      <c r="D67" s="12" t="n"/>
      <c r="E67" s="12" t="n"/>
      <c r="F67" s="12" t="n"/>
      <c r="G67" s="12" t="n"/>
      <c r="H67" s="12" t="n"/>
      <c r="I67" s="12" t="n"/>
      <c r="J67" s="12" t="n"/>
      <c r="K67" s="12" t="n"/>
      <c r="L67" s="12" t="n"/>
      <c r="M67" s="12" t="n"/>
      <c r="N67" s="12" t="n"/>
      <c r="O67" s="12" t="n"/>
      <c r="P67" s="12" t="n"/>
      <c r="Q67" s="12" t="n"/>
      <c r="R67" s="12" t="n"/>
      <c r="S67" s="12" t="n"/>
      <c r="T67" s="12" t="n"/>
      <c r="U67" s="12" t="n"/>
      <c r="V67" s="12" t="n"/>
      <c r="W67" s="12" t="n"/>
      <c r="X67" s="12" t="n"/>
      <c r="Y67" s="12" t="n"/>
      <c r="Z67" s="12" t="n"/>
    </row>
    <row r="68" ht="12.75" customHeight="1" s="87">
      <c r="A68" s="17" t="inlineStr">
        <is>
          <t>Grade-point average (academic high school GPA): 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is>
      </c>
      <c r="B68" s="12" t="n"/>
      <c r="C68" s="12" t="n"/>
      <c r="D68" s="12" t="n"/>
      <c r="E68" s="12" t="n"/>
      <c r="F68" s="12" t="n"/>
      <c r="G68" s="12" t="n"/>
      <c r="H68" s="12" t="n"/>
      <c r="I68" s="12" t="n"/>
      <c r="J68" s="12" t="n"/>
      <c r="K68" s="12" t="n"/>
      <c r="L68" s="12" t="n"/>
      <c r="M68" s="12" t="n"/>
      <c r="N68" s="12" t="n"/>
      <c r="O68" s="12" t="n"/>
      <c r="P68" s="12" t="n"/>
      <c r="Q68" s="12" t="n"/>
      <c r="R68" s="12" t="n"/>
      <c r="S68" s="12" t="n"/>
      <c r="T68" s="12" t="n"/>
      <c r="U68" s="12" t="n"/>
      <c r="V68" s="12" t="n"/>
      <c r="W68" s="12" t="n"/>
      <c r="X68" s="12" t="n"/>
      <c r="Y68" s="12" t="n"/>
      <c r="Z68" s="12" t="n"/>
    </row>
    <row r="69" ht="12.75" customHeight="1" s="87">
      <c r="A69" s="17" t="inlineStr">
        <is>
          <t>Graduate student: A student who holds a bachelor’s or equivalent, and is taking courses at the post-baccalaureate level.</t>
        </is>
      </c>
      <c r="B69" s="12" t="n"/>
      <c r="C69" s="12" t="n"/>
      <c r="D69" s="12" t="n"/>
      <c r="E69" s="12" t="n"/>
      <c r="F69" s="12" t="n"/>
      <c r="G69" s="12" t="n"/>
      <c r="H69" s="12" t="n"/>
      <c r="I69" s="12" t="n"/>
      <c r="J69" s="12" t="n"/>
      <c r="K69" s="12" t="n"/>
      <c r="L69" s="12" t="n"/>
      <c r="M69" s="12" t="n"/>
      <c r="N69" s="12" t="n"/>
      <c r="O69" s="12" t="n"/>
      <c r="P69" s="12" t="n"/>
      <c r="Q69" s="12" t="n"/>
      <c r="R69" s="12" t="n"/>
      <c r="S69" s="12" t="n"/>
      <c r="T69" s="12" t="n"/>
      <c r="U69" s="12" t="n"/>
      <c r="V69" s="12" t="n"/>
      <c r="W69" s="12" t="n"/>
      <c r="X69" s="12" t="n"/>
      <c r="Y69" s="12" t="n"/>
      <c r="Z69" s="12" t="n"/>
    </row>
    <row r="70" ht="12.75" customHeight="1" s="87">
      <c r="A70" s="17" t="inlineStr">
        <is>
          <t>*Health services: Free or low cost on-campus primary and preventive health care available to students.</t>
        </is>
      </c>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row>
    <row r="71" ht="12.75" customHeight="1" s="87">
      <c r="A71" s="17" t="inlineStr">
        <is>
          <t>High school diploma or recognized equivalent: A document certifying the successful completion of a prescribed secondary school program of studies, or the attainment of satisfactory scores on the Tests of General Educational Development (GED), or another state-specified examination.</t>
        </is>
      </c>
      <c r="B71" s="12" t="n"/>
      <c r="C71" s="12" t="n"/>
      <c r="D71" s="12" t="n"/>
      <c r="E71" s="12" t="n"/>
      <c r="F71" s="12" t="n"/>
      <c r="G71" s="12" t="n"/>
      <c r="H71" s="12" t="n"/>
      <c r="I71" s="12" t="n"/>
      <c r="J71" s="12" t="n"/>
      <c r="K71" s="12" t="n"/>
      <c r="L71" s="12" t="n"/>
      <c r="M71" s="12" t="n"/>
      <c r="N71" s="12" t="n"/>
      <c r="O71" s="12" t="n"/>
      <c r="P71" s="12" t="n"/>
      <c r="Q71" s="12" t="n"/>
      <c r="R71" s="12" t="n"/>
      <c r="S71" s="12" t="n"/>
      <c r="T71" s="12" t="n"/>
      <c r="U71" s="12" t="n"/>
      <c r="V71" s="12" t="n"/>
      <c r="W71" s="12" t="n"/>
      <c r="X71" s="12" t="n"/>
      <c r="Y71" s="12" t="n"/>
      <c r="Z71" s="12" t="n"/>
    </row>
    <row r="72" ht="12.75" customHeight="1" s="87">
      <c r="A72" s="17" t="inlineStr">
        <is>
          <t>Hispanic or Latino: A person of Mexican, Puerto Rican, Cuban, South or Central American, or other Spanish culture or origin, regardless of race.</t>
        </is>
      </c>
      <c r="B72" s="12" t="n"/>
      <c r="C72" s="12" t="n"/>
      <c r="D72" s="12" t="n"/>
      <c r="E72" s="12" t="n"/>
      <c r="F72" s="12" t="n"/>
      <c r="G72" s="12" t="n"/>
      <c r="H72" s="12" t="n"/>
      <c r="I72" s="12" t="n"/>
      <c r="J72" s="12" t="n"/>
      <c r="K72" s="12" t="n"/>
      <c r="L72" s="12" t="n"/>
      <c r="M72" s="12" t="n"/>
      <c r="N72" s="12" t="n"/>
      <c r="O72" s="12" t="n"/>
      <c r="P72" s="12" t="n"/>
      <c r="Q72" s="12" t="n"/>
      <c r="R72" s="12" t="n"/>
      <c r="S72" s="12" t="n"/>
      <c r="T72" s="12" t="n"/>
      <c r="U72" s="12" t="n"/>
      <c r="V72" s="12" t="n"/>
      <c r="W72" s="12" t="n"/>
      <c r="X72" s="12" t="n"/>
      <c r="Y72" s="12" t="n"/>
      <c r="Z72" s="12" t="n"/>
    </row>
    <row r="73" ht="12.75" customHeight="1" s="87">
      <c r="A73" s="17" t="inlineStr">
        <is>
          <t xml:space="preserve">Honors program: Any special program for very able students offering the opportunity for educational enrichment, independent study, acceleration, or some combination of these. </t>
        </is>
      </c>
      <c r="B73" s="12" t="n"/>
      <c r="C73" s="12" t="n"/>
      <c r="D73" s="12" t="n"/>
      <c r="E73" s="12" t="n"/>
      <c r="F73" s="12" t="n"/>
      <c r="G73" s="12" t="n"/>
      <c r="H73" s="12" t="n"/>
      <c r="I73" s="12" t="n"/>
      <c r="J73" s="12" t="n"/>
      <c r="K73" s="12" t="n"/>
      <c r="L73" s="12" t="n"/>
      <c r="M73" s="12" t="n"/>
      <c r="N73" s="12" t="n"/>
      <c r="O73" s="12" t="n"/>
      <c r="P73" s="12" t="n"/>
      <c r="Q73" s="12" t="n"/>
      <c r="R73" s="12" t="n"/>
      <c r="S73" s="12" t="n"/>
      <c r="T73" s="12" t="n"/>
      <c r="U73" s="12" t="n"/>
      <c r="V73" s="12" t="n"/>
      <c r="W73" s="12" t="n"/>
      <c r="X73" s="12" t="n"/>
      <c r="Y73" s="12" t="n"/>
      <c r="Z73" s="12" t="n"/>
    </row>
    <row r="74" ht="12.75" customHeight="1" s="87">
      <c r="A74" s="17" t="inlineStr">
        <is>
          <t>Independent study: Academic work chosen or designed by the student with the approval of the department concerned, under an instructor’s supervision, and usually undertaken outside of the regular classroom structure.</t>
        </is>
      </c>
      <c r="B74" s="12" t="n"/>
      <c r="C74" s="12" t="n"/>
      <c r="D74" s="12" t="n"/>
      <c r="E74" s="12" t="n"/>
      <c r="F74" s="12" t="n"/>
      <c r="G74" s="12" t="n"/>
      <c r="H74" s="12" t="n"/>
      <c r="I74" s="12" t="n"/>
      <c r="J74" s="12" t="n"/>
      <c r="K74" s="12" t="n"/>
      <c r="L74" s="12" t="n"/>
      <c r="M74" s="12" t="n"/>
      <c r="N74" s="12" t="n"/>
      <c r="O74" s="12" t="n"/>
      <c r="P74" s="12" t="n"/>
      <c r="Q74" s="12" t="n"/>
      <c r="R74" s="12" t="n"/>
      <c r="S74" s="12" t="n"/>
      <c r="T74" s="12" t="n"/>
      <c r="U74" s="12" t="n"/>
      <c r="V74" s="12" t="n"/>
      <c r="W74" s="12" t="n"/>
      <c r="X74" s="12" t="n"/>
      <c r="Y74" s="12" t="n"/>
      <c r="Z74" s="12" t="n"/>
    </row>
    <row r="75" ht="12.75" customHeight="1" s="87">
      <c r="A75" s="17" t="inlineStr">
        <is>
          <t>In-state tuition: The tuition charged by institutions to those students who meet the state’s or institution’s residency requirements.</t>
        </is>
      </c>
      <c r="B75" s="12" t="n"/>
      <c r="C75" s="12" t="n"/>
      <c r="D75" s="12" t="n"/>
      <c r="E75" s="12" t="n"/>
      <c r="F75" s="12" t="n"/>
      <c r="G75" s="12" t="n"/>
      <c r="H75" s="12" t="n"/>
      <c r="I75" s="12" t="n"/>
      <c r="J75" s="12" t="n"/>
      <c r="K75" s="12" t="n"/>
      <c r="L75" s="12" t="n"/>
      <c r="M75" s="12" t="n"/>
      <c r="N75" s="12" t="n"/>
      <c r="O75" s="12" t="n"/>
      <c r="P75" s="12" t="n"/>
      <c r="Q75" s="12" t="n"/>
      <c r="R75" s="12" t="n"/>
      <c r="S75" s="12" t="n"/>
      <c r="T75" s="12" t="n"/>
      <c r="U75" s="12" t="n"/>
      <c r="V75" s="12" t="n"/>
      <c r="W75" s="12" t="n"/>
      <c r="X75" s="12" t="n"/>
      <c r="Y75" s="12" t="n"/>
      <c r="Z75" s="12" t="n"/>
    </row>
    <row r="76" ht="12.75" customHeight="1" s="87">
      <c r="A76" s="17" t="inlineStr">
        <is>
          <t>International student: See Nonresident.</t>
        </is>
      </c>
      <c r="B76" s="12" t="n"/>
      <c r="C76" s="12" t="n"/>
      <c r="D76" s="12" t="n"/>
      <c r="E76" s="12" t="n"/>
      <c r="F76" s="12" t="n"/>
      <c r="G76" s="12" t="n"/>
      <c r="H76" s="12" t="n"/>
      <c r="I76" s="12" t="n"/>
      <c r="J76" s="12" t="n"/>
      <c r="K76" s="12" t="n"/>
      <c r="L76" s="12" t="n"/>
      <c r="M76" s="12" t="n"/>
      <c r="N76" s="12" t="n"/>
      <c r="O76" s="12" t="n"/>
      <c r="P76" s="12" t="n"/>
      <c r="Q76" s="12" t="n"/>
      <c r="R76" s="12" t="n"/>
      <c r="S76" s="12" t="n"/>
      <c r="T76" s="12" t="n"/>
      <c r="U76" s="12" t="n"/>
      <c r="V76" s="12" t="n"/>
      <c r="W76" s="12" t="n"/>
      <c r="X76" s="12" t="n"/>
      <c r="Y76" s="12" t="n"/>
      <c r="Z76" s="12" t="n"/>
    </row>
    <row r="77" ht="12.75" customHeight="1" s="87">
      <c r="A77" s="17" t="inlineStr">
        <is>
          <t xml:space="preserve">International student group: Student groups that facilitate cultural dialogue, support a diverse campus, assist international students in acclimation and creating a social network. </t>
        </is>
      </c>
      <c r="B77" s="12" t="n"/>
      <c r="C77" s="12" t="n"/>
      <c r="D77" s="12" t="n"/>
      <c r="E77" s="12" t="n"/>
      <c r="F77" s="12" t="n"/>
      <c r="G77" s="12" t="n"/>
      <c r="H77" s="12" t="n"/>
      <c r="I77" s="12" t="n"/>
      <c r="J77" s="12" t="n"/>
      <c r="K77" s="12" t="n"/>
      <c r="L77" s="12" t="n"/>
      <c r="M77" s="12" t="n"/>
      <c r="N77" s="12" t="n"/>
      <c r="O77" s="12" t="n"/>
      <c r="P77" s="12" t="n"/>
      <c r="Q77" s="12" t="n"/>
      <c r="R77" s="12" t="n"/>
      <c r="S77" s="12" t="n"/>
      <c r="T77" s="12" t="n"/>
      <c r="U77" s="12" t="n"/>
      <c r="V77" s="12" t="n"/>
      <c r="W77" s="12" t="n"/>
      <c r="X77" s="12" t="n"/>
      <c r="Y77" s="12" t="n"/>
      <c r="Z77" s="12" t="n"/>
    </row>
    <row r="78" ht="12.75" customHeight="1" s="87">
      <c r="A78" s="17" t="inlineStr">
        <is>
          <t>Internship: Any short-term, supervised work experience usually related to a student’s major field, for which the student earns academic credit. The work can be full- or part-time, on- or off-campus, paid or unpaid.</t>
        </is>
      </c>
      <c r="B78" s="12" t="n"/>
      <c r="C78" s="12" t="n"/>
      <c r="D78" s="12" t="n"/>
      <c r="E78" s="12" t="n"/>
      <c r="F78" s="12" t="n"/>
      <c r="G78" s="12" t="n"/>
      <c r="H78" s="12" t="n"/>
      <c r="I78" s="12" t="n"/>
      <c r="J78" s="12" t="n"/>
      <c r="K78" s="12" t="n"/>
      <c r="L78" s="12" t="n"/>
      <c r="M78" s="12" t="n"/>
      <c r="N78" s="12" t="n"/>
      <c r="O78" s="12" t="n"/>
      <c r="P78" s="12" t="n"/>
      <c r="Q78" s="12" t="n"/>
      <c r="R78" s="12" t="n"/>
      <c r="S78" s="12" t="n"/>
      <c r="T78" s="12" t="n"/>
      <c r="U78" s="12" t="n"/>
      <c r="V78" s="12" t="n"/>
      <c r="W78" s="12" t="n"/>
      <c r="X78" s="12" t="n"/>
      <c r="Y78" s="12" t="n"/>
      <c r="Z78" s="12" t="n"/>
    </row>
    <row r="79" ht="12.75" customHeight="1" s="87">
      <c r="A79" s="17" t="inlineStr">
        <is>
          <t>*Learning center: Center offering assistance through tutors, workshops, computer programs, or audiovisual equipment in reading, writing, math, and skills such as taking notes, managing time, taking tests.</t>
        </is>
      </c>
      <c r="B79" s="12" t="n"/>
      <c r="C79" s="12" t="n"/>
      <c r="D79" s="12" t="n"/>
      <c r="E79" s="12" t="n"/>
      <c r="F79" s="12" t="n"/>
      <c r="G79" s="12" t="n"/>
      <c r="H79" s="12" t="n"/>
      <c r="I79" s="12" t="n"/>
      <c r="J79" s="12" t="n"/>
      <c r="K79" s="12" t="n"/>
      <c r="L79" s="12" t="n"/>
      <c r="M79" s="12" t="n"/>
      <c r="N79" s="12" t="n"/>
      <c r="O79" s="12" t="n"/>
      <c r="P79" s="12" t="n"/>
      <c r="Q79" s="12" t="n"/>
      <c r="R79" s="12" t="n"/>
      <c r="S79" s="12" t="n"/>
      <c r="T79" s="12" t="n"/>
      <c r="U79" s="12" t="n"/>
      <c r="V79" s="12" t="n"/>
      <c r="W79" s="12" t="n"/>
      <c r="X79" s="12" t="n"/>
      <c r="Y79" s="12" t="n"/>
      <c r="Z79" s="12" t="n"/>
    </row>
    <row r="80" ht="12.75" customHeight="1" s="87">
      <c r="A80" s="17" t="n"/>
      <c r="B80" s="12" t="n"/>
      <c r="C80" s="12" t="n"/>
      <c r="D80" s="12" t="n"/>
      <c r="E80" s="12" t="n"/>
      <c r="F80" s="12" t="n"/>
      <c r="G80" s="12" t="n"/>
      <c r="H80" s="12" t="n"/>
      <c r="I80" s="12" t="n"/>
      <c r="J80" s="12" t="n"/>
      <c r="K80" s="12" t="n"/>
      <c r="L80" s="12" t="n"/>
      <c r="M80" s="12" t="n"/>
      <c r="N80" s="12" t="n"/>
      <c r="O80" s="12" t="n"/>
      <c r="P80" s="12" t="n"/>
      <c r="Q80" s="12" t="n"/>
      <c r="R80" s="12" t="n"/>
      <c r="S80" s="12" t="n"/>
      <c r="T80" s="12" t="n"/>
      <c r="U80" s="12" t="n"/>
      <c r="V80" s="12" t="n"/>
      <c r="W80" s="12" t="n"/>
      <c r="X80" s="12" t="n"/>
      <c r="Y80" s="12" t="n"/>
      <c r="Z80" s="12" t="n"/>
    </row>
    <row r="81" ht="12.75" customHeight="1" s="87">
      <c r="A81" s="17" t="inlineStr">
        <is>
          <t>*Legal services: Free or low cost legal advice for a range of issues (personal and other).</t>
        </is>
      </c>
      <c r="B81" s="12" t="n"/>
      <c r="C81" s="12" t="n"/>
      <c r="D81" s="12" t="n"/>
      <c r="E81" s="12" t="n"/>
      <c r="F81" s="12" t="n"/>
      <c r="G81" s="12" t="n"/>
      <c r="H81" s="12" t="n"/>
      <c r="I81" s="12" t="n"/>
      <c r="J81" s="12" t="n"/>
      <c r="K81" s="12" t="n"/>
      <c r="L81" s="12" t="n"/>
      <c r="M81" s="12" t="n"/>
      <c r="N81" s="12" t="n"/>
      <c r="O81" s="12" t="n"/>
      <c r="P81" s="12" t="n"/>
      <c r="Q81" s="12" t="n"/>
      <c r="R81" s="12" t="n"/>
      <c r="S81" s="12" t="n"/>
      <c r="T81" s="12" t="n"/>
      <c r="U81" s="12" t="n"/>
      <c r="V81" s="12" t="n"/>
      <c r="W81" s="12" t="n"/>
      <c r="X81" s="12" t="n"/>
      <c r="Y81" s="12" t="n"/>
      <c r="Z81" s="12" t="n"/>
    </row>
    <row r="82" ht="12.75" customHeight="1" s="87">
      <c r="A82" s="17" t="inlineStr">
        <is>
          <t>Liberal arts/career combination: Program in which a student earns undergraduate degrees in two separate fields, one in a liberal arts major and the other in a professional or specialized major, whether on campus or through cross‑registration.</t>
        </is>
      </c>
      <c r="B82" s="12" t="n"/>
      <c r="C82" s="12" t="n"/>
      <c r="D82" s="12" t="n"/>
      <c r="E82" s="12" t="n"/>
      <c r="F82" s="12" t="n"/>
      <c r="G82" s="12" t="n"/>
      <c r="H82" s="12" t="n"/>
      <c r="I82" s="12" t="n"/>
      <c r="J82" s="12" t="n"/>
      <c r="K82" s="12" t="n"/>
      <c r="L82" s="12" t="n"/>
      <c r="M82" s="12" t="n"/>
      <c r="N82" s="12" t="n"/>
      <c r="O82" s="12" t="n"/>
      <c r="P82" s="12" t="n"/>
      <c r="Q82" s="12" t="n"/>
      <c r="R82" s="12" t="n"/>
      <c r="S82" s="12" t="n"/>
      <c r="T82" s="12" t="n"/>
      <c r="U82" s="12" t="n"/>
      <c r="V82" s="12" t="n"/>
      <c r="W82" s="12" t="n"/>
      <c r="X82" s="12" t="n"/>
      <c r="Y82" s="12" t="n"/>
      <c r="Z82" s="12" t="n"/>
    </row>
    <row r="83" ht="12.75" customHeight="1" s="87">
      <c r="A83" s="17" t="inlineStr">
        <is>
          <t>Living learning community: Residential programs that allow students to interact with students who share common interests. In addition to living together, students may also participate in shared courses, special events, and group service projects.</t>
        </is>
      </c>
      <c r="B83" s="12" t="n"/>
      <c r="C83" s="12" t="n"/>
      <c r="D83" s="12" t="n"/>
      <c r="E83" s="12" t="n"/>
      <c r="F83" s="12" t="n"/>
      <c r="G83" s="12" t="n"/>
      <c r="H83" s="12" t="n"/>
      <c r="I83" s="12" t="n"/>
      <c r="J83" s="12" t="n"/>
      <c r="K83" s="12" t="n"/>
      <c r="L83" s="12" t="n"/>
      <c r="M83" s="12" t="n"/>
      <c r="N83" s="12" t="n"/>
      <c r="O83" s="12" t="n"/>
      <c r="P83" s="12" t="n"/>
      <c r="Q83" s="12" t="n"/>
      <c r="R83" s="12" t="n"/>
      <c r="S83" s="12" t="n"/>
      <c r="T83" s="12" t="n"/>
      <c r="U83" s="12" t="n"/>
      <c r="V83" s="12" t="n"/>
      <c r="W83" s="12" t="n"/>
      <c r="X83" s="12" t="n"/>
      <c r="Y83" s="12" t="n"/>
      <c r="Z83" s="12" t="n"/>
    </row>
    <row r="84" ht="12.75" customHeight="1" s="87">
      <c r="A84" s="18" t="inlineStr">
        <is>
          <t xml:space="preserve">Master's degree: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is>
      </c>
      <c r="B84" s="12" t="n"/>
      <c r="C84" s="12" t="n"/>
      <c r="D84" s="12" t="n"/>
      <c r="E84" s="12" t="n"/>
      <c r="F84" s="12" t="n"/>
      <c r="G84" s="12" t="n"/>
      <c r="H84" s="12" t="n"/>
      <c r="I84" s="12" t="n"/>
      <c r="J84" s="12" t="n"/>
      <c r="K84" s="12" t="n"/>
      <c r="L84" s="12" t="n"/>
      <c r="M84" s="12" t="n"/>
      <c r="N84" s="12" t="n"/>
      <c r="O84" s="12" t="n"/>
      <c r="P84" s="12" t="n"/>
      <c r="Q84" s="12" t="n"/>
      <c r="R84" s="12" t="n"/>
      <c r="S84" s="12" t="n"/>
      <c r="T84" s="12" t="n"/>
      <c r="U84" s="12" t="n"/>
      <c r="V84" s="12" t="n"/>
      <c r="W84" s="12" t="n"/>
      <c r="X84" s="12" t="n"/>
      <c r="Y84" s="12" t="n"/>
      <c r="Z84" s="12" t="n"/>
    </row>
    <row r="85" ht="12.75" customHeight="1" s="87">
      <c r="A85" s="17" t="inlineStr">
        <is>
          <t>Minority affiliation (as admission factor): Special consideration in the admission process for members of designated racial/ethnic minority groups.</t>
        </is>
      </c>
      <c r="B85" s="12" t="n"/>
      <c r="C85" s="12" t="n"/>
      <c r="D85" s="12" t="n"/>
      <c r="E85" s="12" t="n"/>
      <c r="F85" s="12" t="n"/>
      <c r="G85" s="12" t="n"/>
      <c r="H85" s="12" t="n"/>
      <c r="I85" s="12" t="n"/>
      <c r="J85" s="12" t="n"/>
      <c r="K85" s="12" t="n"/>
      <c r="L85" s="12" t="n"/>
      <c r="M85" s="12" t="n"/>
      <c r="N85" s="12" t="n"/>
      <c r="O85" s="12" t="n"/>
      <c r="P85" s="12" t="n"/>
      <c r="Q85" s="12" t="n"/>
      <c r="R85" s="12" t="n"/>
      <c r="S85" s="12" t="n"/>
      <c r="T85" s="12" t="n"/>
      <c r="U85" s="12" t="n"/>
      <c r="V85" s="12" t="n"/>
      <c r="W85" s="12" t="n"/>
      <c r="X85" s="12" t="n"/>
      <c r="Y85" s="12" t="n"/>
      <c r="Z85" s="12" t="n"/>
    </row>
    <row r="86" ht="12.75" customHeight="1" s="87">
      <c r="A86" s="17" t="inlineStr">
        <is>
          <t>*Minority student center: Center with programs, activities, and/or services intended to enhance the college experience of students of color.</t>
        </is>
      </c>
      <c r="B86" s="12" t="n"/>
      <c r="C86" s="12" t="n"/>
      <c r="D86" s="12" t="n"/>
      <c r="E86" s="12" t="n"/>
      <c r="F86" s="12" t="n"/>
      <c r="G86" s="12" t="n"/>
      <c r="H86" s="12" t="n"/>
      <c r="I86" s="12" t="n"/>
      <c r="J86" s="12" t="n"/>
      <c r="K86" s="12" t="n"/>
      <c r="L86" s="12" t="n"/>
      <c r="M86" s="12" t="n"/>
      <c r="N86" s="12" t="n"/>
      <c r="O86" s="12" t="n"/>
      <c r="P86" s="12" t="n"/>
      <c r="Q86" s="12" t="n"/>
      <c r="R86" s="12" t="n"/>
      <c r="S86" s="12" t="n"/>
      <c r="T86" s="12" t="n"/>
      <c r="U86" s="12" t="n"/>
      <c r="V86" s="12" t="n"/>
      <c r="W86" s="12" t="n"/>
      <c r="X86" s="12" t="n"/>
      <c r="Y86" s="12" t="n"/>
      <c r="Z86" s="12" t="n"/>
    </row>
    <row r="87" ht="12.75" customHeight="1" s="87">
      <c r="A87" s="15" t="n"/>
      <c r="B87" s="12" t="n"/>
      <c r="C87" s="12" t="n"/>
      <c r="D87" s="12" t="n"/>
      <c r="E87" s="12" t="n"/>
      <c r="F87" s="12" t="n"/>
      <c r="G87" s="12" t="n"/>
      <c r="H87" s="12" t="n"/>
      <c r="I87" s="12" t="n"/>
      <c r="J87" s="12" t="n"/>
      <c r="K87" s="12" t="n"/>
      <c r="L87" s="12" t="n"/>
      <c r="M87" s="12" t="n"/>
      <c r="N87" s="12" t="n"/>
      <c r="O87" s="12" t="n"/>
      <c r="P87" s="12" t="n"/>
      <c r="Q87" s="12" t="n"/>
      <c r="R87" s="12" t="n"/>
      <c r="S87" s="12" t="n"/>
      <c r="T87" s="12" t="n"/>
      <c r="U87" s="12" t="n"/>
      <c r="V87" s="12" t="n"/>
      <c r="W87" s="12" t="n"/>
      <c r="X87" s="12" t="n"/>
      <c r="Y87" s="12" t="n"/>
      <c r="Z87" s="12" t="n"/>
    </row>
    <row r="88" ht="12.75" customHeight="1" s="87">
      <c r="A88" s="18" t="inlineStr">
        <is>
          <t xml:space="preserve">Model United Nations: A simulation activity focusing on conflict resolution, globalization, and diplomacy. Assuming roles as foreign ambassadors and “delegates,” students conduct research, engage in debate, draft resolutions, and may participate in a national Model UN conference.  </t>
        </is>
      </c>
      <c r="B88" s="12" t="n"/>
      <c r="C88" s="12" t="n"/>
      <c r="D88" s="12" t="n"/>
      <c r="E88" s="12" t="n"/>
      <c r="F88" s="12" t="n"/>
      <c r="G88" s="12" t="n"/>
      <c r="H88" s="12" t="n"/>
      <c r="I88" s="12" t="n"/>
      <c r="J88" s="12" t="n"/>
      <c r="K88" s="12" t="n"/>
      <c r="L88" s="12" t="n"/>
      <c r="M88" s="12" t="n"/>
      <c r="N88" s="12" t="n"/>
      <c r="O88" s="12" t="n"/>
      <c r="P88" s="12" t="n"/>
      <c r="Q88" s="12" t="n"/>
      <c r="R88" s="12" t="n"/>
      <c r="S88" s="12" t="n"/>
      <c r="T88" s="12" t="n"/>
      <c r="U88" s="12" t="n"/>
      <c r="V88" s="12" t="n"/>
      <c r="W88" s="12" t="n"/>
      <c r="X88" s="12" t="n"/>
      <c r="Y88" s="12" t="n"/>
      <c r="Z88" s="12" t="n"/>
    </row>
    <row r="89" ht="12.75" customHeight="1" s="87">
      <c r="A89" s="19" t="n"/>
      <c r="B89" s="12" t="n"/>
      <c r="C89" s="12" t="n"/>
      <c r="D89" s="12" t="n"/>
      <c r="E89" s="12" t="n"/>
      <c r="F89" s="12" t="n"/>
      <c r="G89" s="12" t="n"/>
      <c r="H89" s="12" t="n"/>
      <c r="I89" s="12" t="n"/>
      <c r="J89" s="12" t="n"/>
      <c r="K89" s="12" t="n"/>
      <c r="L89" s="12" t="n"/>
      <c r="M89" s="12" t="n"/>
      <c r="N89" s="12" t="n"/>
      <c r="O89" s="12" t="n"/>
      <c r="P89" s="12" t="n"/>
      <c r="Q89" s="12" t="n"/>
      <c r="R89" s="12" t="n"/>
      <c r="S89" s="12" t="n"/>
      <c r="T89" s="12" t="n"/>
      <c r="U89" s="12" t="n"/>
      <c r="V89" s="12" t="n"/>
      <c r="W89" s="12" t="n"/>
      <c r="X89" s="12" t="n"/>
      <c r="Y89" s="12" t="n"/>
      <c r="Z89" s="12" t="n"/>
    </row>
    <row r="90" ht="12.75" customHeight="1" s="87">
      <c r="A90" s="20" t="inlineStr">
        <is>
          <t>Native Hawaiian or Other Pacific Islander: A person having origins in any of the original peoples of Hawaii, Guam, Samoa, or other Pacific Islands.</t>
        </is>
      </c>
      <c r="B90" s="12" t="n"/>
      <c r="C90" s="12" t="n"/>
      <c r="D90" s="12" t="n"/>
      <c r="E90" s="12" t="n"/>
      <c r="F90" s="12" t="n"/>
      <c r="G90" s="12" t="n"/>
      <c r="H90" s="12" t="n"/>
      <c r="I90" s="12" t="n"/>
      <c r="J90" s="12" t="n"/>
      <c r="K90" s="12" t="n"/>
      <c r="L90" s="12" t="n"/>
      <c r="M90" s="12" t="n"/>
      <c r="N90" s="12" t="n"/>
      <c r="O90" s="12" t="n"/>
      <c r="P90" s="12" t="n"/>
      <c r="Q90" s="12" t="n"/>
      <c r="R90" s="12" t="n"/>
      <c r="S90" s="12" t="n"/>
      <c r="T90" s="12" t="n"/>
      <c r="U90" s="12" t="n"/>
      <c r="V90" s="12" t="n"/>
      <c r="W90" s="12" t="n"/>
      <c r="X90" s="12" t="n"/>
      <c r="Y90" s="12" t="n"/>
      <c r="Z90" s="12" t="n"/>
    </row>
    <row r="91" ht="12.75" customHeight="1" s="87">
      <c r="A91" s="17" t="inlineStr">
        <is>
          <t>*New student orientation: Orientation addressing the academic, social, emotional, and intellectual issues involved in beginning college. May be a few hours or a few days in length; at some colleges, there is a fee.</t>
        </is>
      </c>
      <c r="B91" s="12" t="n"/>
      <c r="C91" s="12" t="n"/>
      <c r="D91" s="12" t="n"/>
      <c r="E91" s="12" t="n"/>
      <c r="F91" s="12" t="n"/>
      <c r="G91" s="12" t="n"/>
      <c r="H91" s="12" t="n"/>
      <c r="I91" s="12" t="n"/>
      <c r="J91" s="12" t="n"/>
      <c r="K91" s="12" t="n"/>
      <c r="L91" s="12" t="n"/>
      <c r="M91" s="12" t="n"/>
      <c r="N91" s="12" t="n"/>
      <c r="O91" s="12" t="n"/>
      <c r="P91" s="12" t="n"/>
      <c r="Q91" s="12" t="n"/>
      <c r="R91" s="12" t="n"/>
      <c r="S91" s="12" t="n"/>
      <c r="T91" s="12" t="n"/>
      <c r="U91" s="12" t="n"/>
      <c r="V91" s="12" t="n"/>
      <c r="W91" s="12" t="n"/>
      <c r="X91" s="12" t="n"/>
      <c r="Y91" s="12" t="n"/>
      <c r="Z91" s="12" t="n"/>
    </row>
    <row r="92" ht="12.75" customHeight="1" s="87">
      <c r="A92" s="17" t="inlineStr">
        <is>
          <t>Nonresident: A person who is not a citizen or national of the United States and who is in this country on a visa or temporary basis and does not have the right to remain indefinitely.</t>
        </is>
      </c>
      <c r="B92" s="12" t="n"/>
      <c r="C92" s="12" t="n"/>
      <c r="D92" s="12" t="n"/>
      <c r="E92" s="12" t="n"/>
      <c r="F92" s="12" t="n"/>
      <c r="G92" s="12" t="n"/>
      <c r="H92" s="12" t="n"/>
      <c r="I92" s="12" t="n"/>
      <c r="J92" s="12" t="n"/>
      <c r="K92" s="12" t="n"/>
      <c r="L92" s="12" t="n"/>
      <c r="M92" s="12" t="n"/>
      <c r="N92" s="12" t="n"/>
      <c r="O92" s="12" t="n"/>
      <c r="P92" s="12" t="n"/>
      <c r="Q92" s="12" t="n"/>
      <c r="R92" s="12" t="n"/>
      <c r="S92" s="12" t="n"/>
      <c r="T92" s="12" t="n"/>
      <c r="U92" s="12" t="n"/>
      <c r="V92" s="12" t="n"/>
      <c r="W92" s="12" t="n"/>
      <c r="X92" s="12" t="n"/>
      <c r="Y92" s="12" t="n"/>
      <c r="Z92" s="12" t="n"/>
    </row>
    <row r="93" ht="12.75" customHeight="1" s="87">
      <c r="A93" s="17" t="inlineStr">
        <is>
          <t>*On-campus day care: Licensed day care for students’ children (usually age 3 and up); usually for a fee.</t>
        </is>
      </c>
      <c r="B93" s="12" t="n"/>
      <c r="C93" s="12" t="n"/>
      <c r="D93" s="12" t="n"/>
      <c r="E93" s="12" t="n"/>
      <c r="F93" s="12" t="n"/>
      <c r="G93" s="12" t="n"/>
      <c r="H93" s="12" t="n"/>
      <c r="I93" s="12" t="n"/>
      <c r="J93" s="12" t="n"/>
      <c r="K93" s="12" t="n"/>
      <c r="L93" s="12" t="n"/>
      <c r="M93" s="12" t="n"/>
      <c r="N93" s="12" t="n"/>
      <c r="O93" s="12" t="n"/>
      <c r="P93" s="12" t="n"/>
      <c r="Q93" s="12" t="n"/>
      <c r="R93" s="12" t="n"/>
      <c r="S93" s="12" t="n"/>
      <c r="T93" s="12" t="n"/>
      <c r="U93" s="12" t="n"/>
      <c r="V93" s="12" t="n"/>
      <c r="W93" s="12" t="n"/>
      <c r="X93" s="12" t="n"/>
      <c r="Y93" s="12" t="n"/>
      <c r="Z93" s="12" t="n"/>
    </row>
    <row r="94" ht="12.75" customHeight="1" s="87">
      <c r="A94" s="17" t="inlineStr">
        <is>
          <t>Open admission: Admission policy under which virtually all secondary school graduates or students with GED equivalency diplomas are admitted without regard to academic record, test scores, or other qualifications.</t>
        </is>
      </c>
      <c r="B94" s="12" t="n"/>
      <c r="C94" s="12" t="n"/>
      <c r="D94" s="12" t="n"/>
      <c r="E94" s="12" t="n"/>
      <c r="F94" s="12" t="n"/>
      <c r="G94" s="12" t="n"/>
      <c r="H94" s="12" t="n"/>
      <c r="I94" s="12" t="n"/>
      <c r="J94" s="12" t="n"/>
      <c r="K94" s="12" t="n"/>
      <c r="L94" s="12" t="n"/>
      <c r="M94" s="12" t="n"/>
      <c r="N94" s="12" t="n"/>
      <c r="O94" s="12" t="n"/>
      <c r="P94" s="12" t="n"/>
      <c r="Q94" s="12" t="n"/>
      <c r="R94" s="12" t="n"/>
      <c r="S94" s="12" t="n"/>
      <c r="T94" s="12" t="n"/>
      <c r="U94" s="12" t="n"/>
      <c r="V94" s="12" t="n"/>
      <c r="W94" s="12" t="n"/>
      <c r="X94" s="12" t="n"/>
      <c r="Y94" s="12" t="n"/>
      <c r="Z94" s="12" t="n"/>
    </row>
    <row r="95" ht="12.75" customHeight="1" s="87">
      <c r="A95" s="17" t="inlineStr">
        <is>
          <t>Other expenses (costs): Include average costs for clothing, laundry, entertainment, medical (if not a required fee), and furnishings.</t>
        </is>
      </c>
      <c r="B95" s="12" t="n"/>
      <c r="C95" s="12" t="n"/>
      <c r="D95" s="12" t="n"/>
      <c r="E95" s="12" t="n"/>
      <c r="F95" s="12" t="n"/>
      <c r="G95" s="12" t="n"/>
      <c r="H95" s="12" t="n"/>
      <c r="I95" s="12" t="n"/>
      <c r="J95" s="12" t="n"/>
      <c r="K95" s="12" t="n"/>
      <c r="L95" s="12" t="n"/>
      <c r="M95" s="12" t="n"/>
      <c r="N95" s="12" t="n"/>
      <c r="O95" s="12" t="n"/>
      <c r="P95" s="12" t="n"/>
      <c r="Q95" s="12" t="n"/>
      <c r="R95" s="12" t="n"/>
      <c r="S95" s="12" t="n"/>
      <c r="T95" s="12" t="n"/>
      <c r="U95" s="12" t="n"/>
      <c r="V95" s="12" t="n"/>
      <c r="W95" s="12" t="n"/>
      <c r="X95" s="12" t="n"/>
      <c r="Y95" s="12" t="n"/>
      <c r="Z95" s="12" t="n"/>
    </row>
    <row r="96" ht="12.75" customHeight="1" s="87">
      <c r="A96" s="17" t="inlineStr">
        <is>
          <t>Out-of-state tuition: The tuition charged by institutions to those students who do not meet the institution’s or state’s residency requirements.</t>
        </is>
      </c>
      <c r="B96" s="12" t="n"/>
      <c r="C96" s="12" t="n"/>
      <c r="D96" s="12" t="n"/>
      <c r="E96" s="12" t="n"/>
      <c r="F96" s="12" t="n"/>
      <c r="G96" s="12" t="n"/>
      <c r="H96" s="12" t="n"/>
      <c r="I96" s="12" t="n"/>
      <c r="J96" s="12" t="n"/>
      <c r="K96" s="12" t="n"/>
      <c r="L96" s="12" t="n"/>
      <c r="M96" s="12" t="n"/>
      <c r="N96" s="12" t="n"/>
      <c r="O96" s="12" t="n"/>
      <c r="P96" s="12" t="n"/>
      <c r="Q96" s="12" t="n"/>
      <c r="R96" s="12" t="n"/>
      <c r="S96" s="12" t="n"/>
      <c r="T96" s="12" t="n"/>
      <c r="U96" s="12" t="n"/>
      <c r="V96" s="12" t="n"/>
      <c r="W96" s="12" t="n"/>
      <c r="X96" s="12" t="n"/>
      <c r="Y96" s="12" t="n"/>
      <c r="Z96" s="12" t="n"/>
    </row>
    <row r="97" ht="12.75" customHeight="1" s="87">
      <c r="A97" s="17" t="inlineStr">
        <is>
          <t>Outside a dual enrollment program:  High school students who simply enroll in credit courses through your institution, and are treated as regularly enrolled college students.</t>
        </is>
      </c>
      <c r="B97" s="12" t="n"/>
      <c r="C97" s="12" t="n"/>
      <c r="D97" s="12" t="n"/>
      <c r="E97" s="12" t="n"/>
      <c r="F97" s="12" t="n"/>
      <c r="G97" s="12" t="n"/>
      <c r="H97" s="12" t="n"/>
      <c r="I97" s="12" t="n"/>
      <c r="J97" s="12" t="n"/>
      <c r="K97" s="12" t="n"/>
      <c r="L97" s="12" t="n"/>
      <c r="M97" s="12" t="n"/>
      <c r="N97" s="12" t="n"/>
      <c r="O97" s="12" t="n"/>
      <c r="P97" s="12" t="n"/>
      <c r="Q97" s="12" t="n"/>
      <c r="R97" s="12" t="n"/>
      <c r="S97" s="12" t="n"/>
      <c r="T97" s="12" t="n"/>
      <c r="U97" s="12" t="n"/>
      <c r="V97" s="12" t="n"/>
      <c r="W97" s="12" t="n"/>
      <c r="X97" s="12" t="n"/>
      <c r="Y97" s="12" t="n"/>
      <c r="Z97" s="12" t="n"/>
    </row>
    <row r="98" ht="12.75" customHeight="1" s="87">
      <c r="A98" s="17" t="inlineStr">
        <is>
          <t>Part-time student (undergraduate): A student enrolled for fewer than 12 credits per semester or quarter, or fewer than 24 clock hours a week each term.</t>
        </is>
      </c>
      <c r="B98" s="12" t="n"/>
      <c r="C98" s="12" t="n"/>
      <c r="D98" s="12" t="n"/>
      <c r="E98" s="12" t="n"/>
      <c r="F98" s="12" t="n"/>
      <c r="G98" s="12" t="n"/>
      <c r="H98" s="12" t="n"/>
      <c r="I98" s="12" t="n"/>
      <c r="J98" s="12" t="n"/>
      <c r="K98" s="12" t="n"/>
      <c r="L98" s="12" t="n"/>
      <c r="M98" s="12" t="n"/>
      <c r="N98" s="12" t="n"/>
      <c r="O98" s="12" t="n"/>
      <c r="P98" s="12" t="n"/>
      <c r="Q98" s="12" t="n"/>
      <c r="R98" s="12" t="n"/>
      <c r="S98" s="12" t="n"/>
      <c r="T98" s="12" t="n"/>
      <c r="U98" s="12" t="n"/>
      <c r="V98" s="12" t="n"/>
      <c r="W98" s="12" t="n"/>
      <c r="X98" s="12" t="n"/>
      <c r="Y98" s="12" t="n"/>
      <c r="Z98" s="12" t="n"/>
    </row>
    <row r="99" ht="12.75" customHeight="1" s="87">
      <c r="A99" s="17" t="inlineStr">
        <is>
          <t>Permanent Resident or other eligible non-citizen: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is>
      </c>
      <c r="B99" s="12" t="n"/>
      <c r="C99" s="12" t="n"/>
      <c r="D99" s="12" t="n"/>
      <c r="E99" s="12" t="n"/>
      <c r="F99" s="12" t="n"/>
      <c r="G99" s="12" t="n"/>
      <c r="H99" s="12" t="n"/>
      <c r="I99" s="12" t="n"/>
      <c r="J99" s="12" t="n"/>
      <c r="K99" s="12" t="n"/>
      <c r="L99" s="12" t="n"/>
      <c r="M99" s="12" t="n"/>
      <c r="N99" s="12" t="n"/>
      <c r="O99" s="12" t="n"/>
      <c r="P99" s="12" t="n"/>
      <c r="Q99" s="12" t="n"/>
      <c r="R99" s="12" t="n"/>
      <c r="S99" s="12" t="n"/>
      <c r="T99" s="12" t="n"/>
      <c r="U99" s="12" t="n"/>
      <c r="V99" s="12" t="n"/>
      <c r="W99" s="12" t="n"/>
      <c r="X99" s="12" t="n"/>
      <c r="Y99" s="12" t="n"/>
      <c r="Z99" s="12" t="n"/>
    </row>
    <row r="100" ht="12.75" customHeight="1" s="87">
      <c r="A100" s="17" t="inlineStr">
        <is>
          <t>*Personal counseling: One-on-one or group counseling with trained professionals for students who want to explore personal, educational, or vocational issues.</t>
        </is>
      </c>
      <c r="B100" s="12" t="n"/>
      <c r="C100" s="12" t="n"/>
      <c r="D100" s="12" t="n"/>
      <c r="E100" s="12" t="n"/>
      <c r="F100" s="12" t="n"/>
      <c r="G100" s="12" t="n"/>
      <c r="H100" s="12" t="n"/>
      <c r="I100" s="12" t="n"/>
      <c r="J100" s="12" t="n"/>
      <c r="K100" s="12" t="n"/>
      <c r="L100" s="12" t="n"/>
      <c r="M100" s="12" t="n"/>
      <c r="N100" s="12" t="n"/>
      <c r="O100" s="12" t="n"/>
      <c r="P100" s="12" t="n"/>
      <c r="Q100" s="12" t="n"/>
      <c r="R100" s="12" t="n"/>
      <c r="S100" s="12" t="n"/>
      <c r="T100" s="12" t="n"/>
      <c r="U100" s="12" t="n"/>
      <c r="V100" s="12" t="n"/>
      <c r="W100" s="12" t="n"/>
      <c r="X100" s="12" t="n"/>
      <c r="Y100" s="12" t="n"/>
      <c r="Z100" s="12" t="n"/>
    </row>
    <row r="101" ht="12.75" customHeight="1" s="87">
      <c r="A101" s="17" t="inlineStr">
        <is>
          <t>Post-baccalaureate certificate: An award that requires completion of an organized program of study requiring 18 credit hours beyond the bachelor’s; designed for persons who have completed a baccalaureate degree but do not meet the requirements of academic degrees carrying the title of master.</t>
        </is>
      </c>
      <c r="B101" s="12" t="n"/>
      <c r="C101" s="12" t="n"/>
      <c r="D101" s="12" t="n"/>
      <c r="E101" s="12" t="n"/>
      <c r="F101" s="12" t="n"/>
      <c r="G101" s="12" t="n"/>
      <c r="H101" s="12" t="n"/>
      <c r="I101" s="12" t="n"/>
      <c r="J101" s="12" t="n"/>
      <c r="K101" s="12" t="n"/>
      <c r="L101" s="12" t="n"/>
      <c r="M101" s="12" t="n"/>
      <c r="N101" s="12" t="n"/>
      <c r="O101" s="12" t="n"/>
      <c r="P101" s="12" t="n"/>
      <c r="Q101" s="12" t="n"/>
      <c r="R101" s="12" t="n"/>
      <c r="S101" s="12" t="n"/>
      <c r="T101" s="12" t="n"/>
      <c r="U101" s="12" t="n"/>
      <c r="V101" s="12" t="n"/>
      <c r="W101" s="12" t="n"/>
      <c r="X101" s="12" t="n"/>
      <c r="Y101" s="12" t="n"/>
      <c r="Z101" s="12" t="n"/>
    </row>
    <row r="102" ht="12.75" customHeight="1" s="87">
      <c r="A102" s="17" t="inlineStr">
        <is>
          <t>Post-master’s certificate: An award that requires completion of an organized program of study of 24 credit hours beyond the master’s degree but does not meet the requirements of academic degrees at the doctoral level.</t>
        </is>
      </c>
      <c r="B102" s="12" t="n"/>
      <c r="C102" s="12" t="n"/>
      <c r="D102" s="12" t="n"/>
      <c r="E102" s="12" t="n"/>
      <c r="F102" s="12" t="n"/>
      <c r="G102" s="12" t="n"/>
      <c r="H102" s="12" t="n"/>
      <c r="I102" s="12" t="n"/>
      <c r="J102" s="12" t="n"/>
      <c r="K102" s="12" t="n"/>
      <c r="L102" s="12" t="n"/>
      <c r="M102" s="12" t="n"/>
      <c r="N102" s="12" t="n"/>
      <c r="O102" s="12" t="n"/>
      <c r="P102" s="12" t="n"/>
      <c r="Q102" s="12" t="n"/>
      <c r="R102" s="12" t="n"/>
      <c r="S102" s="12" t="n"/>
      <c r="T102" s="12" t="n"/>
      <c r="U102" s="12" t="n"/>
      <c r="V102" s="12" t="n"/>
      <c r="W102" s="12" t="n"/>
      <c r="X102" s="12" t="n"/>
      <c r="Y102" s="12" t="n"/>
      <c r="Z102" s="12" t="n"/>
    </row>
    <row r="103" ht="12.75" customHeight="1" s="87">
      <c r="A103" s="17" t="inlineStr">
        <is>
          <t>Postsecondary award, certificate, or diploma: Includes the following three IPEDS definitions for postsecondary awards, certificates, and diplomas of varying durations and credit/contact/clock hour requirements:</t>
        </is>
      </c>
      <c r="B103" s="12" t="n"/>
      <c r="C103" s="12" t="n"/>
      <c r="D103" s="12" t="n"/>
      <c r="E103" s="12" t="n"/>
      <c r="F103" s="12" t="n"/>
      <c r="G103" s="12" t="n"/>
      <c r="H103" s="12" t="n"/>
      <c r="I103" s="12" t="n"/>
      <c r="J103" s="12" t="n"/>
      <c r="K103" s="12" t="n"/>
      <c r="L103" s="12" t="n"/>
      <c r="M103" s="12" t="n"/>
      <c r="N103" s="12" t="n"/>
      <c r="O103" s="12" t="n"/>
      <c r="P103" s="12" t="n"/>
      <c r="Q103" s="12" t="n"/>
      <c r="R103" s="12" t="n"/>
      <c r="S103" s="12" t="n"/>
      <c r="T103" s="12" t="n"/>
      <c r="U103" s="12" t="n"/>
      <c r="V103" s="12" t="n"/>
      <c r="W103" s="12" t="n"/>
      <c r="X103" s="12" t="n"/>
      <c r="Y103" s="12" t="n"/>
      <c r="Z103" s="12" t="n"/>
    </row>
    <row r="104" ht="12.75" customHeight="1" s="87">
      <c r="A104" s="15" t="n"/>
      <c r="B104" s="12" t="n"/>
      <c r="C104" s="12" t="n"/>
      <c r="D104" s="12" t="n"/>
      <c r="E104" s="12" t="n"/>
      <c r="F104" s="12" t="n"/>
      <c r="G104" s="12" t="n"/>
      <c r="H104" s="12" t="n"/>
      <c r="I104" s="12" t="n"/>
      <c r="J104" s="12" t="n"/>
      <c r="K104" s="12" t="n"/>
      <c r="L104" s="12" t="n"/>
      <c r="M104" s="12" t="n"/>
      <c r="N104" s="12" t="n"/>
      <c r="O104" s="12" t="n"/>
      <c r="P104" s="12" t="n"/>
      <c r="Q104" s="12" t="n"/>
      <c r="R104" s="12" t="n"/>
      <c r="S104" s="12" t="n"/>
      <c r="T104" s="12" t="n"/>
      <c r="U104" s="12" t="n"/>
      <c r="V104" s="12" t="n"/>
      <c r="W104" s="12" t="n"/>
      <c r="X104" s="12" t="n"/>
      <c r="Y104" s="12" t="n"/>
      <c r="Z104" s="12" t="n"/>
    </row>
    <row r="105" ht="12.75" customHeight="1" s="87">
      <c r="A105" s="21" t="inlineStr">
        <is>
          <t>Less Than 1 Academic Year: Requires completion of an organized program of study at the postsecondary level (below the baccalaureate degree) in less than 1 academic year (2 semesters or 3 quarters) or in less than 900 clock hours by a student enrolled full-time.</t>
        </is>
      </c>
      <c r="B105" s="12" t="n"/>
      <c r="C105" s="12" t="n"/>
      <c r="D105" s="12" t="n"/>
      <c r="E105" s="12" t="n"/>
      <c r="F105" s="12" t="n"/>
      <c r="G105" s="12" t="n"/>
      <c r="H105" s="12" t="n"/>
      <c r="I105" s="12" t="n"/>
      <c r="J105" s="12" t="n"/>
      <c r="K105" s="12" t="n"/>
      <c r="L105" s="12" t="n"/>
      <c r="M105" s="12" t="n"/>
      <c r="N105" s="12" t="n"/>
      <c r="O105" s="12" t="n"/>
      <c r="P105" s="12" t="n"/>
      <c r="Q105" s="12" t="n"/>
      <c r="R105" s="12" t="n"/>
      <c r="S105" s="12" t="n"/>
      <c r="T105" s="12" t="n"/>
      <c r="U105" s="12" t="n"/>
      <c r="V105" s="12" t="n"/>
      <c r="W105" s="12" t="n"/>
      <c r="X105" s="12" t="n"/>
      <c r="Y105" s="12" t="n"/>
      <c r="Z105" s="12" t="n"/>
    </row>
    <row r="106" ht="12.75" customHeight="1" s="87">
      <c r="A106" s="15" t="n"/>
      <c r="B106" s="12" t="n"/>
      <c r="C106" s="12" t="n"/>
      <c r="D106" s="12" t="n"/>
      <c r="E106" s="12" t="n"/>
      <c r="F106" s="12" t="n"/>
      <c r="G106" s="12" t="n"/>
      <c r="H106" s="12" t="n"/>
      <c r="I106" s="12" t="n"/>
      <c r="J106" s="12" t="n"/>
      <c r="K106" s="12" t="n"/>
      <c r="L106" s="12" t="n"/>
      <c r="M106" s="12" t="n"/>
      <c r="N106" s="12" t="n"/>
      <c r="O106" s="12" t="n"/>
      <c r="P106" s="12" t="n"/>
      <c r="Q106" s="12" t="n"/>
      <c r="R106" s="12" t="n"/>
      <c r="S106" s="12" t="n"/>
      <c r="T106" s="12" t="n"/>
      <c r="U106" s="12" t="n"/>
      <c r="V106" s="12" t="n"/>
      <c r="W106" s="12" t="n"/>
      <c r="X106" s="12" t="n"/>
      <c r="Y106" s="12" t="n"/>
      <c r="Z106" s="12" t="n"/>
    </row>
    <row r="107" ht="12.75" customHeight="1" s="87">
      <c r="A107" s="21" t="inlineStr">
        <is>
          <t>At Least 1 But Less Than 2 Academic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is>
      </c>
      <c r="B107" s="12" t="n"/>
      <c r="C107" s="12" t="n"/>
      <c r="D107" s="12" t="n"/>
      <c r="E107" s="12" t="n"/>
      <c r="F107" s="12" t="n"/>
      <c r="G107" s="12" t="n"/>
      <c r="H107" s="12" t="n"/>
      <c r="I107" s="12" t="n"/>
      <c r="J107" s="12" t="n"/>
      <c r="K107" s="12" t="n"/>
      <c r="L107" s="12" t="n"/>
      <c r="M107" s="12" t="n"/>
      <c r="N107" s="12" t="n"/>
      <c r="O107" s="12" t="n"/>
      <c r="P107" s="12" t="n"/>
      <c r="Q107" s="12" t="n"/>
      <c r="R107" s="12" t="n"/>
      <c r="S107" s="12" t="n"/>
      <c r="T107" s="12" t="n"/>
      <c r="U107" s="12" t="n"/>
      <c r="V107" s="12" t="n"/>
      <c r="W107" s="12" t="n"/>
      <c r="X107" s="12" t="n"/>
      <c r="Y107" s="12" t="n"/>
      <c r="Z107" s="12" t="n"/>
    </row>
    <row r="108" ht="12.75" customHeight="1" s="87">
      <c r="A108" s="22" t="n"/>
      <c r="B108" s="12" t="n"/>
      <c r="C108" s="12" t="n"/>
      <c r="D108" s="12" t="n"/>
      <c r="E108" s="12" t="n"/>
      <c r="F108" s="12" t="n"/>
      <c r="G108" s="12" t="n"/>
      <c r="H108" s="12" t="n"/>
      <c r="I108" s="12" t="n"/>
      <c r="J108" s="12" t="n"/>
      <c r="K108" s="12" t="n"/>
      <c r="L108" s="12" t="n"/>
      <c r="M108" s="12" t="n"/>
      <c r="N108" s="12" t="n"/>
      <c r="O108" s="12" t="n"/>
      <c r="P108" s="12" t="n"/>
      <c r="Q108" s="12" t="n"/>
      <c r="R108" s="12" t="n"/>
      <c r="S108" s="12" t="n"/>
      <c r="T108" s="12" t="n"/>
      <c r="U108" s="12" t="n"/>
      <c r="V108" s="12" t="n"/>
      <c r="W108" s="12" t="n"/>
      <c r="X108" s="12" t="n"/>
      <c r="Y108" s="12" t="n"/>
      <c r="Z108" s="12" t="n"/>
    </row>
    <row r="109" ht="12.75" customHeight="1" s="87">
      <c r="A109" s="21" t="inlineStr">
        <is>
          <t>At Least 2 But Less Than 4 Academic Years: 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is>
      </c>
      <c r="B109" s="12" t="n"/>
      <c r="C109" s="12" t="n"/>
      <c r="D109" s="12" t="n"/>
      <c r="E109" s="12" t="n"/>
      <c r="F109" s="12" t="n"/>
      <c r="G109" s="12" t="n"/>
      <c r="H109" s="12" t="n"/>
      <c r="I109" s="12" t="n"/>
      <c r="J109" s="12" t="n"/>
      <c r="K109" s="12" t="n"/>
      <c r="L109" s="12" t="n"/>
      <c r="M109" s="12" t="n"/>
      <c r="N109" s="12" t="n"/>
      <c r="O109" s="12" t="n"/>
      <c r="P109" s="12" t="n"/>
      <c r="Q109" s="12" t="n"/>
      <c r="R109" s="12" t="n"/>
      <c r="S109" s="12" t="n"/>
      <c r="T109" s="12" t="n"/>
      <c r="U109" s="12" t="n"/>
      <c r="V109" s="12" t="n"/>
      <c r="W109" s="12" t="n"/>
      <c r="X109" s="12" t="n"/>
      <c r="Y109" s="12" t="n"/>
      <c r="Z109" s="12" t="n"/>
    </row>
    <row r="110" ht="12.75" customHeight="1" s="87">
      <c r="A110" s="17" t="n"/>
      <c r="B110" s="12" t="n"/>
      <c r="C110" s="12" t="n"/>
      <c r="D110" s="12" t="n"/>
      <c r="E110" s="12" t="n"/>
      <c r="F110" s="12" t="n"/>
      <c r="G110" s="12" t="n"/>
      <c r="H110" s="12" t="n"/>
      <c r="I110" s="12" t="n"/>
      <c r="J110" s="12" t="n"/>
      <c r="K110" s="12" t="n"/>
      <c r="L110" s="12" t="n"/>
      <c r="M110" s="12" t="n"/>
      <c r="N110" s="12" t="n"/>
      <c r="O110" s="12" t="n"/>
      <c r="P110" s="12" t="n"/>
      <c r="Q110" s="12" t="n"/>
      <c r="R110" s="12" t="n"/>
      <c r="S110" s="12" t="n"/>
      <c r="T110" s="12" t="n"/>
      <c r="U110" s="12" t="n"/>
      <c r="V110" s="12" t="n"/>
      <c r="W110" s="12" t="n"/>
      <c r="X110" s="12" t="n"/>
      <c r="Y110" s="12" t="n"/>
      <c r="Z110" s="12" t="n"/>
    </row>
    <row r="111" ht="12.75" customHeight="1" s="87">
      <c r="A111" s="17" t="inlineStr">
        <is>
          <t>Private institution: An educational institution controlled by a private individual(s) or by a nongovernmental agency, usually supported primarily by other than public funds, and operated by other than publicly elected or appointed officials.</t>
        </is>
      </c>
      <c r="B111" s="12" t="n"/>
      <c r="C111" s="12" t="n"/>
      <c r="D111" s="12" t="n"/>
      <c r="E111" s="12" t="n"/>
      <c r="F111" s="12" t="n"/>
      <c r="G111" s="12" t="n"/>
      <c r="H111" s="12" t="n"/>
      <c r="I111" s="12" t="n"/>
      <c r="J111" s="12" t="n"/>
      <c r="K111" s="12" t="n"/>
      <c r="L111" s="12" t="n"/>
      <c r="M111" s="12" t="n"/>
      <c r="N111" s="12" t="n"/>
      <c r="O111" s="12" t="n"/>
      <c r="P111" s="12" t="n"/>
      <c r="Q111" s="12" t="n"/>
      <c r="R111" s="12" t="n"/>
      <c r="S111" s="12" t="n"/>
      <c r="T111" s="12" t="n"/>
      <c r="U111" s="12" t="n"/>
      <c r="V111" s="12" t="n"/>
      <c r="W111" s="12" t="n"/>
      <c r="X111" s="12" t="n"/>
      <c r="Y111" s="12" t="n"/>
      <c r="Z111" s="12" t="n"/>
    </row>
    <row r="112" ht="12.75" customHeight="1" s="87">
      <c r="A112" s="17" t="inlineStr">
        <is>
          <t>Private for-profit institution: A private institution in which the individual(s) or agency in control receives compensation, other than wages, rent, or other expenses for the assumption of risk.</t>
        </is>
      </c>
      <c r="B112" s="12" t="n"/>
      <c r="C112" s="12" t="n"/>
      <c r="D112" s="12" t="n"/>
      <c r="E112" s="12" t="n"/>
      <c r="F112" s="12" t="n"/>
      <c r="G112" s="12" t="n"/>
      <c r="H112" s="12" t="n"/>
      <c r="I112" s="12" t="n"/>
      <c r="J112" s="12" t="n"/>
      <c r="K112" s="12" t="n"/>
      <c r="L112" s="12" t="n"/>
      <c r="M112" s="12" t="n"/>
      <c r="N112" s="12" t="n"/>
      <c r="O112" s="12" t="n"/>
      <c r="P112" s="12" t="n"/>
      <c r="Q112" s="12" t="n"/>
      <c r="R112" s="12" t="n"/>
      <c r="S112" s="12" t="n"/>
      <c r="T112" s="12" t="n"/>
      <c r="U112" s="12" t="n"/>
      <c r="V112" s="12" t="n"/>
      <c r="W112" s="12" t="n"/>
      <c r="X112" s="12" t="n"/>
      <c r="Y112" s="12" t="n"/>
      <c r="Z112" s="12" t="n"/>
    </row>
    <row r="113" ht="12.75" customHeight="1" s="87">
      <c r="A113" s="17" t="inlineStr">
        <is>
          <t>Private nonprofit institution: A private institution in which the individual(s) or agency in control receives no compensation, other than wages, rent, or other expenses for the assumption of risk. These include both independent nonprofit schools and those affiliated with a religious organization.</t>
        </is>
      </c>
      <c r="B113" s="12" t="n"/>
      <c r="C113" s="12" t="n"/>
      <c r="D113" s="12" t="n"/>
      <c r="E113" s="12" t="n"/>
      <c r="F113" s="12" t="n"/>
      <c r="G113" s="12" t="n"/>
      <c r="H113" s="12" t="n"/>
      <c r="I113" s="12" t="n"/>
      <c r="J113" s="12" t="n"/>
      <c r="K113" s="12" t="n"/>
      <c r="L113" s="12" t="n"/>
      <c r="M113" s="12" t="n"/>
      <c r="N113" s="12" t="n"/>
      <c r="O113" s="12" t="n"/>
      <c r="P113" s="12" t="n"/>
      <c r="Q113" s="12" t="n"/>
      <c r="R113" s="12" t="n"/>
      <c r="S113" s="12" t="n"/>
      <c r="T113" s="12" t="n"/>
      <c r="U113" s="12" t="n"/>
      <c r="V113" s="12" t="n"/>
      <c r="W113" s="12" t="n"/>
      <c r="X113" s="12" t="n"/>
      <c r="Y113" s="12" t="n"/>
      <c r="Z113" s="12" t="n"/>
    </row>
    <row r="114" ht="12.75" customHeight="1" s="87">
      <c r="A114" s="17" t="inlineStr">
        <is>
          <t>Proprietary institution: See Private for-profit institution.</t>
        </is>
      </c>
      <c r="B114" s="12" t="n"/>
      <c r="C114" s="12" t="n"/>
      <c r="D114" s="12" t="n"/>
      <c r="E114" s="12" t="n"/>
      <c r="F114" s="12" t="n"/>
      <c r="G114" s="12" t="n"/>
      <c r="H114" s="12" t="n"/>
      <c r="I114" s="12" t="n"/>
      <c r="J114" s="12" t="n"/>
      <c r="K114" s="12" t="n"/>
      <c r="L114" s="12" t="n"/>
      <c r="M114" s="12" t="n"/>
      <c r="N114" s="12" t="n"/>
      <c r="O114" s="12" t="n"/>
      <c r="P114" s="12" t="n"/>
      <c r="Q114" s="12" t="n"/>
      <c r="R114" s="12" t="n"/>
      <c r="S114" s="12" t="n"/>
      <c r="T114" s="12" t="n"/>
      <c r="U114" s="12" t="n"/>
      <c r="V114" s="12" t="n"/>
      <c r="W114" s="12" t="n"/>
      <c r="X114" s="12" t="n"/>
      <c r="Y114" s="12" t="n"/>
      <c r="Z114" s="12" t="n"/>
    </row>
    <row r="115" ht="12.75" customHeight="1" s="87">
      <c r="A115" s="17" t="inlineStr">
        <is>
          <t>Public institution: An educational institution whose programs and activities are operated by publicly elected or appointed school officials, and which is supported primarily by public funds.</t>
        </is>
      </c>
      <c r="B115" s="12" t="n"/>
      <c r="C115" s="12" t="n"/>
      <c r="D115" s="12" t="n"/>
      <c r="E115" s="12" t="n"/>
      <c r="F115" s="12" t="n"/>
      <c r="G115" s="12" t="n"/>
      <c r="H115" s="12" t="n"/>
      <c r="I115" s="12" t="n"/>
      <c r="J115" s="12" t="n"/>
      <c r="K115" s="12" t="n"/>
      <c r="L115" s="12" t="n"/>
      <c r="M115" s="12" t="n"/>
      <c r="N115" s="12" t="n"/>
      <c r="O115" s="12" t="n"/>
      <c r="P115" s="12" t="n"/>
      <c r="Q115" s="12" t="n"/>
      <c r="R115" s="12" t="n"/>
      <c r="S115" s="12" t="n"/>
      <c r="T115" s="12" t="n"/>
      <c r="U115" s="12" t="n"/>
      <c r="V115" s="12" t="n"/>
      <c r="W115" s="12" t="n"/>
      <c r="X115" s="12" t="n"/>
      <c r="Y115" s="12" t="n"/>
      <c r="Z115" s="12" t="n"/>
    </row>
    <row r="116" ht="12.75" customHeight="1" s="87">
      <c r="A116" s="17" t="inlineStr">
        <is>
          <t>Quarter calendar system: A calendar system in which the academic year consists of three sessions called quarters of about 12 weeks each. The range may be from 10 to 15 weeks. There may be an additional quarter in the summer.</t>
        </is>
      </c>
      <c r="B116" s="12" t="n"/>
      <c r="C116" s="12" t="n"/>
      <c r="D116" s="12" t="n"/>
      <c r="E116" s="12" t="n"/>
      <c r="F116" s="12" t="n"/>
      <c r="G116" s="12" t="n"/>
      <c r="H116" s="12" t="n"/>
      <c r="I116" s="12" t="n"/>
      <c r="J116" s="12" t="n"/>
      <c r="K116" s="12" t="n"/>
      <c r="L116" s="12" t="n"/>
      <c r="M116" s="12" t="n"/>
      <c r="N116" s="12" t="n"/>
      <c r="O116" s="12" t="n"/>
      <c r="P116" s="12" t="n"/>
      <c r="Q116" s="12" t="n"/>
      <c r="R116" s="12" t="n"/>
      <c r="S116" s="12" t="n"/>
      <c r="T116" s="12" t="n"/>
      <c r="U116" s="12" t="n"/>
      <c r="V116" s="12" t="n"/>
      <c r="W116" s="12" t="n"/>
      <c r="X116" s="12" t="n"/>
      <c r="Y116" s="12" t="n"/>
      <c r="Z116" s="12" t="n"/>
    </row>
    <row r="117" ht="12.75" customHeight="1" s="87">
      <c r="A117" s="17" t="inlineStr">
        <is>
          <t>Race/ethnicity: Category used to describe groups to which individuals belong, identify with, or belong in the eyes of the community. The categories do not denote scientific definitions of anthropological origins. A person may be counted in only one group.</t>
        </is>
      </c>
      <c r="B117" s="12" t="n"/>
      <c r="C117" s="12" t="n"/>
      <c r="D117" s="12" t="n"/>
      <c r="E117" s="12" t="n"/>
      <c r="F117" s="12" t="n"/>
      <c r="G117" s="12" t="n"/>
      <c r="H117" s="12" t="n"/>
      <c r="I117" s="12" t="n"/>
      <c r="J117" s="12" t="n"/>
      <c r="K117" s="12" t="n"/>
      <c r="L117" s="12" t="n"/>
      <c r="M117" s="12" t="n"/>
      <c r="N117" s="12" t="n"/>
      <c r="O117" s="12" t="n"/>
      <c r="P117" s="12" t="n"/>
      <c r="Q117" s="12" t="n"/>
      <c r="R117" s="12" t="n"/>
      <c r="S117" s="12" t="n"/>
      <c r="T117" s="12" t="n"/>
      <c r="U117" s="12" t="n"/>
      <c r="V117" s="12" t="n"/>
      <c r="W117" s="12" t="n"/>
      <c r="X117" s="12" t="n"/>
      <c r="Y117" s="12" t="n"/>
      <c r="Z117" s="12" t="n"/>
    </row>
    <row r="118" ht="12.75" customHeight="1" s="87">
      <c r="A118" s="17" t="inlineStr">
        <is>
          <t>Race/ethnicity unknown: Category used to classify students or employees whose race/ethnicity is not known and whom institutions are unable to place in one of the specified racial/ethnic categories.</t>
        </is>
      </c>
      <c r="B118" s="12" t="n"/>
      <c r="C118" s="12" t="n"/>
      <c r="D118" s="12" t="n"/>
      <c r="E118" s="12" t="n"/>
      <c r="F118" s="12" t="n"/>
      <c r="G118" s="12" t="n"/>
      <c r="H118" s="12" t="n"/>
      <c r="I118" s="12" t="n"/>
      <c r="J118" s="12" t="n"/>
      <c r="K118" s="12" t="n"/>
      <c r="L118" s="12" t="n"/>
      <c r="M118" s="12" t="n"/>
      <c r="N118" s="12" t="n"/>
      <c r="O118" s="12" t="n"/>
      <c r="P118" s="12" t="n"/>
      <c r="Q118" s="12" t="n"/>
      <c r="R118" s="12" t="n"/>
      <c r="S118" s="12" t="n"/>
      <c r="T118" s="12" t="n"/>
      <c r="U118" s="12" t="n"/>
      <c r="V118" s="12" t="n"/>
      <c r="W118" s="12" t="n"/>
      <c r="X118" s="12" t="n"/>
      <c r="Y118" s="12" t="n"/>
      <c r="Z118" s="12" t="n"/>
    </row>
    <row r="119" ht="12.75" customHeight="1" s="87">
      <c r="A119" s="17" t="inlineStr">
        <is>
          <t>Recognized Postsecondary Credential: 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is>
      </c>
      <c r="B119" s="12" t="n"/>
      <c r="C119" s="12" t="n"/>
      <c r="D119" s="12" t="n"/>
      <c r="E119" s="12" t="n"/>
      <c r="F119" s="12" t="n"/>
      <c r="G119" s="12" t="n"/>
      <c r="H119" s="12" t="n"/>
      <c r="I119" s="12" t="n"/>
      <c r="J119" s="12" t="n"/>
      <c r="K119" s="12" t="n"/>
      <c r="L119" s="12" t="n"/>
      <c r="M119" s="12" t="n"/>
      <c r="N119" s="12" t="n"/>
      <c r="O119" s="12" t="n"/>
      <c r="P119" s="12" t="n"/>
      <c r="Q119" s="12" t="n"/>
      <c r="R119" s="12" t="n"/>
      <c r="S119" s="12" t="n"/>
      <c r="T119" s="12" t="n"/>
      <c r="U119" s="12" t="n"/>
      <c r="V119" s="12" t="n"/>
      <c r="W119" s="12" t="n"/>
      <c r="X119" s="12" t="n"/>
      <c r="Y119" s="12" t="n"/>
      <c r="Z119" s="12" t="n"/>
    </row>
    <row r="120" ht="12.75" customHeight="1" s="87">
      <c r="A120" s="17" t="inlineStr">
        <is>
          <t xml:space="preserve">Religious affiliation/commitment (as admission factor): Special consideration given in the admission process for affiliation with a certain church or faith/religion, commitment to a religious vocation, or observance of certain religious tenets/lifestyle. </t>
        </is>
      </c>
      <c r="B120" s="12" t="n"/>
      <c r="C120" s="12" t="n"/>
      <c r="D120" s="12" t="n"/>
      <c r="E120" s="12" t="n"/>
      <c r="F120" s="12" t="n"/>
      <c r="G120" s="12" t="n"/>
      <c r="H120" s="12" t="n"/>
      <c r="I120" s="12" t="n"/>
      <c r="J120" s="12" t="n"/>
      <c r="K120" s="12" t="n"/>
      <c r="L120" s="12" t="n"/>
      <c r="M120" s="12" t="n"/>
      <c r="N120" s="12" t="n"/>
      <c r="O120" s="12" t="n"/>
      <c r="P120" s="12" t="n"/>
      <c r="Q120" s="12" t="n"/>
      <c r="R120" s="12" t="n"/>
      <c r="S120" s="12" t="n"/>
      <c r="T120" s="12" t="n"/>
      <c r="U120" s="12" t="n"/>
      <c r="V120" s="12" t="n"/>
      <c r="W120" s="12" t="n"/>
      <c r="X120" s="12" t="n"/>
      <c r="Y120" s="12" t="n"/>
      <c r="Z120" s="12" t="n"/>
    </row>
    <row r="121" ht="12.75" customHeight="1" s="87">
      <c r="A121" s="17" t="inlineStr">
        <is>
          <t>*Religious counseling: One-on-one or group counseling with trained professionals for students who want to explore religious problems or issues.</t>
        </is>
      </c>
      <c r="B121" s="12" t="n"/>
      <c r="C121" s="12" t="n"/>
      <c r="D121" s="12" t="n"/>
      <c r="E121" s="12" t="n"/>
      <c r="F121" s="12" t="n"/>
      <c r="G121" s="12" t="n"/>
      <c r="H121" s="12" t="n"/>
      <c r="I121" s="12" t="n"/>
      <c r="J121" s="12" t="n"/>
      <c r="K121" s="12" t="n"/>
      <c r="L121" s="12" t="n"/>
      <c r="M121" s="12" t="n"/>
      <c r="N121" s="12" t="n"/>
      <c r="O121" s="12" t="n"/>
      <c r="P121" s="12" t="n"/>
      <c r="Q121" s="12" t="n"/>
      <c r="R121" s="12" t="n"/>
      <c r="S121" s="12" t="n"/>
      <c r="T121" s="12" t="n"/>
      <c r="U121" s="12" t="n"/>
      <c r="V121" s="12" t="n"/>
      <c r="W121" s="12" t="n"/>
      <c r="X121" s="12" t="n"/>
      <c r="Y121" s="12" t="n"/>
      <c r="Z121" s="12" t="n"/>
    </row>
    <row r="122" ht="12.75" customHeight="1" s="87">
      <c r="A122" s="17" t="inlineStr">
        <is>
          <t xml:space="preserve">Required fees: Fixed sum charged to students for items not covered by tuition and required of such a large proportion of all students that the student who does NOT pay is the exception. Do not include application fees or optional fees such as lab fees or parking fees. </t>
        </is>
      </c>
      <c r="B122" s="12" t="n"/>
      <c r="C122" s="12" t="n"/>
      <c r="D122" s="12" t="n"/>
      <c r="E122" s="12" t="n"/>
      <c r="F122" s="12" t="n"/>
      <c r="G122" s="12" t="n"/>
      <c r="H122" s="12" t="n"/>
      <c r="I122" s="12" t="n"/>
      <c r="J122" s="12" t="n"/>
      <c r="K122" s="12" t="n"/>
      <c r="L122" s="12" t="n"/>
      <c r="M122" s="12" t="n"/>
      <c r="N122" s="12" t="n"/>
      <c r="O122" s="12" t="n"/>
      <c r="P122" s="12" t="n"/>
      <c r="Q122" s="12" t="n"/>
      <c r="R122" s="12" t="n"/>
      <c r="S122" s="12" t="n"/>
      <c r="T122" s="12" t="n"/>
      <c r="U122" s="12" t="n"/>
      <c r="V122" s="12" t="n"/>
      <c r="W122" s="12" t="n"/>
      <c r="X122" s="12" t="n"/>
      <c r="Y122" s="12" t="n"/>
      <c r="Z122" s="12" t="n"/>
    </row>
    <row r="123" ht="12.75" customHeight="1" s="87">
      <c r="A123" s="17" t="inlineStr">
        <is>
          <t>Secondary school record (as admission factor): Information maintained by the secondary school that may include such things as the student’s high school transcript, class rank, GPA, and teacher and counselor recommendations.</t>
        </is>
      </c>
      <c r="B123" s="12" t="n"/>
      <c r="C123" s="12" t="n"/>
      <c r="D123" s="12" t="n"/>
      <c r="E123" s="12" t="n"/>
      <c r="F123" s="12" t="n"/>
      <c r="G123" s="12" t="n"/>
      <c r="H123" s="12" t="n"/>
      <c r="I123" s="12" t="n"/>
      <c r="J123" s="12" t="n"/>
      <c r="K123" s="12" t="n"/>
      <c r="L123" s="12" t="n"/>
      <c r="M123" s="12" t="n"/>
      <c r="N123" s="12" t="n"/>
      <c r="O123" s="12" t="n"/>
      <c r="P123" s="12" t="n"/>
      <c r="Q123" s="12" t="n"/>
      <c r="R123" s="12" t="n"/>
      <c r="S123" s="12" t="n"/>
      <c r="T123" s="12" t="n"/>
      <c r="U123" s="12" t="n"/>
      <c r="V123" s="12" t="n"/>
      <c r="W123" s="12" t="n"/>
      <c r="X123" s="12" t="n"/>
      <c r="Y123" s="12" t="n"/>
      <c r="Z123" s="12" t="n"/>
    </row>
    <row r="124" ht="12.75" customHeight="1" s="87">
      <c r="A124" s="17" t="inlineStr">
        <is>
          <t>Semester calendar system: A calendar system that consists of two semesters during the academic year with about 16 weeks for each semester of instruction. There may be an additional summer session.</t>
        </is>
      </c>
      <c r="B124" s="12" t="n"/>
      <c r="C124" s="12" t="n"/>
      <c r="D124" s="12" t="n"/>
      <c r="E124" s="12" t="n"/>
      <c r="F124" s="12" t="n"/>
      <c r="G124" s="12" t="n"/>
      <c r="H124" s="12" t="n"/>
      <c r="I124" s="12" t="n"/>
      <c r="J124" s="12" t="n"/>
      <c r="K124" s="12" t="n"/>
      <c r="L124" s="12" t="n"/>
      <c r="M124" s="12" t="n"/>
      <c r="N124" s="12" t="n"/>
      <c r="O124" s="12" t="n"/>
      <c r="P124" s="12" t="n"/>
      <c r="Q124" s="12" t="n"/>
      <c r="R124" s="12" t="n"/>
      <c r="S124" s="12" t="n"/>
      <c r="T124" s="12" t="n"/>
      <c r="U124" s="12" t="n"/>
      <c r="V124" s="12" t="n"/>
      <c r="W124" s="12" t="n"/>
      <c r="X124" s="12" t="n"/>
      <c r="Y124" s="12" t="n"/>
      <c r="Z124" s="12" t="n"/>
    </row>
    <row r="125" ht="12.75" customHeight="1" s="87">
      <c r="A125" s="17" t="inlineStr">
        <is>
          <t>Student-designed major: A program of study based on individual interests, designed with the assistance of an adviser.</t>
        </is>
      </c>
      <c r="B125" s="12" t="n"/>
      <c r="C125" s="12" t="n"/>
      <c r="D125" s="12" t="n"/>
      <c r="E125" s="12" t="n"/>
      <c r="F125" s="12" t="n"/>
      <c r="G125" s="12" t="n"/>
      <c r="H125" s="12" t="n"/>
      <c r="I125" s="12" t="n"/>
      <c r="J125" s="12" t="n"/>
      <c r="K125" s="12" t="n"/>
      <c r="L125" s="12" t="n"/>
      <c r="M125" s="12" t="n"/>
      <c r="N125" s="12" t="n"/>
      <c r="O125" s="12" t="n"/>
      <c r="P125" s="12" t="n"/>
      <c r="Q125" s="12" t="n"/>
      <c r="R125" s="12" t="n"/>
      <c r="S125" s="12" t="n"/>
      <c r="T125" s="12" t="n"/>
      <c r="U125" s="12" t="n"/>
      <c r="V125" s="12" t="n"/>
      <c r="W125" s="12" t="n"/>
      <c r="X125" s="12" t="n"/>
      <c r="Y125" s="12" t="n"/>
      <c r="Z125" s="12" t="n"/>
    </row>
    <row r="126" ht="12.75" customHeight="1" s="87">
      <c r="A126" s="17" t="inlineStr">
        <is>
          <t xml:space="preserve">Study abroad: Any arrangement by which a student completes part of the college program studying in another country. Can be at a campus abroad or through a cooperative agreement with some other U.S. college or an institution of another country. </t>
        </is>
      </c>
      <c r="B126" s="12" t="n"/>
      <c r="C126" s="12" t="n"/>
      <c r="D126" s="12" t="n"/>
      <c r="E126" s="12" t="n"/>
      <c r="F126" s="12" t="n"/>
      <c r="G126" s="12" t="n"/>
      <c r="H126" s="12" t="n"/>
      <c r="I126" s="12" t="n"/>
      <c r="J126" s="12" t="n"/>
      <c r="K126" s="12" t="n"/>
      <c r="L126" s="12" t="n"/>
      <c r="M126" s="12" t="n"/>
      <c r="N126" s="12" t="n"/>
      <c r="O126" s="12" t="n"/>
      <c r="P126" s="12" t="n"/>
      <c r="Q126" s="12" t="n"/>
      <c r="R126" s="12" t="n"/>
      <c r="S126" s="12" t="n"/>
      <c r="T126" s="12" t="n"/>
      <c r="U126" s="12" t="n"/>
      <c r="V126" s="12" t="n"/>
      <c r="W126" s="12" t="n"/>
      <c r="X126" s="12" t="n"/>
      <c r="Y126" s="12" t="n"/>
      <c r="Z126" s="12" t="n"/>
    </row>
    <row r="127" ht="12.75" customHeight="1" s="87">
      <c r="A127" s="17" t="inlineStr">
        <is>
          <t>*Summer session: 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is>
      </c>
      <c r="B127" s="12" t="n"/>
      <c r="C127" s="12" t="n"/>
      <c r="D127" s="12" t="n"/>
      <c r="E127" s="12" t="n"/>
      <c r="F127" s="12" t="n"/>
      <c r="G127" s="12" t="n"/>
      <c r="H127" s="12" t="n"/>
      <c r="I127" s="12" t="n"/>
      <c r="J127" s="12" t="n"/>
      <c r="K127" s="12" t="n"/>
      <c r="L127" s="12" t="n"/>
      <c r="M127" s="12" t="n"/>
      <c r="N127" s="12" t="n"/>
      <c r="O127" s="12" t="n"/>
      <c r="P127" s="12" t="n"/>
      <c r="Q127" s="12" t="n"/>
      <c r="R127" s="12" t="n"/>
      <c r="S127" s="12" t="n"/>
      <c r="T127" s="12" t="n"/>
      <c r="U127" s="12" t="n"/>
      <c r="V127" s="12" t="n"/>
      <c r="W127" s="12" t="n"/>
      <c r="X127" s="12" t="n"/>
      <c r="Y127" s="12" t="n"/>
      <c r="Z127" s="12" t="n"/>
    </row>
    <row r="128" ht="12.75" customHeight="1" s="87">
      <c r="A128" s="17" t="inlineStr">
        <is>
          <t>Talent/ability (as admission factor): Special consideration given to students with demonstrated talent/abilities in areas of interest to the institution (e.g., sports, the arts, languages, etc.).</t>
        </is>
      </c>
      <c r="B128" s="12" t="n"/>
      <c r="C128" s="12" t="n"/>
      <c r="D128" s="12" t="n"/>
      <c r="E128" s="12" t="n"/>
      <c r="F128" s="12" t="n"/>
      <c r="G128" s="12" t="n"/>
      <c r="H128" s="12" t="n"/>
      <c r="I128" s="12" t="n"/>
      <c r="J128" s="12" t="n"/>
      <c r="K128" s="12" t="n"/>
      <c r="L128" s="12" t="n"/>
      <c r="M128" s="12" t="n"/>
      <c r="N128" s="12" t="n"/>
      <c r="O128" s="12" t="n"/>
      <c r="P128" s="12" t="n"/>
      <c r="Q128" s="12" t="n"/>
      <c r="R128" s="12" t="n"/>
      <c r="S128" s="12" t="n"/>
      <c r="T128" s="12" t="n"/>
      <c r="U128" s="12" t="n"/>
      <c r="V128" s="12" t="n"/>
      <c r="W128" s="12" t="n"/>
      <c r="X128" s="12" t="n"/>
      <c r="Y128" s="12" t="n"/>
      <c r="Z128" s="12" t="n"/>
    </row>
    <row r="129" ht="12.75" customHeight="1" s="87">
      <c r="A129" s="17" t="inlineStr">
        <is>
          <t>Teacher certification program: Program designed to prepare students to meet the requirements for certification as teachers in elementary, middle/junior high, and secondary schools.</t>
        </is>
      </c>
      <c r="B129" s="12" t="n"/>
      <c r="C129" s="12" t="n"/>
      <c r="D129" s="12" t="n"/>
      <c r="E129" s="12" t="n"/>
      <c r="F129" s="12" t="n"/>
      <c r="G129" s="12" t="n"/>
      <c r="H129" s="12" t="n"/>
      <c r="I129" s="12" t="n"/>
      <c r="J129" s="12" t="n"/>
      <c r="K129" s="12" t="n"/>
      <c r="L129" s="12" t="n"/>
      <c r="M129" s="12" t="n"/>
      <c r="N129" s="12" t="n"/>
      <c r="O129" s="12" t="n"/>
      <c r="P129" s="12" t="n"/>
      <c r="Q129" s="12" t="n"/>
      <c r="R129" s="12" t="n"/>
      <c r="S129" s="12" t="n"/>
      <c r="T129" s="12" t="n"/>
      <c r="U129" s="12" t="n"/>
      <c r="V129" s="12" t="n"/>
      <c r="W129" s="12" t="n"/>
      <c r="X129" s="12" t="n"/>
      <c r="Y129" s="12" t="n"/>
      <c r="Z129" s="12" t="n"/>
    </row>
    <row r="130" ht="12.75" customHeight="1" s="87">
      <c r="A130" s="17" t="inlineStr">
        <is>
          <t xml:space="preserve">Transfer applicant: An individual who has fulfilled the institution’s requirements to be considered for admission (including payment or waiving of the application fee, if any) and who has previously attended another college or university and earned college-level credit. </t>
        </is>
      </c>
      <c r="B130" s="12" t="n"/>
      <c r="C130" s="12" t="n"/>
      <c r="D130" s="12" t="n"/>
      <c r="E130" s="12" t="n"/>
      <c r="F130" s="12" t="n"/>
      <c r="G130" s="12" t="n"/>
      <c r="H130" s="12" t="n"/>
      <c r="I130" s="12" t="n"/>
      <c r="J130" s="12" t="n"/>
      <c r="K130" s="12" t="n"/>
      <c r="L130" s="12" t="n"/>
      <c r="M130" s="12" t="n"/>
      <c r="N130" s="12" t="n"/>
      <c r="O130" s="12" t="n"/>
      <c r="P130" s="12" t="n"/>
      <c r="Q130" s="12" t="n"/>
      <c r="R130" s="12" t="n"/>
      <c r="S130" s="12" t="n"/>
      <c r="T130" s="12" t="n"/>
      <c r="U130" s="12" t="n"/>
      <c r="V130" s="12" t="n"/>
      <c r="W130" s="12" t="n"/>
      <c r="X130" s="12" t="n"/>
      <c r="Y130" s="12" t="n"/>
      <c r="Z130" s="12" t="n"/>
    </row>
    <row r="131" ht="12.75" customHeight="1" s="87">
      <c r="A131" s="17" t="n"/>
      <c r="B131" s="12" t="n"/>
      <c r="C131" s="12" t="n"/>
      <c r="D131" s="12" t="n"/>
      <c r="E131" s="12" t="n"/>
      <c r="F131" s="12" t="n"/>
      <c r="G131" s="12" t="n"/>
      <c r="H131" s="12" t="n"/>
      <c r="I131" s="12" t="n"/>
      <c r="J131" s="12" t="n"/>
      <c r="K131" s="12" t="n"/>
      <c r="L131" s="12" t="n"/>
      <c r="M131" s="12" t="n"/>
      <c r="N131" s="12" t="n"/>
      <c r="O131" s="12" t="n"/>
      <c r="P131" s="12" t="n"/>
      <c r="Q131" s="12" t="n"/>
      <c r="R131" s="12" t="n"/>
      <c r="S131" s="12" t="n"/>
      <c r="T131" s="12" t="n"/>
      <c r="U131" s="12" t="n"/>
      <c r="V131" s="12" t="n"/>
      <c r="W131" s="12" t="n"/>
      <c r="X131" s="12" t="n"/>
      <c r="Y131" s="12" t="n"/>
      <c r="Z131" s="12" t="n"/>
    </row>
    <row r="132" ht="12.75" customHeight="1" s="87">
      <c r="A132" s="17" t="inlineStr">
        <is>
          <t>Transfer student: A student entering the institution for the first time but known to have previously attended a postsecondary institution at the same level (e.g., undergraduate). The student may transfer with or without credit.</t>
        </is>
      </c>
      <c r="B132" s="12" t="n"/>
      <c r="C132" s="12" t="n"/>
      <c r="D132" s="12" t="n"/>
      <c r="E132" s="12" t="n"/>
      <c r="F132" s="12" t="n"/>
      <c r="G132" s="12" t="n"/>
      <c r="H132" s="12" t="n"/>
      <c r="I132" s="12" t="n"/>
      <c r="J132" s="12" t="n"/>
      <c r="K132" s="12" t="n"/>
      <c r="L132" s="12" t="n"/>
      <c r="M132" s="12" t="n"/>
      <c r="N132" s="12" t="n"/>
      <c r="O132" s="12" t="n"/>
      <c r="P132" s="12" t="n"/>
      <c r="Q132" s="12" t="n"/>
      <c r="R132" s="12" t="n"/>
      <c r="S132" s="12" t="n"/>
      <c r="T132" s="12" t="n"/>
      <c r="U132" s="12" t="n"/>
      <c r="V132" s="12" t="n"/>
      <c r="W132" s="12" t="n"/>
      <c r="X132" s="12" t="n"/>
      <c r="Y132" s="12" t="n"/>
      <c r="Z132" s="12" t="n"/>
    </row>
    <row r="133" ht="12.75" customHeight="1" s="87">
      <c r="A133" s="17" t="inlineStr">
        <is>
          <t>Transportation (costs): Assume two round trips to student’s hometown per year for students in institutional housing or daily travel to and from your institution for commuter students.</t>
        </is>
      </c>
      <c r="B133" s="12" t="n"/>
      <c r="C133" s="12" t="n"/>
      <c r="D133" s="12" t="n"/>
      <c r="E133" s="12" t="n"/>
      <c r="F133" s="12" t="n"/>
      <c r="G133" s="12" t="n"/>
      <c r="H133" s="12" t="n"/>
      <c r="I133" s="12" t="n"/>
      <c r="J133" s="12" t="n"/>
      <c r="K133" s="12" t="n"/>
      <c r="L133" s="12" t="n"/>
      <c r="M133" s="12" t="n"/>
      <c r="N133" s="12" t="n"/>
      <c r="O133" s="12" t="n"/>
      <c r="P133" s="12" t="n"/>
      <c r="Q133" s="12" t="n"/>
      <c r="R133" s="12" t="n"/>
      <c r="S133" s="12" t="n"/>
      <c r="T133" s="12" t="n"/>
      <c r="U133" s="12" t="n"/>
      <c r="V133" s="12" t="n"/>
      <c r="W133" s="12" t="n"/>
      <c r="X133" s="12" t="n"/>
      <c r="Y133" s="12" t="n"/>
      <c r="Z133" s="12" t="n"/>
    </row>
    <row r="134" ht="12.75" customHeight="1" s="87">
      <c r="A134" s="17" t="inlineStr">
        <is>
          <t>Trimester calendar system: An academic year consisting of 3 terms of about 15 weeks each.</t>
        </is>
      </c>
      <c r="B134" s="12" t="n"/>
      <c r="C134" s="12" t="n"/>
      <c r="D134" s="12" t="n"/>
      <c r="E134" s="12" t="n"/>
      <c r="F134" s="12" t="n"/>
      <c r="G134" s="12" t="n"/>
      <c r="H134" s="12" t="n"/>
      <c r="I134" s="12" t="n"/>
      <c r="J134" s="12" t="n"/>
      <c r="K134" s="12" t="n"/>
      <c r="L134" s="12" t="n"/>
      <c r="M134" s="12" t="n"/>
      <c r="N134" s="12" t="n"/>
      <c r="O134" s="12" t="n"/>
      <c r="P134" s="12" t="n"/>
      <c r="Q134" s="12" t="n"/>
      <c r="R134" s="12" t="n"/>
      <c r="S134" s="12" t="n"/>
      <c r="T134" s="12" t="n"/>
      <c r="U134" s="12" t="n"/>
      <c r="V134" s="12" t="n"/>
      <c r="W134" s="12" t="n"/>
      <c r="X134" s="12" t="n"/>
      <c r="Y134" s="12" t="n"/>
      <c r="Z134" s="12" t="n"/>
    </row>
    <row r="135" ht="12.75" customHeight="1" s="87">
      <c r="A135" s="17" t="inlineStr">
        <is>
          <t xml:space="preserve">Tuition: Amount of money charged to students for instructional services. Tuition may be charged per term, per course, or per credit. </t>
        </is>
      </c>
      <c r="B135" s="12" t="n"/>
      <c r="C135" s="12" t="n"/>
      <c r="D135" s="12" t="n"/>
      <c r="E135" s="12" t="n"/>
      <c r="F135" s="12" t="n"/>
      <c r="G135" s="12" t="n"/>
      <c r="H135" s="12" t="n"/>
      <c r="I135" s="12" t="n"/>
      <c r="J135" s="12" t="n"/>
      <c r="K135" s="12" t="n"/>
      <c r="L135" s="12" t="n"/>
      <c r="M135" s="12" t="n"/>
      <c r="N135" s="12" t="n"/>
      <c r="O135" s="12" t="n"/>
      <c r="P135" s="12" t="n"/>
      <c r="Q135" s="12" t="n"/>
      <c r="R135" s="12" t="n"/>
      <c r="S135" s="12" t="n"/>
      <c r="T135" s="12" t="n"/>
      <c r="U135" s="12" t="n"/>
      <c r="V135" s="12" t="n"/>
      <c r="W135" s="12" t="n"/>
      <c r="X135" s="12" t="n"/>
      <c r="Y135" s="12" t="n"/>
      <c r="Z135" s="12" t="n"/>
    </row>
    <row r="136" ht="12.75" customHeight="1" s="87">
      <c r="A136" s="17" t="n"/>
      <c r="B136" s="12" t="n"/>
      <c r="C136" s="12" t="n"/>
      <c r="D136" s="12" t="n"/>
      <c r="E136" s="12" t="n"/>
      <c r="F136" s="12" t="n"/>
      <c r="G136" s="12" t="n"/>
      <c r="H136" s="12" t="n"/>
      <c r="I136" s="12" t="n"/>
      <c r="J136" s="12" t="n"/>
      <c r="K136" s="12" t="n"/>
      <c r="L136" s="12" t="n"/>
      <c r="M136" s="12" t="n"/>
      <c r="N136" s="12" t="n"/>
      <c r="O136" s="12" t="n"/>
      <c r="P136" s="12" t="n"/>
      <c r="Q136" s="12" t="n"/>
      <c r="R136" s="12" t="n"/>
      <c r="S136" s="12" t="n"/>
      <c r="T136" s="12" t="n"/>
      <c r="U136" s="12" t="n"/>
      <c r="V136" s="12" t="n"/>
      <c r="W136" s="12" t="n"/>
      <c r="X136" s="12" t="n"/>
      <c r="Y136" s="12" t="n"/>
      <c r="Z136" s="12" t="n"/>
    </row>
    <row r="137" ht="12.75" customHeight="1" s="87">
      <c r="A137" s="17" t="inlineStr">
        <is>
          <t>*Tutoring: May range from one-on-one tutoring in specific subjects to tutoring in an area such as math, reading, or writing. Most tutors are college students; at some colleges, they are specially trained and certified.</t>
        </is>
      </c>
      <c r="B137" s="12" t="n"/>
      <c r="C137" s="12" t="n"/>
      <c r="D137" s="12" t="n"/>
      <c r="E137" s="12" t="n"/>
      <c r="F137" s="12" t="n"/>
      <c r="G137" s="12" t="n"/>
      <c r="H137" s="12" t="n"/>
      <c r="I137" s="12" t="n"/>
      <c r="J137" s="12" t="n"/>
      <c r="K137" s="12" t="n"/>
      <c r="L137" s="12" t="n"/>
      <c r="M137" s="12" t="n"/>
      <c r="N137" s="12" t="n"/>
      <c r="O137" s="12" t="n"/>
      <c r="P137" s="12" t="n"/>
      <c r="Q137" s="12" t="n"/>
      <c r="R137" s="12" t="n"/>
      <c r="S137" s="12" t="n"/>
      <c r="T137" s="12" t="n"/>
      <c r="U137" s="12" t="n"/>
      <c r="V137" s="12" t="n"/>
      <c r="W137" s="12" t="n"/>
      <c r="X137" s="12" t="n"/>
      <c r="Y137" s="12" t="n"/>
      <c r="Z137" s="12" t="n"/>
    </row>
    <row r="138" ht="12.75" customHeight="1" s="87">
      <c r="A138" s="15" t="n"/>
      <c r="B138" s="12" t="n"/>
      <c r="C138" s="12" t="n"/>
      <c r="D138" s="12" t="n"/>
      <c r="E138" s="12" t="n"/>
      <c r="F138" s="12" t="n"/>
      <c r="G138" s="12" t="n"/>
      <c r="H138" s="12" t="n"/>
      <c r="I138" s="12" t="n"/>
      <c r="J138" s="12" t="n"/>
      <c r="K138" s="12" t="n"/>
      <c r="L138" s="12" t="n"/>
      <c r="M138" s="12" t="n"/>
      <c r="N138" s="12" t="n"/>
      <c r="O138" s="12" t="n"/>
      <c r="P138" s="12" t="n"/>
      <c r="Q138" s="12" t="n"/>
      <c r="R138" s="12" t="n"/>
      <c r="S138" s="12" t="n"/>
      <c r="T138" s="12" t="n"/>
      <c r="U138" s="12" t="n"/>
      <c r="V138" s="12" t="n"/>
      <c r="W138" s="12" t="n"/>
      <c r="X138" s="12" t="n"/>
      <c r="Y138" s="12" t="n"/>
      <c r="Z138" s="12" t="n"/>
    </row>
    <row r="139" ht="12.75" customHeight="1" s="87">
      <c r="A139" s="17" t="inlineStr">
        <is>
          <t>Unit: a standard of measurement representing hours of academic instruction (e.g., semester credit, quarter credit, clock hour).</t>
        </is>
      </c>
      <c r="B139" s="12" t="n"/>
      <c r="C139" s="12" t="n"/>
      <c r="D139" s="12" t="n"/>
      <c r="E139" s="12" t="n"/>
      <c r="F139" s="12" t="n"/>
      <c r="G139" s="12" t="n"/>
      <c r="H139" s="12" t="n"/>
      <c r="I139" s="12" t="n"/>
      <c r="J139" s="12" t="n"/>
      <c r="K139" s="12" t="n"/>
      <c r="L139" s="12" t="n"/>
      <c r="M139" s="12" t="n"/>
      <c r="N139" s="12" t="n"/>
      <c r="O139" s="12" t="n"/>
      <c r="P139" s="12" t="n"/>
      <c r="Q139" s="12" t="n"/>
      <c r="R139" s="12" t="n"/>
      <c r="S139" s="12" t="n"/>
      <c r="T139" s="12" t="n"/>
      <c r="U139" s="12" t="n"/>
      <c r="V139" s="12" t="n"/>
      <c r="W139" s="12" t="n"/>
      <c r="X139" s="12" t="n"/>
      <c r="Y139" s="12" t="n"/>
      <c r="Z139" s="12" t="n"/>
    </row>
    <row r="140" ht="12.75" customHeight="1" s="87">
      <c r="A140" s="17" t="inlineStr">
        <is>
          <t>Undergraduate: A student enrolled in a four- or five-year bachelor’s degree program, an associate degree program, or a vocational or technical program below the baccalaureate.</t>
        </is>
      </c>
      <c r="B140" s="12" t="n"/>
      <c r="C140" s="12" t="n"/>
      <c r="D140" s="12" t="n"/>
      <c r="E140" s="12" t="n"/>
      <c r="F140" s="12" t="n"/>
      <c r="G140" s="12" t="n"/>
      <c r="H140" s="12" t="n"/>
      <c r="I140" s="12" t="n"/>
      <c r="J140" s="12" t="n"/>
      <c r="K140" s="12" t="n"/>
      <c r="L140" s="12" t="n"/>
      <c r="M140" s="12" t="n"/>
      <c r="N140" s="12" t="n"/>
      <c r="O140" s="12" t="n"/>
      <c r="P140" s="12" t="n"/>
      <c r="Q140" s="12" t="n"/>
      <c r="R140" s="12" t="n"/>
      <c r="S140" s="12" t="n"/>
      <c r="T140" s="12" t="n"/>
      <c r="U140" s="12" t="n"/>
      <c r="V140" s="12" t="n"/>
      <c r="W140" s="12" t="n"/>
      <c r="X140" s="12" t="n"/>
      <c r="Y140" s="12" t="n"/>
      <c r="Z140" s="12" t="n"/>
    </row>
    <row r="141" ht="12.75" customHeight="1" s="87">
      <c r="A141" s="17" t="inlineStr">
        <is>
          <t>Unduplicated Count of High School Students Enrolled for Credit include all high school students enrolled in college courses for credit within or outside of a dual enrollment program, in accordance with the following IPEDS definitions:</t>
        </is>
      </c>
      <c r="B141" s="12" t="n"/>
      <c r="C141" s="12" t="n"/>
      <c r="D141" s="12" t="n"/>
      <c r="E141" s="12" t="n"/>
      <c r="F141" s="12" t="n"/>
      <c r="G141" s="12" t="n"/>
      <c r="H141" s="12" t="n"/>
      <c r="I141" s="12" t="n"/>
      <c r="J141" s="12" t="n"/>
      <c r="K141" s="12" t="n"/>
      <c r="L141" s="12" t="n"/>
      <c r="M141" s="12" t="n"/>
      <c r="N141" s="12" t="n"/>
      <c r="O141" s="12" t="n"/>
      <c r="P141" s="12" t="n"/>
      <c r="Q141" s="12" t="n"/>
      <c r="R141" s="12" t="n"/>
      <c r="S141" s="12" t="n"/>
      <c r="T141" s="12" t="n"/>
      <c r="U141" s="12" t="n"/>
      <c r="V141" s="12" t="n"/>
      <c r="W141" s="12" t="n"/>
      <c r="X141" s="12" t="n"/>
      <c r="Y141" s="12" t="n"/>
      <c r="Z141" s="12" t="n"/>
    </row>
    <row r="142" ht="12.75" customHeight="1" s="87">
      <c r="A142" s="17" t="inlineStr">
        <is>
          <t>Undergraduate Research: Opportunities offered to undergraduate students to make original contributions in an academic discipline via the exploration of a specific research topic. Research opportunities may or may not be associated with a specific course or earn credit.</t>
        </is>
      </c>
      <c r="B142" s="12" t="n"/>
      <c r="C142" s="12" t="n"/>
      <c r="D142" s="12" t="n"/>
      <c r="E142" s="12" t="n"/>
      <c r="F142" s="12" t="n"/>
      <c r="G142" s="12" t="n"/>
      <c r="H142" s="12" t="n"/>
      <c r="I142" s="12" t="n"/>
      <c r="J142" s="12" t="n"/>
      <c r="K142" s="12" t="n"/>
      <c r="L142" s="12" t="n"/>
      <c r="M142" s="12" t="n"/>
      <c r="N142" s="12" t="n"/>
      <c r="O142" s="12" t="n"/>
      <c r="P142" s="12" t="n"/>
      <c r="Q142" s="12" t="n"/>
      <c r="R142" s="12" t="n"/>
      <c r="S142" s="12" t="n"/>
      <c r="T142" s="12" t="n"/>
      <c r="U142" s="12" t="n"/>
      <c r="V142" s="12" t="n"/>
      <c r="W142" s="12" t="n"/>
      <c r="X142" s="12" t="n"/>
      <c r="Y142" s="12" t="n"/>
      <c r="Z142" s="12" t="n"/>
    </row>
    <row r="143" ht="12.75" customHeight="1" s="87">
      <c r="A143" s="17" t="inlineStr">
        <is>
          <t>*Veteran’s counseling: Helps veterans and their dependents obtain benefits for their selected program and provides certifications to the Veteran’s Administration. May also provide personal counseling on the transition from the military to a civilian life.</t>
        </is>
      </c>
      <c r="B143" s="12" t="n"/>
      <c r="C143" s="12" t="n"/>
      <c r="D143" s="12" t="n"/>
      <c r="E143" s="12" t="n"/>
      <c r="F143" s="12" t="n"/>
      <c r="G143" s="12" t="n"/>
      <c r="H143" s="12" t="n"/>
      <c r="I143" s="12" t="n"/>
      <c r="J143" s="12" t="n"/>
      <c r="K143" s="12" t="n"/>
      <c r="L143" s="12" t="n"/>
      <c r="M143" s="12" t="n"/>
      <c r="N143" s="12" t="n"/>
      <c r="O143" s="12" t="n"/>
      <c r="P143" s="12" t="n"/>
      <c r="Q143" s="12" t="n"/>
      <c r="R143" s="12" t="n"/>
      <c r="S143" s="12" t="n"/>
      <c r="T143" s="12" t="n"/>
      <c r="U143" s="12" t="n"/>
      <c r="V143" s="12" t="n"/>
      <c r="W143" s="12" t="n"/>
      <c r="X143" s="12" t="n"/>
      <c r="Y143" s="12" t="n"/>
      <c r="Z143" s="12" t="n"/>
    </row>
    <row r="144" ht="12.75" customHeight="1" s="87">
      <c r="A144" s="17" t="inlineStr">
        <is>
          <t>*Visually impaired: Any person whose sight loss is not correctable and is sufficiently severe as to adversely affect educational performance.</t>
        </is>
      </c>
      <c r="B144" s="12" t="n"/>
      <c r="C144" s="12" t="n"/>
      <c r="D144" s="12" t="n"/>
      <c r="E144" s="12" t="n"/>
      <c r="F144" s="12" t="n"/>
      <c r="G144" s="12" t="n"/>
      <c r="H144" s="12" t="n"/>
      <c r="I144" s="12" t="n"/>
      <c r="J144" s="12" t="n"/>
      <c r="K144" s="12" t="n"/>
      <c r="L144" s="12" t="n"/>
      <c r="M144" s="12" t="n"/>
      <c r="N144" s="12" t="n"/>
      <c r="O144" s="12" t="n"/>
      <c r="P144" s="12" t="n"/>
      <c r="Q144" s="12" t="n"/>
      <c r="R144" s="12" t="n"/>
      <c r="S144" s="12" t="n"/>
      <c r="T144" s="12" t="n"/>
      <c r="U144" s="12" t="n"/>
      <c r="V144" s="12" t="n"/>
      <c r="W144" s="12" t="n"/>
      <c r="X144" s="12" t="n"/>
      <c r="Y144" s="12" t="n"/>
      <c r="Z144" s="12" t="n"/>
    </row>
    <row r="145" ht="12.75" customHeight="1" s="87">
      <c r="A145" s="17" t="inlineStr">
        <is>
          <t>Volunteer work (as admission factor): Special consideration given to students for activity done on a volunteer basis (e.g., tutoring, hospital care, working with the elderly or disabled) as a service to the community or the public in general.</t>
        </is>
      </c>
      <c r="B145" s="12" t="n"/>
      <c r="C145" s="12" t="n"/>
      <c r="D145" s="12" t="n"/>
      <c r="E145" s="12" t="n"/>
      <c r="F145" s="12" t="n"/>
      <c r="G145" s="12" t="n"/>
      <c r="H145" s="12" t="n"/>
      <c r="I145" s="12" t="n"/>
      <c r="J145" s="12" t="n"/>
      <c r="K145" s="12" t="n"/>
      <c r="L145" s="12" t="n"/>
      <c r="M145" s="12" t="n"/>
      <c r="N145" s="12" t="n"/>
      <c r="O145" s="12" t="n"/>
      <c r="P145" s="12" t="n"/>
      <c r="Q145" s="12" t="n"/>
      <c r="R145" s="12" t="n"/>
      <c r="S145" s="12" t="n"/>
      <c r="T145" s="12" t="n"/>
      <c r="U145" s="12" t="n"/>
      <c r="V145" s="12" t="n"/>
      <c r="W145" s="12" t="n"/>
      <c r="X145" s="12" t="n"/>
      <c r="Y145" s="12" t="n"/>
      <c r="Z145" s="12" t="n"/>
    </row>
    <row r="146" ht="12.75" customHeight="1" s="87">
      <c r="A146" s="17" t="inlineStr">
        <is>
          <t xml:space="preserve">Wait list: List of students who meet the admission requirements but will only be offered a place in the class if space becomes available. </t>
        </is>
      </c>
      <c r="B146" s="12" t="n"/>
      <c r="C146" s="12" t="n"/>
      <c r="D146" s="12" t="n"/>
      <c r="E146" s="12" t="n"/>
      <c r="F146" s="12" t="n"/>
      <c r="G146" s="12" t="n"/>
      <c r="H146" s="12" t="n"/>
      <c r="I146" s="12" t="n"/>
      <c r="J146" s="12" t="n"/>
      <c r="K146" s="12" t="n"/>
      <c r="L146" s="12" t="n"/>
      <c r="M146" s="12" t="n"/>
      <c r="N146" s="12" t="n"/>
      <c r="O146" s="12" t="n"/>
      <c r="P146" s="12" t="n"/>
      <c r="Q146" s="12" t="n"/>
      <c r="R146" s="12" t="n"/>
      <c r="S146" s="12" t="n"/>
      <c r="T146" s="12" t="n"/>
      <c r="U146" s="12" t="n"/>
      <c r="V146" s="12" t="n"/>
      <c r="W146" s="12" t="n"/>
      <c r="X146" s="12" t="n"/>
      <c r="Y146" s="12" t="n"/>
      <c r="Z146" s="12" t="n"/>
    </row>
    <row r="147" ht="12.75" customHeight="1" s="87">
      <c r="A147" s="17" t="inlineStr">
        <is>
          <t xml:space="preserve">Weekend college: A program that allows students to take a complete course of study and attend classes only on weekends. </t>
        </is>
      </c>
      <c r="B147" s="12" t="n"/>
      <c r="C147" s="12" t="n"/>
      <c r="D147" s="12" t="n"/>
      <c r="E147" s="12" t="n"/>
      <c r="F147" s="12" t="n"/>
      <c r="G147" s="12" t="n"/>
      <c r="H147" s="12" t="n"/>
      <c r="I147" s="12" t="n"/>
      <c r="J147" s="12" t="n"/>
      <c r="K147" s="12" t="n"/>
      <c r="L147" s="12" t="n"/>
      <c r="M147" s="12" t="n"/>
      <c r="N147" s="12" t="n"/>
      <c r="O147" s="12" t="n"/>
      <c r="P147" s="12" t="n"/>
      <c r="Q147" s="12" t="n"/>
      <c r="R147" s="12" t="n"/>
      <c r="S147" s="12" t="n"/>
      <c r="T147" s="12" t="n"/>
      <c r="U147" s="12" t="n"/>
      <c r="V147" s="12" t="n"/>
      <c r="W147" s="12" t="n"/>
      <c r="X147" s="12" t="n"/>
      <c r="Y147" s="12" t="n"/>
      <c r="Z147" s="12" t="n"/>
    </row>
    <row r="148" ht="12.6" customHeight="1" s="87">
      <c r="A148" s="17" t="inlineStr">
        <is>
          <t>White: A person having origins in any of the original peoples of Europe, the Middle East, or North Africa.</t>
        </is>
      </c>
      <c r="B148" s="12" t="n"/>
      <c r="C148" s="12" t="n"/>
      <c r="D148" s="12" t="n"/>
      <c r="E148" s="12" t="n"/>
      <c r="F148" s="12" t="n"/>
      <c r="G148" s="12" t="n"/>
      <c r="H148" s="12" t="n"/>
      <c r="I148" s="12" t="n"/>
      <c r="J148" s="12" t="n"/>
      <c r="K148" s="12" t="n"/>
      <c r="L148" s="12" t="n"/>
      <c r="M148" s="12" t="n"/>
      <c r="N148" s="12" t="n"/>
      <c r="O148" s="12" t="n"/>
      <c r="P148" s="12" t="n"/>
      <c r="Q148" s="12" t="n"/>
      <c r="R148" s="12" t="n"/>
      <c r="S148" s="12" t="n"/>
      <c r="T148" s="12" t="n"/>
      <c r="U148" s="12" t="n"/>
      <c r="V148" s="12" t="n"/>
      <c r="W148" s="12" t="n"/>
      <c r="X148" s="12" t="n"/>
      <c r="Y148" s="12" t="n"/>
      <c r="Z148" s="12" t="n"/>
    </row>
    <row r="149" ht="12.6" customHeight="1" s="87">
      <c r="A149" s="17" t="inlineStr">
        <is>
          <t>Within a dual enrollment program: Program within an organized system with special guidelines that allows high school students to take college-level courses. The guidelines might have to do with entrance or eligibility requirements, funding, limits on course taking, etc.</t>
        </is>
      </c>
      <c r="B149" s="12" t="n"/>
      <c r="C149" s="12" t="n"/>
      <c r="D149" s="12" t="n"/>
      <c r="E149" s="12" t="n"/>
      <c r="F149" s="12" t="n"/>
      <c r="G149" s="12" t="n"/>
      <c r="H149" s="12" t="n"/>
      <c r="I149" s="12" t="n"/>
      <c r="J149" s="12" t="n"/>
      <c r="K149" s="12" t="n"/>
      <c r="L149" s="12" t="n"/>
      <c r="M149" s="12" t="n"/>
      <c r="N149" s="12" t="n"/>
      <c r="O149" s="12" t="n"/>
      <c r="P149" s="12" t="n"/>
      <c r="Q149" s="12" t="n"/>
      <c r="R149" s="12" t="n"/>
      <c r="S149" s="12" t="n"/>
      <c r="T149" s="12" t="n"/>
      <c r="U149" s="12" t="n"/>
      <c r="V149" s="12" t="n"/>
      <c r="W149" s="12" t="n"/>
      <c r="X149" s="12" t="n"/>
      <c r="Y149" s="12" t="n"/>
      <c r="Z149" s="12" t="n"/>
    </row>
    <row r="150" ht="12.75" customHeight="1" s="87">
      <c r="A150" s="17" t="inlineStr">
        <is>
          <t>*Women’s center: Center with programs, academic activities, and/or services intended to promote an understanding of the evolving roles of women.</t>
        </is>
      </c>
      <c r="B150" s="12" t="n"/>
      <c r="C150" s="12" t="n"/>
      <c r="D150" s="12" t="n"/>
      <c r="E150" s="12" t="n"/>
      <c r="F150" s="12" t="n"/>
      <c r="G150" s="12" t="n"/>
      <c r="H150" s="12" t="n"/>
      <c r="I150" s="12" t="n"/>
      <c r="J150" s="12" t="n"/>
      <c r="K150" s="12" t="n"/>
      <c r="L150" s="12" t="n"/>
      <c r="M150" s="12" t="n"/>
      <c r="N150" s="12" t="n"/>
      <c r="O150" s="12" t="n"/>
      <c r="P150" s="12" t="n"/>
      <c r="Q150" s="12" t="n"/>
      <c r="R150" s="12" t="n"/>
      <c r="S150" s="12" t="n"/>
      <c r="T150" s="12" t="n"/>
      <c r="U150" s="12" t="n"/>
      <c r="V150" s="12" t="n"/>
      <c r="W150" s="12" t="n"/>
      <c r="X150" s="12" t="n"/>
      <c r="Y150" s="12" t="n"/>
      <c r="Z150" s="12" t="n"/>
    </row>
    <row r="151" ht="12.75" customHeight="1" s="87">
      <c r="A151" s="17" t="inlineStr">
        <is>
          <t>Work experience (as admission factor): Special consideration given to students who have been employed prior to application, whether for relevance to major, demonstration of employment-related skills, or as explanation of student’s academic and extracurricular record.</t>
        </is>
      </c>
      <c r="B151" s="12" t="n"/>
      <c r="C151" s="12" t="n"/>
      <c r="D151" s="12" t="n"/>
      <c r="E151" s="12" t="n"/>
      <c r="F151" s="12" t="n"/>
      <c r="G151" s="12" t="n"/>
      <c r="H151" s="12" t="n"/>
      <c r="I151" s="12" t="n"/>
      <c r="J151" s="12" t="n"/>
      <c r="K151" s="12" t="n"/>
      <c r="L151" s="12" t="n"/>
      <c r="M151" s="12" t="n"/>
      <c r="N151" s="12" t="n"/>
      <c r="O151" s="12" t="n"/>
      <c r="P151" s="12" t="n"/>
      <c r="Q151" s="12" t="n"/>
      <c r="R151" s="12" t="n"/>
      <c r="S151" s="12" t="n"/>
      <c r="T151" s="12" t="n"/>
      <c r="U151" s="12" t="n"/>
      <c r="V151" s="12" t="n"/>
      <c r="W151" s="12" t="n"/>
      <c r="X151" s="12" t="n"/>
      <c r="Y151" s="12" t="n"/>
      <c r="Z151" s="12" t="n"/>
    </row>
    <row r="152" ht="12.75" customHeight="1" s="87">
      <c r="A152" s="23" t="n"/>
      <c r="B152" s="12" t="n"/>
      <c r="C152" s="12" t="n"/>
      <c r="D152" s="12" t="n"/>
      <c r="E152" s="12" t="n"/>
      <c r="F152" s="12" t="n"/>
      <c r="G152" s="12" t="n"/>
      <c r="H152" s="12" t="n"/>
      <c r="I152" s="12" t="n"/>
      <c r="J152" s="12" t="n"/>
      <c r="K152" s="12" t="n"/>
      <c r="L152" s="12" t="n"/>
      <c r="M152" s="12" t="n"/>
      <c r="N152" s="12" t="n"/>
      <c r="O152" s="12" t="n"/>
      <c r="P152" s="12" t="n"/>
      <c r="Q152" s="12" t="n"/>
      <c r="R152" s="12" t="n"/>
      <c r="S152" s="12" t="n"/>
      <c r="T152" s="12" t="n"/>
      <c r="U152" s="12" t="n"/>
      <c r="V152" s="12" t="n"/>
      <c r="W152" s="12" t="n"/>
      <c r="X152" s="12" t="n"/>
      <c r="Y152" s="12" t="n"/>
      <c r="Z152" s="12" t="n"/>
    </row>
    <row r="153" ht="12.75" customHeight="1" s="87">
      <c r="A153" s="23" t="n"/>
      <c r="B153" s="12" t="n"/>
      <c r="C153" s="12" t="n"/>
      <c r="D153" s="12" t="n"/>
      <c r="E153" s="12" t="n"/>
      <c r="F153" s="12" t="n"/>
      <c r="G153" s="12" t="n"/>
      <c r="H153" s="12" t="n"/>
      <c r="I153" s="12" t="n"/>
      <c r="J153" s="12" t="n"/>
      <c r="K153" s="12" t="n"/>
      <c r="L153" s="12" t="n"/>
      <c r="M153" s="12" t="n"/>
      <c r="N153" s="12" t="n"/>
      <c r="O153" s="12" t="n"/>
      <c r="P153" s="12" t="n"/>
      <c r="Q153" s="12" t="n"/>
      <c r="R153" s="12" t="n"/>
      <c r="S153" s="12" t="n"/>
      <c r="T153" s="12" t="n"/>
      <c r="U153" s="12" t="n"/>
      <c r="V153" s="12" t="n"/>
      <c r="W153" s="12" t="n"/>
      <c r="X153" s="12" t="n"/>
      <c r="Y153" s="12" t="n"/>
      <c r="Z153" s="12" t="n"/>
    </row>
    <row r="154" ht="12.75" customHeight="1" s="87">
      <c r="A154" s="24" t="inlineStr">
        <is>
          <t>Financial Aid Definitions</t>
        </is>
      </c>
      <c r="B154" s="12" t="n"/>
      <c r="C154" s="12" t="n"/>
      <c r="D154" s="12" t="n"/>
      <c r="E154" s="12" t="n"/>
      <c r="F154" s="12" t="n"/>
      <c r="G154" s="12" t="n"/>
      <c r="H154" s="12" t="n"/>
      <c r="I154" s="12" t="n"/>
      <c r="J154" s="12" t="n"/>
      <c r="K154" s="12" t="n"/>
      <c r="L154" s="12" t="n"/>
      <c r="M154" s="12" t="n"/>
      <c r="N154" s="12" t="n"/>
      <c r="O154" s="12" t="n"/>
      <c r="P154" s="12" t="n"/>
      <c r="Q154" s="12" t="n"/>
      <c r="R154" s="12" t="n"/>
      <c r="S154" s="12" t="n"/>
      <c r="T154" s="12" t="n"/>
      <c r="U154" s="12" t="n"/>
      <c r="V154" s="12" t="n"/>
      <c r="W154" s="12" t="n"/>
      <c r="X154" s="12" t="n"/>
      <c r="Y154" s="12" t="n"/>
      <c r="Z154" s="12" t="n"/>
    </row>
    <row r="155" ht="12.75" customHeight="1" s="87">
      <c r="A155" s="23" t="n"/>
      <c r="B155" s="12" t="n"/>
      <c r="C155" s="12" t="n"/>
      <c r="D155" s="12" t="n"/>
      <c r="E155" s="12" t="n"/>
      <c r="F155" s="12" t="n"/>
      <c r="G155" s="12" t="n"/>
      <c r="H155" s="12" t="n"/>
      <c r="I155" s="12" t="n"/>
      <c r="J155" s="12" t="n"/>
      <c r="K155" s="12" t="n"/>
      <c r="L155" s="12" t="n"/>
      <c r="M155" s="12" t="n"/>
      <c r="N155" s="12" t="n"/>
      <c r="O155" s="12" t="n"/>
      <c r="P155" s="12" t="n"/>
      <c r="Q155" s="12" t="n"/>
      <c r="R155" s="12" t="n"/>
      <c r="S155" s="12" t="n"/>
      <c r="T155" s="12" t="n"/>
      <c r="U155" s="12" t="n"/>
      <c r="V155" s="12" t="n"/>
      <c r="W155" s="12" t="n"/>
      <c r="X155" s="12" t="n"/>
      <c r="Y155" s="12" t="n"/>
      <c r="Z155" s="12" t="n"/>
    </row>
    <row r="156" ht="12.75" customHeight="1" s="87">
      <c r="A156" s="17" t="inlineStr">
        <is>
          <t>External scholarships and grants: Scholarships and grants received from outside (private) sources that students bring with them (e.g., Kiwanis, National Merit scholarships). The institution may process paperwork to receive the dollars, but it has no role in determining the recipient or the dollar amount awarded.</t>
        </is>
      </c>
      <c r="B156" s="12" t="n"/>
      <c r="C156" s="12" t="n"/>
      <c r="D156" s="12" t="n"/>
      <c r="E156" s="12" t="n"/>
      <c r="F156" s="12" t="n"/>
      <c r="G156" s="12" t="n"/>
      <c r="H156" s="12" t="n"/>
      <c r="I156" s="12" t="n"/>
      <c r="J156" s="12" t="n"/>
      <c r="K156" s="12" t="n"/>
      <c r="L156" s="12" t="n"/>
      <c r="M156" s="12" t="n"/>
      <c r="N156" s="12" t="n"/>
      <c r="O156" s="12" t="n"/>
      <c r="P156" s="12" t="n"/>
      <c r="Q156" s="12" t="n"/>
      <c r="R156" s="12" t="n"/>
      <c r="S156" s="12" t="n"/>
      <c r="T156" s="12" t="n"/>
      <c r="U156" s="12" t="n"/>
      <c r="V156" s="12" t="n"/>
      <c r="W156" s="12" t="n"/>
      <c r="X156" s="12" t="n"/>
      <c r="Y156" s="12" t="n"/>
      <c r="Z156" s="12" t="n"/>
    </row>
    <row r="157" ht="12.75" customHeight="1" s="87">
      <c r="A157" s="17" t="n"/>
      <c r="B157" s="12" t="n"/>
      <c r="C157" s="12" t="n"/>
      <c r="D157" s="12" t="n"/>
      <c r="E157" s="12" t="n"/>
      <c r="F157" s="12" t="n"/>
      <c r="G157" s="12" t="n"/>
      <c r="H157" s="12" t="n"/>
      <c r="I157" s="12" t="n"/>
      <c r="J157" s="12" t="n"/>
      <c r="K157" s="12" t="n"/>
      <c r="L157" s="12" t="n"/>
      <c r="M157" s="12" t="n"/>
      <c r="N157" s="12" t="n"/>
      <c r="O157" s="12" t="n"/>
      <c r="P157" s="12" t="n"/>
      <c r="Q157" s="12" t="n"/>
      <c r="R157" s="12" t="n"/>
      <c r="S157" s="12" t="n"/>
      <c r="T157" s="12" t="n"/>
      <c r="U157" s="12" t="n"/>
      <c r="V157" s="12" t="n"/>
      <c r="W157" s="12" t="n"/>
      <c r="X157" s="12" t="n"/>
      <c r="Y157" s="12" t="n"/>
      <c r="Z157" s="12" t="n"/>
    </row>
    <row r="158" ht="12.75" customHeight="1" s="87">
      <c r="A158" s="17" t="inlineStr">
        <is>
          <t xml:space="preserve">Financial aid applicant: Any applicant who submits any one of the institutionally required financial aid applications/forms, such as the FAFSA. </t>
        </is>
      </c>
      <c r="B158" s="12" t="n"/>
      <c r="C158" s="12" t="n"/>
      <c r="D158" s="12" t="n"/>
      <c r="E158" s="12" t="n"/>
      <c r="F158" s="12" t="n"/>
      <c r="G158" s="12" t="n"/>
      <c r="H158" s="12" t="n"/>
      <c r="I158" s="12" t="n"/>
      <c r="J158" s="12" t="n"/>
      <c r="K158" s="12" t="n"/>
      <c r="L158" s="12" t="n"/>
      <c r="M158" s="12" t="n"/>
      <c r="N158" s="12" t="n"/>
      <c r="O158" s="12" t="n"/>
      <c r="P158" s="12" t="n"/>
      <c r="Q158" s="12" t="n"/>
      <c r="R158" s="12" t="n"/>
      <c r="S158" s="12" t="n"/>
      <c r="T158" s="12" t="n"/>
      <c r="U158" s="12" t="n"/>
      <c r="V158" s="12" t="n"/>
      <c r="W158" s="12" t="n"/>
      <c r="X158" s="12" t="n"/>
      <c r="Y158" s="12" t="n"/>
      <c r="Z158" s="12" t="n"/>
    </row>
    <row r="159" ht="12.75" customHeight="1" s="87">
      <c r="A159" s="15" t="n"/>
      <c r="B159" s="12" t="n"/>
      <c r="C159" s="12" t="n"/>
      <c r="D159" s="12" t="n"/>
      <c r="E159" s="12" t="n"/>
      <c r="F159" s="12" t="n"/>
      <c r="G159" s="12" t="n"/>
      <c r="H159" s="12" t="n"/>
      <c r="I159" s="12" t="n"/>
      <c r="J159" s="12" t="n"/>
      <c r="K159" s="12" t="n"/>
      <c r="L159" s="12" t="n"/>
      <c r="M159" s="12" t="n"/>
      <c r="N159" s="12" t="n"/>
      <c r="O159" s="12" t="n"/>
      <c r="P159" s="12" t="n"/>
      <c r="Q159" s="12" t="n"/>
      <c r="R159" s="12" t="n"/>
      <c r="S159" s="12" t="n"/>
      <c r="T159" s="12" t="n"/>
      <c r="U159" s="12" t="n"/>
      <c r="V159" s="12" t="n"/>
      <c r="W159" s="12" t="n"/>
      <c r="X159" s="12" t="n"/>
      <c r="Y159" s="12" t="n"/>
      <c r="Z159" s="12" t="n"/>
    </row>
    <row r="160" ht="12.75" customHeight="1" s="87">
      <c r="A160" s="17" t="inlineStr">
        <is>
          <t>Indebtedness: 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t>
        </is>
      </c>
      <c r="B160" s="12" t="n"/>
      <c r="C160" s="12" t="n"/>
      <c r="D160" s="12" t="n"/>
      <c r="E160" s="12" t="n"/>
      <c r="F160" s="12" t="n"/>
      <c r="G160" s="12" t="n"/>
      <c r="H160" s="12" t="n"/>
      <c r="I160" s="12" t="n"/>
      <c r="J160" s="12" t="n"/>
      <c r="K160" s="12" t="n"/>
      <c r="L160" s="12" t="n"/>
      <c r="M160" s="12" t="n"/>
      <c r="N160" s="12" t="n"/>
      <c r="O160" s="12" t="n"/>
      <c r="P160" s="12" t="n"/>
      <c r="Q160" s="12" t="n"/>
      <c r="R160" s="12" t="n"/>
      <c r="S160" s="12" t="n"/>
      <c r="T160" s="12" t="n"/>
      <c r="U160" s="12" t="n"/>
      <c r="V160" s="12" t="n"/>
      <c r="W160" s="12" t="n"/>
      <c r="X160" s="12" t="n"/>
      <c r="Y160" s="12" t="n"/>
      <c r="Z160" s="12" t="n"/>
    </row>
    <row r="161" ht="12.75" customHeight="1" s="87">
      <c r="A161" s="15" t="n"/>
      <c r="B161" s="12" t="n"/>
      <c r="C161" s="12" t="n"/>
      <c r="D161" s="12" t="n"/>
      <c r="E161" s="12" t="n"/>
      <c r="F161" s="12" t="n"/>
      <c r="G161" s="12" t="n"/>
      <c r="H161" s="12" t="n"/>
      <c r="I161" s="12" t="n"/>
      <c r="J161" s="12" t="n"/>
      <c r="K161" s="12" t="n"/>
      <c r="L161" s="12" t="n"/>
      <c r="M161" s="12" t="n"/>
      <c r="N161" s="12" t="n"/>
      <c r="O161" s="12" t="n"/>
      <c r="P161" s="12" t="n"/>
      <c r="Q161" s="12" t="n"/>
      <c r="R161" s="12" t="n"/>
      <c r="S161" s="12" t="n"/>
      <c r="T161" s="12" t="n"/>
      <c r="U161" s="12" t="n"/>
      <c r="V161" s="12" t="n"/>
      <c r="W161" s="12" t="n"/>
      <c r="X161" s="12" t="n"/>
      <c r="Y161" s="12" t="n"/>
      <c r="Z161" s="12" t="n"/>
    </row>
    <row r="162" ht="12.75" customHeight="1" s="87">
      <c r="A162" s="17" t="inlineStr">
        <is>
          <t>Institutional scholarships and grants: Endowed scholarships, annual gifts and tuition funded grants for which the institution determines the recipient.</t>
        </is>
      </c>
      <c r="B162" s="12" t="n"/>
      <c r="C162" s="12" t="n"/>
      <c r="D162" s="12" t="n"/>
      <c r="E162" s="12" t="n"/>
      <c r="F162" s="12" t="n"/>
      <c r="G162" s="12" t="n"/>
      <c r="H162" s="12" t="n"/>
      <c r="I162" s="12" t="n"/>
      <c r="J162" s="12" t="n"/>
      <c r="K162" s="12" t="n"/>
      <c r="L162" s="12" t="n"/>
      <c r="M162" s="12" t="n"/>
      <c r="N162" s="12" t="n"/>
      <c r="O162" s="12" t="n"/>
      <c r="P162" s="12" t="n"/>
      <c r="Q162" s="12" t="n"/>
      <c r="R162" s="12" t="n"/>
      <c r="S162" s="12" t="n"/>
      <c r="T162" s="12" t="n"/>
      <c r="U162" s="12" t="n"/>
      <c r="V162" s="12" t="n"/>
      <c r="W162" s="12" t="n"/>
      <c r="X162" s="12" t="n"/>
      <c r="Y162" s="12" t="n"/>
      <c r="Z162" s="12" t="n"/>
    </row>
    <row r="163" ht="12.75" customHeight="1" s="87">
      <c r="A163" s="15" t="n"/>
      <c r="B163" s="12" t="n"/>
      <c r="C163" s="12" t="n"/>
      <c r="D163" s="12" t="n"/>
      <c r="E163" s="12" t="n"/>
      <c r="F163" s="12" t="n"/>
      <c r="G163" s="12" t="n"/>
      <c r="H163" s="12" t="n"/>
      <c r="I163" s="12" t="n"/>
      <c r="J163" s="12" t="n"/>
      <c r="K163" s="12" t="n"/>
      <c r="L163" s="12" t="n"/>
      <c r="M163" s="12" t="n"/>
      <c r="N163" s="12" t="n"/>
      <c r="O163" s="12" t="n"/>
      <c r="P163" s="12" t="n"/>
      <c r="Q163" s="12" t="n"/>
      <c r="R163" s="12" t="n"/>
      <c r="S163" s="12" t="n"/>
      <c r="T163" s="12" t="n"/>
      <c r="U163" s="12" t="n"/>
      <c r="V163" s="12" t="n"/>
      <c r="W163" s="12" t="n"/>
      <c r="X163" s="12" t="n"/>
      <c r="Y163" s="12" t="n"/>
      <c r="Z163" s="12" t="n"/>
    </row>
    <row r="164" ht="12.75" customHeight="1" s="87">
      <c r="A164" s="17" t="inlineStr">
        <is>
          <t xml:space="preserve">Financial need: As determined by your institution using the federal methodology and/or your institution's own standards. </t>
        </is>
      </c>
      <c r="B164" s="12" t="n"/>
      <c r="C164" s="12" t="n"/>
      <c r="D164" s="12" t="n"/>
      <c r="E164" s="12" t="n"/>
      <c r="F164" s="12" t="n"/>
      <c r="G164" s="12" t="n"/>
      <c r="H164" s="12" t="n"/>
      <c r="I164" s="12" t="n"/>
      <c r="J164" s="12" t="n"/>
      <c r="K164" s="12" t="n"/>
      <c r="L164" s="12" t="n"/>
      <c r="M164" s="12" t="n"/>
      <c r="N164" s="12" t="n"/>
      <c r="O164" s="12" t="n"/>
      <c r="P164" s="12" t="n"/>
      <c r="Q164" s="12" t="n"/>
      <c r="R164" s="12" t="n"/>
      <c r="S164" s="12" t="n"/>
      <c r="T164" s="12" t="n"/>
      <c r="U164" s="12" t="n"/>
      <c r="V164" s="12" t="n"/>
      <c r="W164" s="12" t="n"/>
      <c r="X164" s="12" t="n"/>
      <c r="Y164" s="12" t="n"/>
      <c r="Z164" s="12" t="n"/>
    </row>
    <row r="165" ht="12.75" customHeight="1" s="87">
      <c r="A165" s="15" t="n"/>
      <c r="B165" s="12" t="n"/>
      <c r="C165" s="12" t="n"/>
      <c r="D165" s="12" t="n"/>
      <c r="E165" s="12" t="n"/>
      <c r="F165" s="12" t="n"/>
      <c r="G165" s="12" t="n"/>
      <c r="H165" s="12" t="n"/>
      <c r="I165" s="12" t="n"/>
      <c r="J165" s="12" t="n"/>
      <c r="K165" s="12" t="n"/>
      <c r="L165" s="12" t="n"/>
      <c r="M165" s="12" t="n"/>
      <c r="N165" s="12" t="n"/>
      <c r="O165" s="12" t="n"/>
      <c r="P165" s="12" t="n"/>
      <c r="Q165" s="12" t="n"/>
      <c r="R165" s="12" t="n"/>
      <c r="S165" s="12" t="n"/>
      <c r="T165" s="12" t="n"/>
      <c r="U165" s="12" t="n"/>
      <c r="V165" s="12" t="n"/>
      <c r="W165" s="12" t="n"/>
      <c r="X165" s="12" t="n"/>
      <c r="Y165" s="12" t="n"/>
      <c r="Z165" s="12" t="n"/>
    </row>
    <row r="166" ht="12.75" customHeight="1" s="87">
      <c r="A166" s="17" t="inlineStr">
        <is>
          <t>Need-based aid: College-funded or college-administered award from institutional, state, federal, or other sources for which a student must have financial need to qualify. This includes both institutional and non-institutional student aid (grants, jobs, and loans).</t>
        </is>
      </c>
      <c r="B166" s="12" t="n"/>
      <c r="C166" s="12" t="n"/>
      <c r="D166" s="12" t="n"/>
      <c r="E166" s="12" t="n"/>
      <c r="F166" s="12" t="n"/>
      <c r="G166" s="12" t="n"/>
      <c r="H166" s="12" t="n"/>
      <c r="I166" s="12" t="n"/>
      <c r="J166" s="12" t="n"/>
      <c r="K166" s="12" t="n"/>
      <c r="L166" s="12" t="n"/>
      <c r="M166" s="12" t="n"/>
      <c r="N166" s="12" t="n"/>
      <c r="O166" s="12" t="n"/>
      <c r="P166" s="12" t="n"/>
      <c r="Q166" s="12" t="n"/>
      <c r="R166" s="12" t="n"/>
      <c r="S166" s="12" t="n"/>
      <c r="T166" s="12" t="n"/>
      <c r="U166" s="12" t="n"/>
      <c r="V166" s="12" t="n"/>
      <c r="W166" s="12" t="n"/>
      <c r="X166" s="12" t="n"/>
      <c r="Y166" s="12" t="n"/>
      <c r="Z166" s="12" t="n"/>
    </row>
    <row r="167" ht="12.75" customHeight="1" s="87">
      <c r="A167" s="15" t="n"/>
      <c r="B167" s="12" t="n"/>
      <c r="C167" s="12" t="n"/>
      <c r="D167" s="12" t="n"/>
      <c r="E167" s="12" t="n"/>
      <c r="F167" s="12" t="n"/>
      <c r="G167" s="12" t="n"/>
      <c r="H167" s="12" t="n"/>
      <c r="I167" s="12" t="n"/>
      <c r="J167" s="12" t="n"/>
      <c r="K167" s="12" t="n"/>
      <c r="L167" s="12" t="n"/>
      <c r="M167" s="12" t="n"/>
      <c r="N167" s="12" t="n"/>
      <c r="O167" s="12" t="n"/>
      <c r="P167" s="12" t="n"/>
      <c r="Q167" s="12" t="n"/>
      <c r="R167" s="12" t="n"/>
      <c r="S167" s="12" t="n"/>
      <c r="T167" s="12" t="n"/>
      <c r="U167" s="12" t="n"/>
      <c r="V167" s="12" t="n"/>
      <c r="W167" s="12" t="n"/>
      <c r="X167" s="12" t="n"/>
      <c r="Y167" s="12" t="n"/>
      <c r="Z167" s="12" t="n"/>
    </row>
    <row r="168" ht="12.75" customHeight="1" s="87">
      <c r="A168" s="17" t="inlineStr">
        <is>
          <t>Need-based scholarship or grant aid: Scholarships and grants from institutional, state, federal, or other sources for which a student must have financial need to qualify.</t>
        </is>
      </c>
      <c r="B168" s="12" t="n"/>
      <c r="C168" s="12" t="n"/>
      <c r="D168" s="12" t="n"/>
      <c r="E168" s="12" t="n"/>
      <c r="F168" s="12" t="n"/>
      <c r="G168" s="12" t="n"/>
      <c r="H168" s="12" t="n"/>
      <c r="I168" s="12" t="n"/>
      <c r="J168" s="12" t="n"/>
      <c r="K168" s="12" t="n"/>
      <c r="L168" s="12" t="n"/>
      <c r="M168" s="12" t="n"/>
      <c r="N168" s="12" t="n"/>
      <c r="O168" s="12" t="n"/>
      <c r="P168" s="12" t="n"/>
      <c r="Q168" s="12" t="n"/>
      <c r="R168" s="12" t="n"/>
      <c r="S168" s="12" t="n"/>
      <c r="T168" s="12" t="n"/>
      <c r="U168" s="12" t="n"/>
      <c r="V168" s="12" t="n"/>
      <c r="W168" s="12" t="n"/>
      <c r="X168" s="12" t="n"/>
      <c r="Y168" s="12" t="n"/>
      <c r="Z168" s="12" t="n"/>
    </row>
    <row r="169" ht="12.75" customHeight="1" s="87">
      <c r="A169" s="15" t="n"/>
      <c r="B169" s="12" t="n"/>
      <c r="C169" s="12" t="n"/>
      <c r="D169" s="12" t="n"/>
      <c r="E169" s="12" t="n"/>
      <c r="F169" s="12" t="n"/>
      <c r="G169" s="12" t="n"/>
      <c r="H169" s="12" t="n"/>
      <c r="I169" s="12" t="n"/>
      <c r="J169" s="12" t="n"/>
      <c r="K169" s="12" t="n"/>
      <c r="L169" s="12" t="n"/>
      <c r="M169" s="12" t="n"/>
      <c r="N169" s="12" t="n"/>
      <c r="O169" s="12" t="n"/>
      <c r="P169" s="12" t="n"/>
      <c r="Q169" s="12" t="n"/>
      <c r="R169" s="12" t="n"/>
      <c r="S169" s="12" t="n"/>
      <c r="T169" s="12" t="n"/>
      <c r="U169" s="12" t="n"/>
      <c r="V169" s="12" t="n"/>
      <c r="W169" s="12" t="n"/>
      <c r="X169" s="12" t="n"/>
      <c r="Y169" s="12" t="n"/>
      <c r="Z169" s="12" t="n"/>
    </row>
    <row r="170" ht="12.75" customHeight="1" s="87">
      <c r="A170" s="17" t="inlineStr">
        <is>
          <t>Need-based self-help aid: Loans and jobs from institutional, state, federal, or other sources for which a student must demonstrate financial need to qualify.</t>
        </is>
      </c>
      <c r="B170" s="12" t="n"/>
      <c r="C170" s="12" t="n"/>
      <c r="D170" s="12" t="n"/>
      <c r="E170" s="12" t="n"/>
      <c r="F170" s="12" t="n"/>
      <c r="G170" s="12" t="n"/>
      <c r="H170" s="12" t="n"/>
      <c r="I170" s="12" t="n"/>
      <c r="J170" s="12" t="n"/>
      <c r="K170" s="12" t="n"/>
      <c r="L170" s="12" t="n"/>
      <c r="M170" s="12" t="n"/>
      <c r="N170" s="12" t="n"/>
      <c r="O170" s="12" t="n"/>
      <c r="P170" s="12" t="n"/>
      <c r="Q170" s="12" t="n"/>
      <c r="R170" s="12" t="n"/>
      <c r="S170" s="12" t="n"/>
      <c r="T170" s="12" t="n"/>
      <c r="U170" s="12" t="n"/>
      <c r="V170" s="12" t="n"/>
      <c r="W170" s="12" t="n"/>
      <c r="X170" s="12" t="n"/>
      <c r="Y170" s="12" t="n"/>
      <c r="Z170" s="12" t="n"/>
    </row>
    <row r="171" ht="12.75" customHeight="1" s="87">
      <c r="A171" s="15" t="n"/>
      <c r="B171" s="12" t="n"/>
      <c r="C171" s="12" t="n"/>
      <c r="D171" s="12" t="n"/>
      <c r="E171" s="12" t="n"/>
      <c r="F171" s="12" t="n"/>
      <c r="G171" s="12" t="n"/>
      <c r="H171" s="12" t="n"/>
      <c r="I171" s="12" t="n"/>
      <c r="J171" s="12" t="n"/>
      <c r="K171" s="12" t="n"/>
      <c r="L171" s="12" t="n"/>
      <c r="M171" s="12" t="n"/>
      <c r="N171" s="12" t="n"/>
      <c r="O171" s="12" t="n"/>
      <c r="P171" s="12" t="n"/>
      <c r="Q171" s="12" t="n"/>
      <c r="R171" s="12" t="n"/>
      <c r="S171" s="12" t="n"/>
      <c r="T171" s="12" t="n"/>
      <c r="U171" s="12" t="n"/>
      <c r="V171" s="12" t="n"/>
      <c r="W171" s="12" t="n"/>
      <c r="X171" s="12" t="n"/>
      <c r="Y171" s="12" t="n"/>
      <c r="Z171" s="12" t="n"/>
    </row>
    <row r="172" ht="12.75" customHeight="1" s="87">
      <c r="A172" s="17" t="inlineStr">
        <is>
          <t xml:space="preserve">Non-need-based scholarship or grant aid: 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is>
      </c>
      <c r="B172" s="12" t="n"/>
      <c r="C172" s="12" t="n"/>
      <c r="D172" s="12" t="n"/>
      <c r="E172" s="12" t="n"/>
      <c r="F172" s="12" t="n"/>
      <c r="G172" s="12" t="n"/>
      <c r="H172" s="12" t="n"/>
      <c r="I172" s="12" t="n"/>
      <c r="J172" s="12" t="n"/>
      <c r="K172" s="12" t="n"/>
      <c r="L172" s="12" t="n"/>
      <c r="M172" s="12" t="n"/>
      <c r="N172" s="12" t="n"/>
      <c r="O172" s="12" t="n"/>
      <c r="P172" s="12" t="n"/>
      <c r="Q172" s="12" t="n"/>
      <c r="R172" s="12" t="n"/>
      <c r="S172" s="12" t="n"/>
      <c r="T172" s="12" t="n"/>
      <c r="U172" s="12" t="n"/>
      <c r="V172" s="12" t="n"/>
      <c r="W172" s="12" t="n"/>
      <c r="X172" s="12" t="n"/>
      <c r="Y172" s="12" t="n"/>
      <c r="Z172" s="12" t="n"/>
    </row>
    <row r="173" ht="12.75" customHeight="1" s="87">
      <c r="A173" s="15" t="n"/>
      <c r="B173" s="12" t="n"/>
      <c r="C173" s="12" t="n"/>
      <c r="D173" s="12" t="n"/>
      <c r="E173" s="12" t="n"/>
      <c r="F173" s="12" t="n"/>
      <c r="G173" s="12" t="n"/>
      <c r="H173" s="12" t="n"/>
      <c r="I173" s="12" t="n"/>
      <c r="J173" s="12" t="n"/>
      <c r="K173" s="12" t="n"/>
      <c r="L173" s="12" t="n"/>
      <c r="M173" s="12" t="n"/>
      <c r="N173" s="12" t="n"/>
      <c r="O173" s="12" t="n"/>
      <c r="P173" s="12" t="n"/>
      <c r="Q173" s="12" t="n"/>
      <c r="R173" s="12" t="n"/>
      <c r="S173" s="12" t="n"/>
      <c r="T173" s="12" t="n"/>
      <c r="U173" s="12" t="n"/>
      <c r="V173" s="12" t="n"/>
      <c r="W173" s="12" t="n"/>
      <c r="X173" s="12" t="n"/>
      <c r="Y173" s="12" t="n"/>
      <c r="Z173" s="12" t="n"/>
    </row>
    <row r="174" ht="12.75" customHeight="1" s="87">
      <c r="A174" s="17" t="inlineStr">
        <is>
          <t>Note: Suggested order of precedence for counting non-need money as need-based:</t>
        </is>
      </c>
      <c r="B174" s="12" t="n"/>
      <c r="C174" s="12" t="n"/>
      <c r="D174" s="12" t="n"/>
      <c r="E174" s="12" t="n"/>
      <c r="F174" s="12" t="n"/>
      <c r="G174" s="12" t="n"/>
      <c r="H174" s="12" t="n"/>
      <c r="I174" s="12" t="n"/>
      <c r="J174" s="12" t="n"/>
      <c r="K174" s="12" t="n"/>
      <c r="L174" s="12" t="n"/>
      <c r="M174" s="12" t="n"/>
      <c r="N174" s="12" t="n"/>
      <c r="O174" s="12" t="n"/>
      <c r="P174" s="12" t="n"/>
      <c r="Q174" s="12" t="n"/>
      <c r="R174" s="12" t="n"/>
      <c r="S174" s="12" t="n"/>
      <c r="T174" s="12" t="n"/>
      <c r="U174" s="12" t="n"/>
      <c r="V174" s="12" t="n"/>
      <c r="W174" s="12" t="n"/>
      <c r="X174" s="12" t="n"/>
      <c r="Y174" s="12" t="n"/>
      <c r="Z174" s="12" t="n"/>
    </row>
    <row r="175" ht="12.75" customHeight="1" s="87">
      <c r="A175" s="17" t="n"/>
      <c r="B175" s="12" t="n"/>
      <c r="C175" s="12" t="n"/>
      <c r="D175" s="12" t="n"/>
      <c r="E175" s="12" t="n"/>
      <c r="F175" s="12" t="n"/>
      <c r="G175" s="12" t="n"/>
      <c r="H175" s="12" t="n"/>
      <c r="I175" s="12" t="n"/>
      <c r="J175" s="12" t="n"/>
      <c r="K175" s="12" t="n"/>
      <c r="L175" s="12" t="n"/>
      <c r="M175" s="12" t="n"/>
      <c r="N175" s="12" t="n"/>
      <c r="O175" s="12" t="n"/>
      <c r="P175" s="12" t="n"/>
      <c r="Q175" s="12" t="n"/>
      <c r="R175" s="12" t="n"/>
      <c r="S175" s="12" t="n"/>
      <c r="T175" s="12" t="n"/>
      <c r="U175" s="12" t="n"/>
      <c r="V175" s="12" t="n"/>
      <c r="W175" s="12" t="n"/>
      <c r="X175" s="12" t="n"/>
      <c r="Y175" s="12" t="n"/>
      <c r="Z175" s="12" t="n"/>
    </row>
    <row r="176" ht="12.75" customHeight="1" s="87">
      <c r="B176" s="12" t="n"/>
      <c r="C176" s="12" t="n"/>
      <c r="D176" s="12" t="n"/>
      <c r="E176" s="12" t="n"/>
      <c r="F176" s="12" t="n"/>
      <c r="G176" s="12" t="n"/>
      <c r="H176" s="12" t="n"/>
      <c r="I176" s="12" t="n"/>
      <c r="J176" s="12" t="n"/>
      <c r="K176" s="12" t="n"/>
      <c r="L176" s="12" t="n"/>
      <c r="M176" s="12" t="n"/>
      <c r="N176" s="12" t="n"/>
      <c r="O176" s="12" t="n"/>
      <c r="P176" s="12" t="n"/>
      <c r="Q176" s="12" t="n"/>
      <c r="R176" s="12" t="n"/>
      <c r="S176" s="12" t="n"/>
      <c r="T176" s="12" t="n"/>
      <c r="U176" s="12" t="n"/>
      <c r="V176" s="12" t="n"/>
      <c r="W176" s="12" t="n"/>
      <c r="X176" s="12" t="n"/>
      <c r="Y176" s="12" t="n"/>
      <c r="Z176" s="12" t="n"/>
    </row>
    <row r="177" ht="12.75" customHeight="1" s="87">
      <c r="A177" s="15" t="inlineStr">
        <is>
          <t>1.        Non-need institutional grants</t>
        </is>
      </c>
      <c r="B177" s="12" t="n"/>
      <c r="C177" s="12" t="n"/>
      <c r="D177" s="12" t="n"/>
      <c r="E177" s="12" t="n"/>
      <c r="F177" s="12" t="n"/>
      <c r="G177" s="12" t="n"/>
      <c r="H177" s="12" t="n"/>
      <c r="I177" s="12" t="n"/>
      <c r="J177" s="12" t="n"/>
      <c r="K177" s="12" t="n"/>
      <c r="L177" s="12" t="n"/>
      <c r="M177" s="12" t="n"/>
      <c r="N177" s="12" t="n"/>
      <c r="O177" s="12" t="n"/>
      <c r="P177" s="12" t="n"/>
      <c r="Q177" s="12" t="n"/>
      <c r="R177" s="12" t="n"/>
      <c r="S177" s="12" t="n"/>
      <c r="T177" s="12" t="n"/>
      <c r="U177" s="12" t="n"/>
      <c r="V177" s="12" t="n"/>
      <c r="W177" s="12" t="n"/>
      <c r="X177" s="12" t="n"/>
      <c r="Y177" s="12" t="n"/>
      <c r="Z177" s="12" t="n"/>
    </row>
    <row r="178" ht="12.75" customHeight="1" s="87">
      <c r="A178" s="15" t="inlineStr">
        <is>
          <t>2.        Non-need tuition waivers</t>
        </is>
      </c>
      <c r="B178" s="12" t="n"/>
      <c r="C178" s="12" t="n"/>
      <c r="D178" s="12" t="n"/>
      <c r="E178" s="12" t="n"/>
      <c r="F178" s="12" t="n"/>
      <c r="G178" s="12" t="n"/>
      <c r="H178" s="12" t="n"/>
      <c r="I178" s="12" t="n"/>
      <c r="J178" s="12" t="n"/>
      <c r="K178" s="12" t="n"/>
      <c r="L178" s="12" t="n"/>
      <c r="M178" s="12" t="n"/>
      <c r="N178" s="12" t="n"/>
      <c r="O178" s="12" t="n"/>
      <c r="P178" s="12" t="n"/>
      <c r="Q178" s="12" t="n"/>
      <c r="R178" s="12" t="n"/>
      <c r="S178" s="12" t="n"/>
      <c r="T178" s="12" t="n"/>
      <c r="U178" s="12" t="n"/>
      <c r="V178" s="12" t="n"/>
      <c r="W178" s="12" t="n"/>
      <c r="X178" s="12" t="n"/>
      <c r="Y178" s="12" t="n"/>
      <c r="Z178" s="12" t="n"/>
    </row>
    <row r="179" ht="12.75" customHeight="1" s="87">
      <c r="A179" s="15" t="inlineStr">
        <is>
          <t>3.        Non-need athletic awards</t>
        </is>
      </c>
      <c r="B179" s="12" t="n"/>
      <c r="C179" s="12" t="n"/>
      <c r="D179" s="12" t="n"/>
      <c r="E179" s="12" t="n"/>
      <c r="F179" s="12" t="n"/>
      <c r="G179" s="12" t="n"/>
      <c r="H179" s="12" t="n"/>
      <c r="I179" s="12" t="n"/>
      <c r="J179" s="12" t="n"/>
      <c r="K179" s="12" t="n"/>
      <c r="L179" s="12" t="n"/>
      <c r="M179" s="12" t="n"/>
      <c r="N179" s="12" t="n"/>
      <c r="O179" s="12" t="n"/>
      <c r="P179" s="12" t="n"/>
      <c r="Q179" s="12" t="n"/>
      <c r="R179" s="12" t="n"/>
      <c r="S179" s="12" t="n"/>
      <c r="T179" s="12" t="n"/>
      <c r="U179" s="12" t="n"/>
      <c r="V179" s="12" t="n"/>
      <c r="W179" s="12" t="n"/>
      <c r="X179" s="12" t="n"/>
      <c r="Y179" s="12" t="n"/>
      <c r="Z179" s="12" t="n"/>
    </row>
    <row r="180" ht="12.75" customHeight="1" s="87">
      <c r="A180" s="15" t="inlineStr">
        <is>
          <t>4.        Non-need federal grants</t>
        </is>
      </c>
      <c r="B180" s="12" t="n"/>
      <c r="C180" s="12" t="n"/>
      <c r="D180" s="12" t="n"/>
      <c r="E180" s="12" t="n"/>
      <c r="F180" s="12" t="n"/>
      <c r="G180" s="12" t="n"/>
      <c r="H180" s="12" t="n"/>
      <c r="I180" s="12" t="n"/>
      <c r="J180" s="12" t="n"/>
      <c r="K180" s="12" t="n"/>
      <c r="L180" s="12" t="n"/>
      <c r="M180" s="12" t="n"/>
      <c r="N180" s="12" t="n"/>
      <c r="O180" s="12" t="n"/>
      <c r="P180" s="12" t="n"/>
      <c r="Q180" s="12" t="n"/>
      <c r="R180" s="12" t="n"/>
      <c r="S180" s="12" t="n"/>
      <c r="T180" s="12" t="n"/>
      <c r="U180" s="12" t="n"/>
      <c r="V180" s="12" t="n"/>
      <c r="W180" s="12" t="n"/>
      <c r="X180" s="12" t="n"/>
      <c r="Y180" s="12" t="n"/>
      <c r="Z180" s="12" t="n"/>
    </row>
    <row r="181" ht="12.75" customHeight="1" s="87">
      <c r="A181" s="15" t="inlineStr">
        <is>
          <t>5.        Non-need state grants</t>
        </is>
      </c>
      <c r="B181" s="12" t="n"/>
      <c r="C181" s="12" t="n"/>
      <c r="D181" s="12" t="n"/>
      <c r="E181" s="12" t="n"/>
      <c r="F181" s="12" t="n"/>
      <c r="G181" s="12" t="n"/>
      <c r="H181" s="12" t="n"/>
      <c r="I181" s="12" t="n"/>
      <c r="J181" s="12" t="n"/>
      <c r="K181" s="12" t="n"/>
      <c r="L181" s="12" t="n"/>
      <c r="M181" s="12" t="n"/>
      <c r="N181" s="12" t="n"/>
      <c r="O181" s="12" t="n"/>
      <c r="P181" s="12" t="n"/>
      <c r="Q181" s="12" t="n"/>
      <c r="R181" s="12" t="n"/>
      <c r="S181" s="12" t="n"/>
      <c r="T181" s="12" t="n"/>
      <c r="U181" s="12" t="n"/>
      <c r="V181" s="12" t="n"/>
      <c r="W181" s="12" t="n"/>
      <c r="X181" s="12" t="n"/>
      <c r="Y181" s="12" t="n"/>
      <c r="Z181" s="12" t="n"/>
    </row>
    <row r="182" ht="12.75" customHeight="1" s="87">
      <c r="A182" s="15" t="inlineStr">
        <is>
          <t>6.        Non-need outside grants</t>
        </is>
      </c>
      <c r="B182" s="12" t="n"/>
      <c r="C182" s="12" t="n"/>
      <c r="D182" s="12" t="n"/>
      <c r="E182" s="12" t="n"/>
      <c r="F182" s="12" t="n"/>
      <c r="G182" s="12" t="n"/>
      <c r="H182" s="12" t="n"/>
      <c r="I182" s="12" t="n"/>
      <c r="J182" s="12" t="n"/>
      <c r="K182" s="12" t="n"/>
      <c r="L182" s="12" t="n"/>
      <c r="M182" s="12" t="n"/>
      <c r="N182" s="12" t="n"/>
      <c r="O182" s="12" t="n"/>
      <c r="P182" s="12" t="n"/>
      <c r="Q182" s="12" t="n"/>
      <c r="R182" s="12" t="n"/>
      <c r="S182" s="12" t="n"/>
      <c r="T182" s="12" t="n"/>
      <c r="U182" s="12" t="n"/>
      <c r="V182" s="12" t="n"/>
      <c r="W182" s="12" t="n"/>
      <c r="X182" s="12" t="n"/>
      <c r="Y182" s="12" t="n"/>
      <c r="Z182" s="12" t="n"/>
    </row>
    <row r="183" ht="12.75" customHeight="1" s="87">
      <c r="A183" s="15" t="inlineStr">
        <is>
          <t>7.        Non-need student loans</t>
        </is>
      </c>
      <c r="B183" s="12" t="n"/>
      <c r="C183" s="12" t="n"/>
      <c r="D183" s="12" t="n"/>
      <c r="E183" s="12" t="n"/>
      <c r="F183" s="12" t="n"/>
      <c r="G183" s="12" t="n"/>
      <c r="H183" s="12" t="n"/>
      <c r="I183" s="12" t="n"/>
      <c r="J183" s="12" t="n"/>
      <c r="K183" s="12" t="n"/>
      <c r="L183" s="12" t="n"/>
      <c r="M183" s="12" t="n"/>
      <c r="N183" s="12" t="n"/>
      <c r="O183" s="12" t="n"/>
      <c r="P183" s="12" t="n"/>
      <c r="Q183" s="12" t="n"/>
      <c r="R183" s="12" t="n"/>
      <c r="S183" s="12" t="n"/>
      <c r="T183" s="12" t="n"/>
      <c r="U183" s="12" t="n"/>
      <c r="V183" s="12" t="n"/>
      <c r="W183" s="12" t="n"/>
      <c r="X183" s="12" t="n"/>
      <c r="Y183" s="12" t="n"/>
      <c r="Z183" s="12" t="n"/>
    </row>
    <row r="184" ht="12.75" customHeight="1" s="87">
      <c r="A184" s="15" t="inlineStr">
        <is>
          <t>8.        Non-need parent loans</t>
        </is>
      </c>
      <c r="B184" s="12" t="n"/>
      <c r="C184" s="12" t="n"/>
      <c r="D184" s="12" t="n"/>
      <c r="E184" s="12" t="n"/>
      <c r="F184" s="12" t="n"/>
      <c r="G184" s="12" t="n"/>
      <c r="H184" s="12" t="n"/>
      <c r="I184" s="12" t="n"/>
      <c r="J184" s="12" t="n"/>
      <c r="K184" s="12" t="n"/>
      <c r="L184" s="12" t="n"/>
      <c r="M184" s="12" t="n"/>
      <c r="N184" s="12" t="n"/>
      <c r="O184" s="12" t="n"/>
      <c r="P184" s="12" t="n"/>
      <c r="Q184" s="12" t="n"/>
      <c r="R184" s="12" t="n"/>
      <c r="S184" s="12" t="n"/>
      <c r="T184" s="12" t="n"/>
      <c r="U184" s="12" t="n"/>
      <c r="V184" s="12" t="n"/>
      <c r="W184" s="12" t="n"/>
      <c r="X184" s="12" t="n"/>
      <c r="Y184" s="12" t="n"/>
      <c r="Z184" s="12" t="n"/>
    </row>
    <row r="185" ht="12.75" customHeight="1" s="87">
      <c r="A185" s="15" t="inlineStr">
        <is>
          <t>9.        Non-need work</t>
        </is>
      </c>
      <c r="B185" s="12" t="n"/>
      <c r="C185" s="12" t="n"/>
      <c r="D185" s="12" t="n"/>
      <c r="E185" s="12" t="n"/>
      <c r="F185" s="12" t="n"/>
      <c r="G185" s="12" t="n"/>
      <c r="H185" s="12" t="n"/>
      <c r="I185" s="12" t="n"/>
      <c r="J185" s="12" t="n"/>
      <c r="K185" s="12" t="n"/>
      <c r="L185" s="12" t="n"/>
      <c r="M185" s="12" t="n"/>
      <c r="N185" s="12" t="n"/>
      <c r="O185" s="12" t="n"/>
      <c r="P185" s="12" t="n"/>
      <c r="Q185" s="12" t="n"/>
      <c r="R185" s="12" t="n"/>
      <c r="S185" s="12" t="n"/>
      <c r="T185" s="12" t="n"/>
      <c r="U185" s="12" t="n"/>
      <c r="V185" s="12" t="n"/>
      <c r="W185" s="12" t="n"/>
      <c r="X185" s="12" t="n"/>
      <c r="Y185" s="12" t="n"/>
      <c r="Z185" s="12" t="n"/>
    </row>
    <row r="186" ht="12.75" customHeight="1" s="87">
      <c r="B186" s="12" t="n"/>
      <c r="C186" s="12" t="n"/>
      <c r="D186" s="12" t="n"/>
      <c r="E186" s="12" t="n"/>
      <c r="F186" s="12" t="n"/>
      <c r="G186" s="12" t="n"/>
      <c r="H186" s="12" t="n"/>
      <c r="I186" s="12" t="n"/>
      <c r="J186" s="12" t="n"/>
      <c r="K186" s="12" t="n"/>
      <c r="L186" s="12" t="n"/>
      <c r="M186" s="12" t="n"/>
      <c r="N186" s="12" t="n"/>
      <c r="O186" s="12" t="n"/>
      <c r="P186" s="12" t="n"/>
      <c r="Q186" s="12" t="n"/>
      <c r="R186" s="12" t="n"/>
      <c r="S186" s="12" t="n"/>
      <c r="T186" s="12" t="n"/>
      <c r="U186" s="12" t="n"/>
      <c r="V186" s="12" t="n"/>
      <c r="W186" s="12" t="n"/>
      <c r="X186" s="12" t="n"/>
      <c r="Y186" s="12" t="n"/>
      <c r="Z186" s="12" t="n"/>
    </row>
    <row r="187" ht="12.75" customHeight="1" s="87">
      <c r="A187" s="15" t="n"/>
      <c r="B187" s="12" t="n"/>
      <c r="C187" s="12" t="n"/>
      <c r="D187" s="12" t="n"/>
      <c r="E187" s="12" t="n"/>
      <c r="F187" s="12" t="n"/>
      <c r="G187" s="12" t="n"/>
      <c r="H187" s="12" t="n"/>
      <c r="I187" s="12" t="n"/>
      <c r="J187" s="12" t="n"/>
      <c r="K187" s="12" t="n"/>
      <c r="L187" s="12" t="n"/>
      <c r="M187" s="12" t="n"/>
      <c r="N187" s="12" t="n"/>
      <c r="O187" s="12" t="n"/>
      <c r="P187" s="12" t="n"/>
      <c r="Q187" s="12" t="n"/>
      <c r="R187" s="12" t="n"/>
      <c r="S187" s="12" t="n"/>
      <c r="T187" s="12" t="n"/>
      <c r="U187" s="12" t="n"/>
      <c r="V187" s="12" t="n"/>
      <c r="W187" s="12" t="n"/>
      <c r="X187" s="12" t="n"/>
      <c r="Y187" s="12" t="n"/>
      <c r="Z187" s="12" t="n"/>
    </row>
    <row r="188" ht="12.75" customHeight="1" s="87">
      <c r="A188" s="17" t="inlineStr">
        <is>
          <t>Non-need-based self-help aid: Loans and jobs from institutional, state, or other sources for which a student need not demonstrate financial need to qualify.</t>
        </is>
      </c>
      <c r="B188" s="12" t="n"/>
      <c r="C188" s="12" t="n"/>
      <c r="D188" s="12" t="n"/>
      <c r="E188" s="12" t="n"/>
      <c r="F188" s="12" t="n"/>
      <c r="G188" s="12" t="n"/>
      <c r="H188" s="12" t="n"/>
      <c r="I188" s="12" t="n"/>
      <c r="J188" s="12" t="n"/>
      <c r="K188" s="12" t="n"/>
      <c r="L188" s="12" t="n"/>
      <c r="M188" s="12" t="n"/>
      <c r="N188" s="12" t="n"/>
      <c r="O188" s="12" t="n"/>
      <c r="P188" s="12" t="n"/>
      <c r="Q188" s="12" t="n"/>
      <c r="R188" s="12" t="n"/>
      <c r="S188" s="12" t="n"/>
      <c r="T188" s="12" t="n"/>
      <c r="U188" s="12" t="n"/>
      <c r="V188" s="12" t="n"/>
      <c r="W188" s="12" t="n"/>
      <c r="X188" s="12" t="n"/>
      <c r="Y188" s="12" t="n"/>
      <c r="Z188" s="12" t="n"/>
    </row>
    <row r="189" ht="12.75" customHeight="1" s="87">
      <c r="A189" s="15" t="n"/>
      <c r="B189" s="12" t="n"/>
      <c r="C189" s="12" t="n"/>
      <c r="D189" s="12" t="n"/>
      <c r="E189" s="12" t="n"/>
      <c r="F189" s="12" t="n"/>
      <c r="G189" s="12" t="n"/>
      <c r="H189" s="12" t="n"/>
      <c r="I189" s="12" t="n"/>
      <c r="J189" s="12" t="n"/>
      <c r="K189" s="12" t="n"/>
      <c r="L189" s="12" t="n"/>
      <c r="M189" s="12" t="n"/>
      <c r="N189" s="12" t="n"/>
      <c r="O189" s="12" t="n"/>
      <c r="P189" s="12" t="n"/>
      <c r="Q189" s="12" t="n"/>
      <c r="R189" s="12" t="n"/>
      <c r="S189" s="12" t="n"/>
      <c r="T189" s="12" t="n"/>
      <c r="U189" s="12" t="n"/>
      <c r="V189" s="12" t="n"/>
      <c r="W189" s="12" t="n"/>
      <c r="X189" s="12" t="n"/>
      <c r="Y189" s="12" t="n"/>
      <c r="Z189" s="12" t="n"/>
    </row>
    <row r="190" ht="12.75" customHeight="1" s="87">
      <c r="A190" s="17" t="inlineStr">
        <is>
          <t>Work study and employment: Federal and state work study aid, and any employment packaged by your institution in financial aid awards.</t>
        </is>
      </c>
      <c r="B190" s="12" t="n"/>
      <c r="C190" s="12" t="n"/>
      <c r="D190" s="12" t="n"/>
      <c r="E190" s="12" t="n"/>
      <c r="F190" s="12" t="n"/>
      <c r="G190" s="12" t="n"/>
      <c r="H190" s="12" t="n"/>
      <c r="I190" s="12" t="n"/>
      <c r="J190" s="12" t="n"/>
      <c r="K190" s="12" t="n"/>
      <c r="L190" s="12" t="n"/>
      <c r="M190" s="12" t="n"/>
      <c r="N190" s="12" t="n"/>
      <c r="O190" s="12" t="n"/>
      <c r="P190" s="12" t="n"/>
      <c r="Q190" s="12" t="n"/>
      <c r="R190" s="12" t="n"/>
      <c r="S190" s="12" t="n"/>
      <c r="T190" s="12" t="n"/>
      <c r="U190" s="12" t="n"/>
      <c r="V190" s="12" t="n"/>
      <c r="W190" s="12" t="n"/>
      <c r="X190" s="12" t="n"/>
      <c r="Y190" s="12" t="n"/>
      <c r="Z190" s="12" t="n"/>
    </row>
    <row r="191" ht="12.75" customHeight="1" s="87">
      <c r="A191" s="25" t="n"/>
      <c r="B191" s="12" t="n"/>
      <c r="C191" s="12" t="n"/>
      <c r="D191" s="12" t="n"/>
      <c r="E191" s="12" t="n"/>
      <c r="F191" s="12" t="n"/>
      <c r="G191" s="12" t="n"/>
      <c r="H191" s="12" t="n"/>
      <c r="I191" s="12" t="n"/>
      <c r="J191" s="12" t="n"/>
      <c r="K191" s="12" t="n"/>
      <c r="L191" s="12" t="n"/>
      <c r="M191" s="12" t="n"/>
      <c r="N191" s="12" t="n"/>
      <c r="O191" s="12" t="n"/>
      <c r="P191" s="12" t="n"/>
      <c r="Q191" s="12" t="n"/>
      <c r="R191" s="12" t="n"/>
      <c r="S191" s="12" t="n"/>
      <c r="T191" s="12" t="n"/>
      <c r="U191" s="12" t="n"/>
      <c r="V191" s="12" t="n"/>
      <c r="W191" s="12" t="n"/>
      <c r="X191" s="12" t="n"/>
      <c r="Y191" s="12" t="n"/>
      <c r="Z191" s="12" t="n"/>
    </row>
    <row r="192" ht="12.75" customHeight="1" s="87">
      <c r="A192" s="25" t="n"/>
      <c r="B192" s="12" t="n"/>
      <c r="C192" s="12" t="n"/>
      <c r="D192" s="12" t="n"/>
      <c r="E192" s="12" t="n"/>
      <c r="F192" s="12" t="n"/>
      <c r="G192" s="12" t="n"/>
      <c r="H192" s="12" t="n"/>
      <c r="I192" s="12" t="n"/>
      <c r="J192" s="12" t="n"/>
      <c r="K192" s="12" t="n"/>
      <c r="L192" s="12" t="n"/>
      <c r="M192" s="12" t="n"/>
      <c r="N192" s="12" t="n"/>
      <c r="O192" s="12" t="n"/>
      <c r="P192" s="12" t="n"/>
      <c r="Q192" s="12" t="n"/>
      <c r="R192" s="12" t="n"/>
      <c r="S192" s="12" t="n"/>
      <c r="T192" s="12" t="n"/>
      <c r="U192" s="12" t="n"/>
      <c r="V192" s="12" t="n"/>
      <c r="W192" s="12" t="n"/>
      <c r="X192" s="12" t="n"/>
      <c r="Y192" s="12" t="n"/>
      <c r="Z192" s="12" t="n"/>
    </row>
    <row r="193" ht="12.75" customHeight="1" s="87">
      <c r="A193" s="25" t="n"/>
      <c r="B193" s="12" t="n"/>
      <c r="C193" s="12" t="n"/>
      <c r="D193" s="12" t="n"/>
      <c r="E193" s="12" t="n"/>
      <c r="F193" s="12" t="n"/>
      <c r="G193" s="12" t="n"/>
      <c r="H193" s="12" t="n"/>
      <c r="I193" s="12" t="n"/>
      <c r="J193" s="12" t="n"/>
      <c r="K193" s="12" t="n"/>
      <c r="L193" s="12" t="n"/>
      <c r="M193" s="12" t="n"/>
      <c r="N193" s="12" t="n"/>
      <c r="O193" s="12" t="n"/>
      <c r="P193" s="12" t="n"/>
      <c r="Q193" s="12" t="n"/>
      <c r="R193" s="12" t="n"/>
      <c r="S193" s="12" t="n"/>
      <c r="T193" s="12" t="n"/>
      <c r="U193" s="12" t="n"/>
      <c r="V193" s="12" t="n"/>
      <c r="W193" s="12" t="n"/>
      <c r="X193" s="12" t="n"/>
      <c r="Y193" s="12" t="n"/>
      <c r="Z193" s="12" t="n"/>
    </row>
    <row r="194" ht="12.75" customHeight="1" s="87">
      <c r="A194" s="25" t="n"/>
      <c r="B194" s="12" t="n"/>
      <c r="C194" s="12" t="n"/>
      <c r="D194" s="12" t="n"/>
      <c r="E194" s="12" t="n"/>
      <c r="F194" s="12" t="n"/>
      <c r="G194" s="12" t="n"/>
      <c r="H194" s="12" t="n"/>
      <c r="I194" s="12" t="n"/>
      <c r="J194" s="12" t="n"/>
      <c r="K194" s="12" t="n"/>
      <c r="L194" s="12" t="n"/>
      <c r="M194" s="12" t="n"/>
      <c r="N194" s="12" t="n"/>
      <c r="O194" s="12" t="n"/>
      <c r="P194" s="12" t="n"/>
      <c r="Q194" s="12" t="n"/>
      <c r="R194" s="12" t="n"/>
      <c r="S194" s="12" t="n"/>
      <c r="T194" s="12" t="n"/>
      <c r="U194" s="12" t="n"/>
      <c r="V194" s="12" t="n"/>
      <c r="W194" s="12" t="n"/>
      <c r="X194" s="12" t="n"/>
      <c r="Y194" s="12" t="n"/>
      <c r="Z194" s="12" t="n"/>
    </row>
    <row r="195" ht="12.75" customHeight="1" s="87">
      <c r="A195" s="25" t="n"/>
      <c r="B195" s="12" t="n"/>
      <c r="C195" s="12" t="n"/>
      <c r="D195" s="12" t="n"/>
      <c r="E195" s="12" t="n"/>
      <c r="F195" s="12" t="n"/>
      <c r="G195" s="12" t="n"/>
      <c r="H195" s="12" t="n"/>
      <c r="I195" s="12" t="n"/>
      <c r="J195" s="12" t="n"/>
      <c r="K195" s="12" t="n"/>
      <c r="L195" s="12" t="n"/>
      <c r="M195" s="12" t="n"/>
      <c r="N195" s="12" t="n"/>
      <c r="O195" s="12" t="n"/>
      <c r="P195" s="12" t="n"/>
      <c r="Q195" s="12" t="n"/>
      <c r="R195" s="12" t="n"/>
      <c r="S195" s="12" t="n"/>
      <c r="T195" s="12" t="n"/>
      <c r="U195" s="12" t="n"/>
      <c r="V195" s="12" t="n"/>
      <c r="W195" s="12" t="n"/>
      <c r="X195" s="12" t="n"/>
      <c r="Y195" s="12" t="n"/>
      <c r="Z195" s="12" t="n"/>
    </row>
    <row r="196" ht="12.75" customHeight="1" s="87">
      <c r="A196" s="25" t="n"/>
      <c r="B196" s="12" t="n"/>
      <c r="C196" s="12" t="n"/>
      <c r="D196" s="12" t="n"/>
      <c r="E196" s="12" t="n"/>
      <c r="F196" s="12" t="n"/>
      <c r="G196" s="12" t="n"/>
      <c r="H196" s="12" t="n"/>
      <c r="I196" s="12" t="n"/>
      <c r="J196" s="12" t="n"/>
      <c r="K196" s="12" t="n"/>
      <c r="L196" s="12" t="n"/>
      <c r="M196" s="12" t="n"/>
      <c r="N196" s="12" t="n"/>
      <c r="O196" s="12" t="n"/>
      <c r="P196" s="12" t="n"/>
      <c r="Q196" s="12" t="n"/>
      <c r="R196" s="12" t="n"/>
      <c r="S196" s="12" t="n"/>
      <c r="T196" s="12" t="n"/>
      <c r="U196" s="12" t="n"/>
      <c r="V196" s="12" t="n"/>
      <c r="W196" s="12" t="n"/>
      <c r="X196" s="12" t="n"/>
      <c r="Y196" s="12" t="n"/>
      <c r="Z196" s="12" t="n"/>
    </row>
    <row r="197" ht="12.75" customHeight="1" s="87">
      <c r="A197" s="25" t="n"/>
      <c r="B197" s="12" t="n"/>
      <c r="C197" s="12" t="n"/>
      <c r="D197" s="12" t="n"/>
      <c r="E197" s="12" t="n"/>
      <c r="F197" s="12" t="n"/>
      <c r="G197" s="12" t="n"/>
      <c r="H197" s="12" t="n"/>
      <c r="I197" s="12" t="n"/>
      <c r="J197" s="12" t="n"/>
      <c r="K197" s="12" t="n"/>
      <c r="L197" s="12" t="n"/>
      <c r="M197" s="12" t="n"/>
      <c r="N197" s="12" t="n"/>
      <c r="O197" s="12" t="n"/>
      <c r="P197" s="12" t="n"/>
      <c r="Q197" s="12" t="n"/>
      <c r="R197" s="12" t="n"/>
      <c r="S197" s="12" t="n"/>
      <c r="T197" s="12" t="n"/>
      <c r="U197" s="12" t="n"/>
      <c r="V197" s="12" t="n"/>
      <c r="W197" s="12" t="n"/>
      <c r="X197" s="12" t="n"/>
      <c r="Y197" s="12" t="n"/>
      <c r="Z197" s="12" t="n"/>
    </row>
    <row r="198" ht="12.75" customHeight="1" s="87">
      <c r="A198" s="25" t="n"/>
      <c r="B198" s="12" t="n"/>
      <c r="C198" s="12" t="n"/>
      <c r="D198" s="12" t="n"/>
      <c r="E198" s="12" t="n"/>
      <c r="F198" s="12" t="n"/>
      <c r="G198" s="12" t="n"/>
      <c r="H198" s="12" t="n"/>
      <c r="I198" s="12" t="n"/>
      <c r="J198" s="12" t="n"/>
      <c r="K198" s="12" t="n"/>
      <c r="L198" s="12" t="n"/>
      <c r="M198" s="12" t="n"/>
      <c r="N198" s="12" t="n"/>
      <c r="O198" s="12" t="n"/>
      <c r="P198" s="12" t="n"/>
      <c r="Q198" s="12" t="n"/>
      <c r="R198" s="12" t="n"/>
      <c r="S198" s="12" t="n"/>
      <c r="T198" s="12" t="n"/>
      <c r="U198" s="12" t="n"/>
      <c r="V198" s="12" t="n"/>
      <c r="W198" s="12" t="n"/>
      <c r="X198" s="12" t="n"/>
      <c r="Y198" s="12" t="n"/>
      <c r="Z198" s="12" t="n"/>
    </row>
    <row r="199" ht="12.75" customHeight="1" s="87">
      <c r="A199" s="25" t="n"/>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c r="Z199" s="12" t="n"/>
    </row>
    <row r="200" ht="12.75" customHeight="1" s="87">
      <c r="A200" s="25" t="n"/>
      <c r="B200" s="12" t="n"/>
      <c r="C200" s="12" t="n"/>
      <c r="D200" s="12" t="n"/>
      <c r="E200" s="12" t="n"/>
      <c r="F200" s="12" t="n"/>
      <c r="G200" s="12" t="n"/>
      <c r="H200" s="12" t="n"/>
      <c r="I200" s="12" t="n"/>
      <c r="J200" s="12" t="n"/>
      <c r="K200" s="12" t="n"/>
      <c r="L200" s="12" t="n"/>
      <c r="M200" s="12" t="n"/>
      <c r="N200" s="12" t="n"/>
      <c r="O200" s="12" t="n"/>
      <c r="P200" s="12" t="n"/>
      <c r="Q200" s="12" t="n"/>
      <c r="R200" s="12" t="n"/>
      <c r="S200" s="12" t="n"/>
      <c r="T200" s="12" t="n"/>
      <c r="U200" s="12" t="n"/>
      <c r="V200" s="12" t="n"/>
      <c r="W200" s="12" t="n"/>
      <c r="X200" s="12" t="n"/>
      <c r="Y200" s="12" t="n"/>
      <c r="Z200" s="12" t="n"/>
    </row>
    <row r="201" ht="12.75" customHeight="1" s="87">
      <c r="A201" s="25" t="n"/>
      <c r="B201" s="12" t="n"/>
      <c r="C201" s="12" t="n"/>
      <c r="D201" s="12" t="n"/>
      <c r="E201" s="12" t="n"/>
      <c r="F201" s="12" t="n"/>
      <c r="G201" s="12" t="n"/>
      <c r="H201" s="12" t="n"/>
      <c r="I201" s="12" t="n"/>
      <c r="J201" s="12" t="n"/>
      <c r="K201" s="12" t="n"/>
      <c r="L201" s="12" t="n"/>
      <c r="M201" s="12" t="n"/>
      <c r="N201" s="12" t="n"/>
      <c r="O201" s="12" t="n"/>
      <c r="P201" s="12" t="n"/>
      <c r="Q201" s="12" t="n"/>
      <c r="R201" s="12" t="n"/>
      <c r="S201" s="12" t="n"/>
      <c r="T201" s="12" t="n"/>
      <c r="U201" s="12" t="n"/>
      <c r="V201" s="12" t="n"/>
      <c r="W201" s="12" t="n"/>
      <c r="X201" s="12" t="n"/>
      <c r="Y201" s="12" t="n"/>
      <c r="Z201" s="12" t="n"/>
    </row>
    <row r="202" ht="12.75" customHeight="1" s="87">
      <c r="A202" s="25" t="n"/>
      <c r="B202" s="12" t="n"/>
      <c r="C202" s="12" t="n"/>
      <c r="D202" s="12" t="n"/>
      <c r="E202" s="12" t="n"/>
      <c r="F202" s="12" t="n"/>
      <c r="G202" s="12" t="n"/>
      <c r="H202" s="12" t="n"/>
      <c r="I202" s="12" t="n"/>
      <c r="J202" s="12" t="n"/>
      <c r="K202" s="12" t="n"/>
      <c r="L202" s="12" t="n"/>
      <c r="M202" s="12" t="n"/>
      <c r="N202" s="12" t="n"/>
      <c r="O202" s="12" t="n"/>
      <c r="P202" s="12" t="n"/>
      <c r="Q202" s="12" t="n"/>
      <c r="R202" s="12" t="n"/>
      <c r="S202" s="12" t="n"/>
      <c r="T202" s="12" t="n"/>
      <c r="U202" s="12" t="n"/>
      <c r="V202" s="12" t="n"/>
      <c r="W202" s="12" t="n"/>
      <c r="X202" s="12" t="n"/>
      <c r="Y202" s="12" t="n"/>
      <c r="Z202" s="12" t="n"/>
    </row>
    <row r="203" ht="12.75" customHeight="1" s="87">
      <c r="A203" s="25" t="n"/>
      <c r="B203" s="12" t="n"/>
      <c r="C203" s="12" t="n"/>
      <c r="D203" s="12" t="n"/>
      <c r="E203" s="12" t="n"/>
      <c r="F203" s="12" t="n"/>
      <c r="G203" s="12" t="n"/>
      <c r="H203" s="12" t="n"/>
      <c r="I203" s="12" t="n"/>
      <c r="J203" s="12" t="n"/>
      <c r="K203" s="12" t="n"/>
      <c r="L203" s="12" t="n"/>
      <c r="M203" s="12" t="n"/>
      <c r="N203" s="12" t="n"/>
      <c r="O203" s="12" t="n"/>
      <c r="P203" s="12" t="n"/>
      <c r="Q203" s="12" t="n"/>
      <c r="R203" s="12" t="n"/>
      <c r="S203" s="12" t="n"/>
      <c r="T203" s="12" t="n"/>
      <c r="U203" s="12" t="n"/>
      <c r="V203" s="12" t="n"/>
      <c r="W203" s="12" t="n"/>
      <c r="X203" s="12" t="n"/>
      <c r="Y203" s="12" t="n"/>
      <c r="Z203" s="12" t="n"/>
    </row>
    <row r="204" ht="12.75" customHeight="1" s="87">
      <c r="A204" s="25" t="n"/>
      <c r="B204" s="12" t="n"/>
      <c r="C204" s="12" t="n"/>
      <c r="D204" s="12" t="n"/>
      <c r="E204" s="12" t="n"/>
      <c r="F204" s="12" t="n"/>
      <c r="G204" s="12" t="n"/>
      <c r="H204" s="12" t="n"/>
      <c r="I204" s="12" t="n"/>
      <c r="J204" s="12" t="n"/>
      <c r="K204" s="12" t="n"/>
      <c r="L204" s="12" t="n"/>
      <c r="M204" s="12" t="n"/>
      <c r="N204" s="12" t="n"/>
      <c r="O204" s="12" t="n"/>
      <c r="P204" s="12" t="n"/>
      <c r="Q204" s="12" t="n"/>
      <c r="R204" s="12" t="n"/>
      <c r="S204" s="12" t="n"/>
      <c r="T204" s="12" t="n"/>
      <c r="U204" s="12" t="n"/>
      <c r="V204" s="12" t="n"/>
      <c r="W204" s="12" t="n"/>
      <c r="X204" s="12" t="n"/>
      <c r="Y204" s="12" t="n"/>
      <c r="Z204" s="12" t="n"/>
    </row>
    <row r="205" ht="12.75" customHeight="1" s="87">
      <c r="A205" s="25" t="n"/>
      <c r="B205" s="12" t="n"/>
      <c r="C205" s="12" t="n"/>
      <c r="D205" s="12" t="n"/>
      <c r="E205" s="12" t="n"/>
      <c r="F205" s="12" t="n"/>
      <c r="G205" s="12" t="n"/>
      <c r="H205" s="12" t="n"/>
      <c r="I205" s="12" t="n"/>
      <c r="J205" s="12" t="n"/>
      <c r="K205" s="12" t="n"/>
      <c r="L205" s="12" t="n"/>
      <c r="M205" s="12" t="n"/>
      <c r="N205" s="12" t="n"/>
      <c r="O205" s="12" t="n"/>
      <c r="P205" s="12" t="n"/>
      <c r="Q205" s="12" t="n"/>
      <c r="R205" s="12" t="n"/>
      <c r="S205" s="12" t="n"/>
      <c r="T205" s="12" t="n"/>
      <c r="U205" s="12" t="n"/>
      <c r="V205" s="12" t="n"/>
      <c r="W205" s="12" t="n"/>
      <c r="X205" s="12" t="n"/>
      <c r="Y205" s="12" t="n"/>
      <c r="Z205" s="12" t="n"/>
    </row>
    <row r="206" ht="12.75" customHeight="1" s="87">
      <c r="A206" s="25" t="n"/>
      <c r="B206" s="12" t="n"/>
      <c r="C206" s="12" t="n"/>
      <c r="D206" s="12" t="n"/>
      <c r="E206" s="12" t="n"/>
      <c r="F206" s="12" t="n"/>
      <c r="G206" s="12" t="n"/>
      <c r="H206" s="12" t="n"/>
      <c r="I206" s="12" t="n"/>
      <c r="J206" s="12" t="n"/>
      <c r="K206" s="12" t="n"/>
      <c r="L206" s="12" t="n"/>
      <c r="M206" s="12" t="n"/>
      <c r="N206" s="12" t="n"/>
      <c r="O206" s="12" t="n"/>
      <c r="P206" s="12" t="n"/>
      <c r="Q206" s="12" t="n"/>
      <c r="R206" s="12" t="n"/>
      <c r="S206" s="12" t="n"/>
      <c r="T206" s="12" t="n"/>
      <c r="U206" s="12" t="n"/>
      <c r="V206" s="12" t="n"/>
      <c r="W206" s="12" t="n"/>
      <c r="X206" s="12" t="n"/>
      <c r="Y206" s="12" t="n"/>
      <c r="Z206" s="12" t="n"/>
    </row>
    <row r="207" ht="12.75" customHeight="1" s="87">
      <c r="A207" s="25" t="n"/>
      <c r="B207" s="12" t="n"/>
      <c r="C207" s="12" t="n"/>
      <c r="D207" s="12" t="n"/>
      <c r="E207" s="12" t="n"/>
      <c r="F207" s="12" t="n"/>
      <c r="G207" s="12" t="n"/>
      <c r="H207" s="12" t="n"/>
      <c r="I207" s="12" t="n"/>
      <c r="J207" s="12" t="n"/>
      <c r="K207" s="12" t="n"/>
      <c r="L207" s="12" t="n"/>
      <c r="M207" s="12" t="n"/>
      <c r="N207" s="12" t="n"/>
      <c r="O207" s="12" t="n"/>
      <c r="P207" s="12" t="n"/>
      <c r="Q207" s="12" t="n"/>
      <c r="R207" s="12" t="n"/>
      <c r="S207" s="12" t="n"/>
      <c r="T207" s="12" t="n"/>
      <c r="U207" s="12" t="n"/>
      <c r="V207" s="12" t="n"/>
      <c r="W207" s="12" t="n"/>
      <c r="X207" s="12" t="n"/>
      <c r="Y207" s="12" t="n"/>
      <c r="Z207" s="12" t="n"/>
    </row>
    <row r="208" ht="12.75" customHeight="1" s="87">
      <c r="A208" s="25" t="n"/>
      <c r="B208" s="12" t="n"/>
      <c r="C208" s="12" t="n"/>
      <c r="D208" s="12" t="n"/>
      <c r="E208" s="12" t="n"/>
      <c r="F208" s="12" t="n"/>
      <c r="G208" s="12" t="n"/>
      <c r="H208" s="12" t="n"/>
      <c r="I208" s="12" t="n"/>
      <c r="J208" s="12" t="n"/>
      <c r="K208" s="12" t="n"/>
      <c r="L208" s="12" t="n"/>
      <c r="M208" s="12" t="n"/>
      <c r="N208" s="12" t="n"/>
      <c r="O208" s="12" t="n"/>
      <c r="P208" s="12" t="n"/>
      <c r="Q208" s="12" t="n"/>
      <c r="R208" s="12" t="n"/>
      <c r="S208" s="12" t="n"/>
      <c r="T208" s="12" t="n"/>
      <c r="U208" s="12" t="n"/>
      <c r="V208" s="12" t="n"/>
      <c r="W208" s="12" t="n"/>
      <c r="X208" s="12" t="n"/>
      <c r="Y208" s="12" t="n"/>
      <c r="Z208" s="12" t="n"/>
    </row>
    <row r="209" ht="12.75" customHeight="1" s="87">
      <c r="A209" s="25" t="n"/>
      <c r="B209" s="12" t="n"/>
      <c r="C209" s="12" t="n"/>
      <c r="D209" s="12" t="n"/>
      <c r="E209" s="12" t="n"/>
      <c r="F209" s="12" t="n"/>
      <c r="G209" s="12" t="n"/>
      <c r="H209" s="12" t="n"/>
      <c r="I209" s="12" t="n"/>
      <c r="J209" s="12" t="n"/>
      <c r="K209" s="12" t="n"/>
      <c r="L209" s="12" t="n"/>
      <c r="M209" s="12" t="n"/>
      <c r="N209" s="12" t="n"/>
      <c r="O209" s="12" t="n"/>
      <c r="P209" s="12" t="n"/>
      <c r="Q209" s="12" t="n"/>
      <c r="R209" s="12" t="n"/>
      <c r="S209" s="12" t="n"/>
      <c r="T209" s="12" t="n"/>
      <c r="U209" s="12" t="n"/>
      <c r="V209" s="12" t="n"/>
      <c r="W209" s="12" t="n"/>
      <c r="X209" s="12" t="n"/>
      <c r="Y209" s="12" t="n"/>
      <c r="Z209" s="12" t="n"/>
    </row>
    <row r="210" ht="12.75" customHeight="1" s="87">
      <c r="A210" s="25" t="n"/>
      <c r="B210" s="12" t="n"/>
      <c r="C210" s="12" t="n"/>
      <c r="D210" s="12" t="n"/>
      <c r="E210" s="12" t="n"/>
      <c r="F210" s="12" t="n"/>
      <c r="G210" s="12" t="n"/>
      <c r="H210" s="12" t="n"/>
      <c r="I210" s="12" t="n"/>
      <c r="J210" s="12" t="n"/>
      <c r="K210" s="12" t="n"/>
      <c r="L210" s="12" t="n"/>
      <c r="M210" s="12" t="n"/>
      <c r="N210" s="12" t="n"/>
      <c r="O210" s="12" t="n"/>
      <c r="P210" s="12" t="n"/>
      <c r="Q210" s="12" t="n"/>
      <c r="R210" s="12" t="n"/>
      <c r="S210" s="12" t="n"/>
      <c r="T210" s="12" t="n"/>
      <c r="U210" s="12" t="n"/>
      <c r="V210" s="12" t="n"/>
      <c r="W210" s="12" t="n"/>
      <c r="X210" s="12" t="n"/>
      <c r="Y210" s="12" t="n"/>
      <c r="Z210" s="12" t="n"/>
    </row>
    <row r="211" ht="12.75" customHeight="1" s="87">
      <c r="A211" s="25" t="n"/>
      <c r="B211" s="12" t="n"/>
      <c r="C211" s="12" t="n"/>
      <c r="D211" s="12" t="n"/>
      <c r="E211" s="12" t="n"/>
      <c r="F211" s="12" t="n"/>
      <c r="G211" s="12" t="n"/>
      <c r="H211" s="12" t="n"/>
      <c r="I211" s="12" t="n"/>
      <c r="J211" s="12" t="n"/>
      <c r="K211" s="12" t="n"/>
      <c r="L211" s="12" t="n"/>
      <c r="M211" s="12" t="n"/>
      <c r="N211" s="12" t="n"/>
      <c r="O211" s="12" t="n"/>
      <c r="P211" s="12" t="n"/>
      <c r="Q211" s="12" t="n"/>
      <c r="R211" s="12" t="n"/>
      <c r="S211" s="12" t="n"/>
      <c r="T211" s="12" t="n"/>
      <c r="U211" s="12" t="n"/>
      <c r="V211" s="12" t="n"/>
      <c r="W211" s="12" t="n"/>
      <c r="X211" s="12" t="n"/>
      <c r="Y211" s="12" t="n"/>
      <c r="Z211" s="12" t="n"/>
    </row>
    <row r="212" ht="12.75" customHeight="1" s="87">
      <c r="A212" s="25" t="n"/>
      <c r="B212" s="12" t="n"/>
      <c r="C212" s="12" t="n"/>
      <c r="D212" s="12" t="n"/>
      <c r="E212" s="12" t="n"/>
      <c r="F212" s="12" t="n"/>
      <c r="G212" s="12" t="n"/>
      <c r="H212" s="12" t="n"/>
      <c r="I212" s="12" t="n"/>
      <c r="J212" s="12" t="n"/>
      <c r="K212" s="12" t="n"/>
      <c r="L212" s="12" t="n"/>
      <c r="M212" s="12" t="n"/>
      <c r="N212" s="12" t="n"/>
      <c r="O212" s="12" t="n"/>
      <c r="P212" s="12" t="n"/>
      <c r="Q212" s="12" t="n"/>
      <c r="R212" s="12" t="n"/>
      <c r="S212" s="12" t="n"/>
      <c r="T212" s="12" t="n"/>
      <c r="U212" s="12" t="n"/>
      <c r="V212" s="12" t="n"/>
      <c r="W212" s="12" t="n"/>
      <c r="X212" s="12" t="n"/>
      <c r="Y212" s="12" t="n"/>
      <c r="Z212" s="12" t="n"/>
    </row>
    <row r="213" ht="12.75" customHeight="1" s="87">
      <c r="A213" s="25" t="n"/>
      <c r="B213" s="12" t="n"/>
      <c r="C213" s="12" t="n"/>
      <c r="D213" s="12" t="n"/>
      <c r="E213" s="12" t="n"/>
      <c r="F213" s="12" t="n"/>
      <c r="G213" s="12" t="n"/>
      <c r="H213" s="12" t="n"/>
      <c r="I213" s="12" t="n"/>
      <c r="J213" s="12" t="n"/>
      <c r="K213" s="12" t="n"/>
      <c r="L213" s="12" t="n"/>
      <c r="M213" s="12" t="n"/>
      <c r="N213" s="12" t="n"/>
      <c r="O213" s="12" t="n"/>
      <c r="P213" s="12" t="n"/>
      <c r="Q213" s="12" t="n"/>
      <c r="R213" s="12" t="n"/>
      <c r="S213" s="12" t="n"/>
      <c r="T213" s="12" t="n"/>
      <c r="U213" s="12" t="n"/>
      <c r="V213" s="12" t="n"/>
      <c r="W213" s="12" t="n"/>
      <c r="X213" s="12" t="n"/>
      <c r="Y213" s="12" t="n"/>
      <c r="Z213" s="12" t="n"/>
    </row>
    <row r="214" ht="12.75" customHeight="1" s="87">
      <c r="A214" s="25" t="n"/>
      <c r="B214" s="12" t="n"/>
      <c r="C214" s="12" t="n"/>
      <c r="D214" s="12" t="n"/>
      <c r="E214" s="12" t="n"/>
      <c r="F214" s="12" t="n"/>
      <c r="G214" s="12" t="n"/>
      <c r="H214" s="12" t="n"/>
      <c r="I214" s="12" t="n"/>
      <c r="J214" s="12" t="n"/>
      <c r="K214" s="12" t="n"/>
      <c r="L214" s="12" t="n"/>
      <c r="M214" s="12" t="n"/>
      <c r="N214" s="12" t="n"/>
      <c r="O214" s="12" t="n"/>
      <c r="P214" s="12" t="n"/>
      <c r="Q214" s="12" t="n"/>
      <c r="R214" s="12" t="n"/>
      <c r="S214" s="12" t="n"/>
      <c r="T214" s="12" t="n"/>
      <c r="U214" s="12" t="n"/>
      <c r="V214" s="12" t="n"/>
      <c r="W214" s="12" t="n"/>
      <c r="X214" s="12" t="n"/>
      <c r="Y214" s="12" t="n"/>
      <c r="Z214" s="12" t="n"/>
    </row>
    <row r="215" ht="12.75" customHeight="1" s="87">
      <c r="A215" s="25" t="n"/>
      <c r="B215" s="12" t="n"/>
      <c r="C215" s="12" t="n"/>
      <c r="D215" s="12" t="n"/>
      <c r="E215" s="12" t="n"/>
      <c r="F215" s="12" t="n"/>
      <c r="G215" s="12" t="n"/>
      <c r="H215" s="12" t="n"/>
      <c r="I215" s="12" t="n"/>
      <c r="J215" s="12" t="n"/>
      <c r="K215" s="12" t="n"/>
      <c r="L215" s="12" t="n"/>
      <c r="M215" s="12" t="n"/>
      <c r="N215" s="12" t="n"/>
      <c r="O215" s="12" t="n"/>
      <c r="P215" s="12" t="n"/>
      <c r="Q215" s="12" t="n"/>
      <c r="R215" s="12" t="n"/>
      <c r="S215" s="12" t="n"/>
      <c r="T215" s="12" t="n"/>
      <c r="U215" s="12" t="n"/>
      <c r="V215" s="12" t="n"/>
      <c r="W215" s="12" t="n"/>
      <c r="X215" s="12" t="n"/>
      <c r="Y215" s="12" t="n"/>
      <c r="Z215" s="12" t="n"/>
    </row>
    <row r="216" ht="12.75" customHeight="1" s="87">
      <c r="A216" s="25" t="n"/>
      <c r="B216" s="12" t="n"/>
      <c r="C216" s="12" t="n"/>
      <c r="D216" s="12" t="n"/>
      <c r="E216" s="12" t="n"/>
      <c r="F216" s="12" t="n"/>
      <c r="G216" s="12" t="n"/>
      <c r="H216" s="12" t="n"/>
      <c r="I216" s="12" t="n"/>
      <c r="J216" s="12" t="n"/>
      <c r="K216" s="12" t="n"/>
      <c r="L216" s="12" t="n"/>
      <c r="M216" s="12" t="n"/>
      <c r="N216" s="12" t="n"/>
      <c r="O216" s="12" t="n"/>
      <c r="P216" s="12" t="n"/>
      <c r="Q216" s="12" t="n"/>
      <c r="R216" s="12" t="n"/>
      <c r="S216" s="12" t="n"/>
      <c r="T216" s="12" t="n"/>
      <c r="U216" s="12" t="n"/>
      <c r="V216" s="12" t="n"/>
      <c r="W216" s="12" t="n"/>
      <c r="X216" s="12" t="n"/>
      <c r="Y216" s="12" t="n"/>
      <c r="Z216" s="12" t="n"/>
    </row>
    <row r="217" ht="12.75" customHeight="1" s="87">
      <c r="A217" s="25" t="n"/>
      <c r="B217" s="12" t="n"/>
      <c r="C217" s="12" t="n"/>
      <c r="D217" s="12" t="n"/>
      <c r="E217" s="12" t="n"/>
      <c r="F217" s="12" t="n"/>
      <c r="G217" s="12" t="n"/>
      <c r="H217" s="12" t="n"/>
      <c r="I217" s="12" t="n"/>
      <c r="J217" s="12" t="n"/>
      <c r="K217" s="12" t="n"/>
      <c r="L217" s="12" t="n"/>
      <c r="M217" s="12" t="n"/>
      <c r="N217" s="12" t="n"/>
      <c r="O217" s="12" t="n"/>
      <c r="P217" s="12" t="n"/>
      <c r="Q217" s="12" t="n"/>
      <c r="R217" s="12" t="n"/>
      <c r="S217" s="12" t="n"/>
      <c r="T217" s="12" t="n"/>
      <c r="U217" s="12" t="n"/>
      <c r="V217" s="12" t="n"/>
      <c r="W217" s="12" t="n"/>
      <c r="X217" s="12" t="n"/>
      <c r="Y217" s="12" t="n"/>
      <c r="Z217" s="12" t="n"/>
    </row>
    <row r="218" ht="12.75" customHeight="1" s="87">
      <c r="A218" s="25" t="n"/>
      <c r="B218" s="12" t="n"/>
      <c r="C218" s="12" t="n"/>
      <c r="D218" s="12" t="n"/>
      <c r="E218" s="12" t="n"/>
      <c r="F218" s="12" t="n"/>
      <c r="G218" s="12" t="n"/>
      <c r="H218" s="12" t="n"/>
      <c r="I218" s="12" t="n"/>
      <c r="J218" s="12" t="n"/>
      <c r="K218" s="12" t="n"/>
      <c r="L218" s="12" t="n"/>
      <c r="M218" s="12" t="n"/>
      <c r="N218" s="12" t="n"/>
      <c r="O218" s="12" t="n"/>
      <c r="P218" s="12" t="n"/>
      <c r="Q218" s="12" t="n"/>
      <c r="R218" s="12" t="n"/>
      <c r="S218" s="12" t="n"/>
      <c r="T218" s="12" t="n"/>
      <c r="U218" s="12" t="n"/>
      <c r="V218" s="12" t="n"/>
      <c r="W218" s="12" t="n"/>
      <c r="X218" s="12" t="n"/>
      <c r="Y218" s="12" t="n"/>
      <c r="Z218" s="12" t="n"/>
    </row>
    <row r="219" ht="12.75" customHeight="1" s="87">
      <c r="A219" s="25" t="n"/>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c r="Z219" s="12" t="n"/>
    </row>
    <row r="220" ht="12.75" customHeight="1" s="87">
      <c r="A220" s="25" t="n"/>
      <c r="B220" s="12" t="n"/>
      <c r="C220" s="12" t="n"/>
      <c r="D220" s="12"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2.75" customHeight="1" s="87">
      <c r="A221" s="25" t="n"/>
      <c r="B221" s="12" t="n"/>
      <c r="C221" s="12" t="n"/>
      <c r="D221" s="12"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2.75" customHeight="1" s="87">
      <c r="A222" s="25" t="n"/>
      <c r="B222" s="12" t="n"/>
      <c r="C222" s="12" t="n"/>
      <c r="D222" s="12"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2.75" customHeight="1" s="87">
      <c r="A223" s="25" t="n"/>
      <c r="B223" s="12" t="n"/>
      <c r="C223" s="12" t="n"/>
      <c r="D223" s="12"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2.75" customHeight="1" s="87">
      <c r="A224" s="25" t="n"/>
      <c r="B224" s="12" t="n"/>
      <c r="C224" s="12" t="n"/>
      <c r="D224" s="12"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2.75" customHeight="1" s="87">
      <c r="A225" s="25" t="n"/>
      <c r="B225" s="12" t="n"/>
      <c r="C225" s="12" t="n"/>
      <c r="D225" s="12"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2.75" customHeight="1" s="87">
      <c r="A226" s="25" t="n"/>
      <c r="B226" s="12" t="n"/>
      <c r="C226" s="12" t="n"/>
      <c r="D226" s="12"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2.75" customHeight="1" s="87">
      <c r="A227" s="25" t="n"/>
      <c r="B227" s="12" t="n"/>
      <c r="C227" s="12" t="n"/>
      <c r="D227" s="12"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2.75" customHeight="1" s="87">
      <c r="A228" s="25" t="n"/>
      <c r="B228" s="12" t="n"/>
      <c r="C228" s="12" t="n"/>
      <c r="D228" s="12"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2.75" customHeight="1" s="87">
      <c r="A229" s="25" t="n"/>
      <c r="B229" s="12" t="n"/>
      <c r="C229" s="12" t="n"/>
      <c r="D229" s="12"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2.75" customHeight="1" s="87">
      <c r="A230" s="25" t="n"/>
      <c r="B230" s="12" t="n"/>
      <c r="C230" s="12" t="n"/>
      <c r="D230" s="12"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2.75" customHeight="1" s="87">
      <c r="A231" s="25" t="n"/>
      <c r="B231" s="12" t="n"/>
      <c r="C231" s="12" t="n"/>
      <c r="D231" s="12"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2.75" customHeight="1" s="87">
      <c r="A232" s="25" t="n"/>
      <c r="B232" s="12" t="n"/>
      <c r="C232" s="12" t="n"/>
      <c r="D232" s="12"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2.75" customHeight="1" s="87">
      <c r="A233" s="25" t="n"/>
      <c r="B233" s="12" t="n"/>
      <c r="C233" s="12" t="n"/>
      <c r="D233" s="12"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2.75" customHeight="1" s="87">
      <c r="A234" s="25" t="n"/>
      <c r="B234" s="12" t="n"/>
      <c r="C234" s="12" t="n"/>
      <c r="D234" s="12"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2.75" customHeight="1" s="87">
      <c r="A235" s="25" t="n"/>
      <c r="B235" s="12" t="n"/>
      <c r="C235" s="12" t="n"/>
      <c r="D235" s="12"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2.75" customHeight="1" s="87">
      <c r="A236" s="25" t="n"/>
      <c r="B236" s="12" t="n"/>
      <c r="C236" s="12" t="n"/>
      <c r="D236" s="12"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2.75" customHeight="1" s="87">
      <c r="A237" s="25" t="n"/>
      <c r="B237" s="12" t="n"/>
      <c r="C237" s="12" t="n"/>
      <c r="D237" s="12"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2.75" customHeight="1" s="87">
      <c r="A238" s="25" t="n"/>
      <c r="B238" s="12" t="n"/>
      <c r="C238" s="12" t="n"/>
      <c r="D238" s="12"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2.75" customHeight="1" s="87">
      <c r="A239" s="25" t="n"/>
      <c r="B239" s="12" t="n"/>
      <c r="C239" s="12" t="n"/>
      <c r="D239" s="12"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2.75" customHeight="1" s="87">
      <c r="A240" s="25" t="n"/>
      <c r="B240" s="12" t="n"/>
      <c r="C240" s="12" t="n"/>
      <c r="D240" s="12"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2.75" customHeight="1" s="87">
      <c r="A241" s="25" t="n"/>
      <c r="B241" s="12" t="n"/>
      <c r="C241" s="12" t="n"/>
      <c r="D241" s="12"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2.75" customHeight="1" s="87">
      <c r="A242" s="25" t="n"/>
      <c r="B242" s="12" t="n"/>
      <c r="C242" s="12" t="n"/>
      <c r="D242" s="12"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2.75" customHeight="1" s="87">
      <c r="A243" s="25" t="n"/>
      <c r="B243" s="12" t="n"/>
      <c r="C243" s="12" t="n"/>
      <c r="D243" s="12"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2.75" customHeight="1" s="87">
      <c r="A244" s="25" t="n"/>
      <c r="B244" s="12" t="n"/>
      <c r="C244" s="12" t="n"/>
      <c r="D244" s="12"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2.75" customHeight="1" s="87">
      <c r="A245" s="25" t="n"/>
      <c r="B245" s="12" t="n"/>
      <c r="C245" s="12" t="n"/>
      <c r="D245" s="12"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2.75" customHeight="1" s="87">
      <c r="A246" s="25" t="n"/>
      <c r="B246" s="12" t="n"/>
      <c r="C246" s="12" t="n"/>
      <c r="D246" s="12"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2.75" customHeight="1" s="87">
      <c r="A247" s="25" t="n"/>
      <c r="B247" s="12" t="n"/>
      <c r="C247" s="12" t="n"/>
      <c r="D247" s="12"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2.75" customHeight="1" s="87">
      <c r="A248" s="25" t="n"/>
      <c r="B248" s="12" t="n"/>
      <c r="C248" s="12" t="n"/>
      <c r="D248" s="12"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2.75" customHeight="1" s="87">
      <c r="A249" s="25" t="n"/>
      <c r="B249" s="12" t="n"/>
      <c r="C249" s="12" t="n"/>
      <c r="D249" s="12"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2.75" customHeight="1" s="87">
      <c r="A250" s="25" t="n"/>
      <c r="B250" s="12" t="n"/>
      <c r="C250" s="12" t="n"/>
      <c r="D250" s="12"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2.75" customHeight="1" s="87">
      <c r="A251" s="25" t="n"/>
      <c r="B251" s="12" t="n"/>
      <c r="C251" s="12" t="n"/>
      <c r="D251" s="12"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2.75" customHeight="1" s="87">
      <c r="A252" s="25" t="n"/>
      <c r="B252" s="12" t="n"/>
      <c r="C252" s="12" t="n"/>
      <c r="D252" s="12"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2.75" customHeight="1" s="87">
      <c r="A253" s="25" t="n"/>
      <c r="B253" s="12" t="n"/>
      <c r="C253" s="12" t="n"/>
      <c r="D253" s="12"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2.75" customHeight="1" s="87">
      <c r="A254" s="25" t="n"/>
      <c r="B254" s="12" t="n"/>
      <c r="C254" s="12" t="n"/>
      <c r="D254" s="12"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2.75" customHeight="1" s="87">
      <c r="A255" s="25" t="n"/>
      <c r="B255" s="12" t="n"/>
      <c r="C255" s="12" t="n"/>
      <c r="D255" s="12"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2.75" customHeight="1" s="87">
      <c r="A256" s="25" t="n"/>
      <c r="B256" s="12" t="n"/>
      <c r="C256" s="12" t="n"/>
      <c r="D256" s="12"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2.75" customHeight="1" s="87">
      <c r="A257" s="25" t="n"/>
      <c r="B257" s="12" t="n"/>
      <c r="C257" s="12" t="n"/>
      <c r="D257" s="12"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2.75" customHeight="1" s="87">
      <c r="A258" s="25" t="n"/>
      <c r="B258" s="12" t="n"/>
      <c r="C258" s="12" t="n"/>
      <c r="D258" s="12"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2.75" customHeight="1" s="87">
      <c r="A259" s="25" t="n"/>
      <c r="B259" s="12" t="n"/>
      <c r="C259" s="12" t="n"/>
      <c r="D259" s="12"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2.75" customHeight="1" s="87">
      <c r="A260" s="25" t="n"/>
      <c r="B260" s="12" t="n"/>
      <c r="C260" s="12" t="n"/>
      <c r="D260" s="12"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2.75" customHeight="1" s="87">
      <c r="A261" s="25" t="n"/>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2.75" customHeight="1" s="87">
      <c r="A262" s="25" t="n"/>
      <c r="B262" s="12" t="n"/>
      <c r="C262" s="12" t="n"/>
      <c r="D262" s="12"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2.75" customHeight="1" s="87">
      <c r="A263" s="25" t="n"/>
      <c r="B263" s="12" t="n"/>
      <c r="C263" s="12" t="n"/>
      <c r="D263" s="12"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2.75" customHeight="1" s="87">
      <c r="A264" s="25" t="n"/>
      <c r="B264" s="12" t="n"/>
      <c r="C264" s="12" t="n"/>
      <c r="D264" s="12"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2.75" customHeight="1" s="87">
      <c r="A265" s="25" t="n"/>
      <c r="B265" s="12" t="n"/>
      <c r="C265" s="12" t="n"/>
      <c r="D265" s="12"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2.75" customHeight="1" s="87">
      <c r="A266" s="25" t="n"/>
      <c r="B266" s="12" t="n"/>
      <c r="C266" s="12" t="n"/>
      <c r="D266" s="12"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2.75" customHeight="1" s="87">
      <c r="A267" s="25" t="n"/>
      <c r="B267" s="12" t="n"/>
      <c r="C267" s="12" t="n"/>
      <c r="D267" s="12"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2.75" customHeight="1" s="87">
      <c r="A268" s="25" t="n"/>
      <c r="B268" s="12" t="n"/>
      <c r="C268" s="12" t="n"/>
      <c r="D268" s="12"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2.75" customHeight="1" s="87">
      <c r="A269" s="25" t="n"/>
      <c r="B269" s="12" t="n"/>
      <c r="C269" s="12" t="n"/>
      <c r="D269" s="12"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2.75" customHeight="1" s="87">
      <c r="A270" s="25" t="n"/>
      <c r="B270" s="12" t="n"/>
      <c r="C270" s="12" t="n"/>
      <c r="D270" s="12"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2.75" customHeight="1" s="87">
      <c r="A271" s="25" t="n"/>
      <c r="B271" s="12" t="n"/>
      <c r="C271" s="12" t="n"/>
      <c r="D271" s="12"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2.75" customHeight="1" s="87">
      <c r="A272" s="25" t="n"/>
      <c r="B272" s="12" t="n"/>
      <c r="C272" s="12" t="n"/>
      <c r="D272" s="12"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2.75" customHeight="1" s="87">
      <c r="A273" s="25" t="n"/>
      <c r="B273" s="12" t="n"/>
      <c r="C273" s="12" t="n"/>
      <c r="D273" s="12"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2.75" customHeight="1" s="87">
      <c r="A274" s="25" t="n"/>
      <c r="B274" s="12" t="n"/>
      <c r="C274" s="12" t="n"/>
      <c r="D274" s="12"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2.75" customHeight="1" s="87">
      <c r="A275" s="25" t="n"/>
      <c r="B275" s="12" t="n"/>
      <c r="C275" s="12" t="n"/>
      <c r="D275" s="12"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2.75" customHeight="1" s="87">
      <c r="A276" s="25" t="n"/>
      <c r="B276" s="12" t="n"/>
      <c r="C276" s="12" t="n"/>
      <c r="D276" s="12"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2.75" customHeight="1" s="87">
      <c r="A277" s="25" t="n"/>
      <c r="B277" s="12" t="n"/>
      <c r="C277" s="12" t="n"/>
      <c r="D277" s="12"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2.75" customHeight="1" s="87">
      <c r="A278" s="25" t="n"/>
      <c r="B278" s="12" t="n"/>
      <c r="C278" s="12" t="n"/>
      <c r="D278" s="12"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2.75" customHeight="1" s="87">
      <c r="A279" s="25" t="n"/>
      <c r="B279" s="12" t="n"/>
      <c r="C279" s="12" t="n"/>
      <c r="D279" s="12"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2.75" customHeight="1" s="87">
      <c r="A280" s="25" t="n"/>
      <c r="B280" s="12" t="n"/>
      <c r="C280" s="12" t="n"/>
      <c r="D280" s="12"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2.75" customHeight="1" s="87">
      <c r="A281" s="25" t="n"/>
      <c r="B281" s="12" t="n"/>
      <c r="C281" s="12" t="n"/>
      <c r="D281" s="12"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2.75" customHeight="1" s="87">
      <c r="A282" s="25" t="n"/>
      <c r="B282" s="12" t="n"/>
      <c r="C282" s="12" t="n"/>
      <c r="D282" s="12"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2.75" customHeight="1" s="87">
      <c r="A283" s="25" t="n"/>
      <c r="B283" s="12" t="n"/>
      <c r="C283" s="12" t="n"/>
      <c r="D283" s="12"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2.75" customHeight="1" s="87">
      <c r="A284" s="25" t="n"/>
      <c r="B284" s="12" t="n"/>
      <c r="C284" s="12" t="n"/>
      <c r="D284" s="12"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2.75" customHeight="1" s="87">
      <c r="A285" s="25" t="n"/>
      <c r="B285" s="12" t="n"/>
      <c r="C285" s="12" t="n"/>
      <c r="D285" s="12"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2.75" customHeight="1" s="87">
      <c r="A286" s="25" t="n"/>
      <c r="B286" s="12" t="n"/>
      <c r="C286" s="12" t="n"/>
      <c r="D286" s="12"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2.75" customHeight="1" s="87">
      <c r="A287" s="25" t="n"/>
      <c r="B287" s="12" t="n"/>
      <c r="C287" s="12" t="n"/>
      <c r="D287" s="12"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2.75" customHeight="1" s="87">
      <c r="A288" s="25" t="n"/>
      <c r="B288" s="12" t="n"/>
      <c r="C288" s="12" t="n"/>
      <c r="D288" s="12"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2.75" customHeight="1" s="87">
      <c r="A289" s="25" t="n"/>
      <c r="B289" s="12" t="n"/>
      <c r="C289" s="12" t="n"/>
      <c r="D289" s="12"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2.75" customHeight="1" s="87">
      <c r="A290" s="25" t="n"/>
      <c r="B290" s="12" t="n"/>
      <c r="C290" s="12" t="n"/>
      <c r="D290" s="12"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2.75" customHeight="1" s="87">
      <c r="A291" s="25" t="n"/>
      <c r="B291" s="12" t="n"/>
      <c r="C291" s="12" t="n"/>
      <c r="D291" s="12"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2.75" customHeight="1" s="87">
      <c r="A292" s="25" t="n"/>
      <c r="B292" s="12" t="n"/>
      <c r="C292" s="12" t="n"/>
      <c r="D292" s="12"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2.75" customHeight="1" s="87">
      <c r="A293" s="25" t="n"/>
      <c r="B293" s="12" t="n"/>
      <c r="C293" s="12" t="n"/>
      <c r="D293" s="12"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2.75" customHeight="1" s="87">
      <c r="A294" s="25" t="n"/>
      <c r="B294" s="12" t="n"/>
      <c r="C294" s="12" t="n"/>
      <c r="D294" s="12"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2.75" customHeight="1" s="87">
      <c r="A295" s="25" t="n"/>
      <c r="B295" s="12" t="n"/>
      <c r="C295" s="12" t="n"/>
      <c r="D295" s="12"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2.75" customHeight="1" s="87">
      <c r="A296" s="25" t="n"/>
      <c r="B296" s="12" t="n"/>
      <c r="C296" s="12" t="n"/>
      <c r="D296" s="12"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2.75" customHeight="1" s="87">
      <c r="A297" s="25" t="n"/>
      <c r="B297" s="12" t="n"/>
      <c r="C297" s="12" t="n"/>
      <c r="D297" s="12"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2.75" customHeight="1" s="87">
      <c r="A298" s="25" t="n"/>
      <c r="B298" s="12" t="n"/>
      <c r="C298" s="12" t="n"/>
      <c r="D298" s="12"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2.75" customHeight="1" s="87">
      <c r="A299" s="25" t="n"/>
      <c r="B299" s="12" t="n"/>
      <c r="C299" s="12" t="n"/>
      <c r="D299" s="12"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2.75" customHeight="1" s="87">
      <c r="A300" s="25" t="n"/>
      <c r="B300" s="12" t="n"/>
      <c r="C300" s="12" t="n"/>
      <c r="D300" s="12"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2.75" customHeight="1" s="87">
      <c r="A301" s="25" t="n"/>
      <c r="B301" s="12" t="n"/>
      <c r="C301" s="12" t="n"/>
      <c r="D301" s="12"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2.75" customHeight="1" s="87">
      <c r="A302" s="25" t="n"/>
      <c r="B302" s="12" t="n"/>
      <c r="C302" s="12" t="n"/>
      <c r="D302" s="12"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2.75" customHeight="1" s="87">
      <c r="A303" s="25" t="n"/>
      <c r="B303" s="12" t="n"/>
      <c r="C303" s="12" t="n"/>
      <c r="D303" s="12"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2.75" customHeight="1" s="87">
      <c r="A304" s="25" t="n"/>
      <c r="B304" s="12" t="n"/>
      <c r="C304" s="12" t="n"/>
      <c r="D304" s="12"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2.75" customHeight="1" s="87">
      <c r="A305" s="25" t="n"/>
      <c r="B305" s="12" t="n"/>
      <c r="C305" s="12" t="n"/>
      <c r="D305" s="12"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2.75" customHeight="1" s="87">
      <c r="A306" s="25" t="n"/>
      <c r="B306" s="12" t="n"/>
      <c r="C306" s="12" t="n"/>
      <c r="D306" s="12"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2.75" customHeight="1" s="87">
      <c r="A307" s="25" t="n"/>
      <c r="B307" s="12" t="n"/>
      <c r="C307" s="12" t="n"/>
      <c r="D307" s="12"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2.75" customHeight="1" s="87">
      <c r="A308" s="25" t="n"/>
      <c r="B308" s="12" t="n"/>
      <c r="C308" s="12" t="n"/>
      <c r="D308" s="12"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2.75" customHeight="1" s="87">
      <c r="A309" s="25" t="n"/>
      <c r="B309" s="12" t="n"/>
      <c r="C309" s="12" t="n"/>
      <c r="D309" s="12"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2.75" customHeight="1" s="87">
      <c r="A310" s="25" t="n"/>
      <c r="B310" s="12" t="n"/>
      <c r="C310" s="12" t="n"/>
      <c r="D310" s="12"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2.75" customHeight="1" s="87">
      <c r="A311" s="25" t="n"/>
      <c r="B311" s="12" t="n"/>
      <c r="C311" s="12" t="n"/>
      <c r="D311" s="12"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2.75" customHeight="1" s="87">
      <c r="A312" s="25" t="n"/>
      <c r="B312" s="12" t="n"/>
      <c r="C312" s="12" t="n"/>
      <c r="D312" s="12"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2.75" customHeight="1" s="87">
      <c r="A313" s="25" t="n"/>
      <c r="B313" s="12" t="n"/>
      <c r="C313" s="12" t="n"/>
      <c r="D313" s="12"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2.75" customHeight="1" s="87">
      <c r="A314" s="25" t="n"/>
      <c r="B314" s="12" t="n"/>
      <c r="C314" s="12" t="n"/>
      <c r="D314" s="12"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2.75" customHeight="1" s="87">
      <c r="A315" s="25" t="n"/>
      <c r="B315" s="12" t="n"/>
      <c r="C315" s="12" t="n"/>
      <c r="D315" s="12"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2.75" customHeight="1" s="87">
      <c r="A316" s="25" t="n"/>
      <c r="B316" s="12" t="n"/>
      <c r="C316" s="12" t="n"/>
      <c r="D316" s="12"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2.75" customHeight="1" s="87">
      <c r="A317" s="25" t="n"/>
      <c r="B317" s="12" t="n"/>
      <c r="C317" s="12" t="n"/>
      <c r="D317" s="12"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2.75" customHeight="1" s="87">
      <c r="A318" s="25" t="n"/>
      <c r="B318" s="12" t="n"/>
      <c r="C318" s="12" t="n"/>
      <c r="D318" s="12"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2.75" customHeight="1" s="87">
      <c r="A319" s="25" t="n"/>
      <c r="B319" s="12" t="n"/>
      <c r="C319" s="12" t="n"/>
      <c r="D319" s="12"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2.75" customHeight="1" s="87">
      <c r="A320" s="25" t="n"/>
      <c r="B320" s="12" t="n"/>
      <c r="C320" s="12" t="n"/>
      <c r="D320" s="12"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2.75" customHeight="1" s="87">
      <c r="A321" s="25" t="n"/>
      <c r="B321" s="12" t="n"/>
      <c r="C321" s="12" t="n"/>
      <c r="D321" s="12"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2.75" customHeight="1" s="87">
      <c r="A322" s="25" t="n"/>
      <c r="B322" s="12" t="n"/>
      <c r="C322" s="12" t="n"/>
      <c r="D322" s="12"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2.75" customHeight="1" s="87">
      <c r="A323" s="25" t="n"/>
      <c r="B323" s="12" t="n"/>
      <c r="C323" s="12" t="n"/>
      <c r="D323" s="12"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2.75" customHeight="1" s="87">
      <c r="A324" s="25" t="n"/>
      <c r="B324" s="12" t="n"/>
      <c r="C324" s="12" t="n"/>
      <c r="D324" s="12"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2.75" customHeight="1" s="87">
      <c r="A325" s="25" t="n"/>
      <c r="B325" s="12" t="n"/>
      <c r="C325" s="12" t="n"/>
      <c r="D325" s="12"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2.75" customHeight="1" s="87">
      <c r="A326" s="25" t="n"/>
      <c r="B326" s="12" t="n"/>
      <c r="C326" s="12" t="n"/>
      <c r="D326" s="12"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2.75" customHeight="1" s="87">
      <c r="A327" s="25" t="n"/>
      <c r="B327" s="12" t="n"/>
      <c r="C327" s="12" t="n"/>
      <c r="D327" s="12"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2.75" customHeight="1" s="87">
      <c r="A328" s="25" t="n"/>
      <c r="B328" s="12" t="n"/>
      <c r="C328" s="12" t="n"/>
      <c r="D328" s="12"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2.75" customHeight="1" s="87">
      <c r="A329" s="25" t="n"/>
      <c r="B329" s="12" t="n"/>
      <c r="C329" s="12" t="n"/>
      <c r="D329" s="12"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2.75" customHeight="1" s="87">
      <c r="A330" s="25" t="n"/>
      <c r="B330" s="12" t="n"/>
      <c r="C330" s="12" t="n"/>
      <c r="D330" s="12"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2.75" customHeight="1" s="87">
      <c r="A331" s="25" t="n"/>
      <c r="B331" s="12" t="n"/>
      <c r="C331" s="12" t="n"/>
      <c r="D331" s="12"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2.75" customHeight="1" s="87">
      <c r="A332" s="25" t="n"/>
      <c r="B332" s="12" t="n"/>
      <c r="C332" s="12" t="n"/>
      <c r="D332" s="12"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2.75" customHeight="1" s="87">
      <c r="A333" s="25" t="n"/>
      <c r="B333" s="12" t="n"/>
      <c r="C333" s="12" t="n"/>
      <c r="D333" s="12"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2.75" customHeight="1" s="87">
      <c r="A334" s="25" t="n"/>
      <c r="B334" s="12" t="n"/>
      <c r="C334" s="12" t="n"/>
      <c r="D334" s="12"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2.75" customHeight="1" s="87">
      <c r="A335" s="25" t="n"/>
      <c r="B335" s="12" t="n"/>
      <c r="C335" s="12" t="n"/>
      <c r="D335" s="12"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2.75" customHeight="1" s="87">
      <c r="A336" s="25" t="n"/>
      <c r="B336" s="12" t="n"/>
      <c r="C336" s="12" t="n"/>
      <c r="D336" s="12"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2.75" customHeight="1" s="87">
      <c r="A337" s="25" t="n"/>
      <c r="B337" s="12" t="n"/>
      <c r="C337" s="12" t="n"/>
      <c r="D337" s="12"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2.75" customHeight="1" s="87">
      <c r="A338" s="25" t="n"/>
      <c r="B338" s="12" t="n"/>
      <c r="C338" s="12" t="n"/>
      <c r="D338" s="12"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2.75" customHeight="1" s="87">
      <c r="A339" s="25" t="n"/>
      <c r="B339" s="12" t="n"/>
      <c r="C339" s="12" t="n"/>
      <c r="D339" s="12"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2.75" customHeight="1" s="87">
      <c r="A340" s="25" t="n"/>
      <c r="B340" s="12" t="n"/>
      <c r="C340" s="12" t="n"/>
      <c r="D340" s="12"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2.75" customHeight="1" s="87">
      <c r="A341" s="25" t="n"/>
      <c r="B341" s="12" t="n"/>
      <c r="C341" s="12" t="n"/>
      <c r="D341" s="12"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2.75" customHeight="1" s="87">
      <c r="A342" s="25" t="n"/>
      <c r="B342" s="12" t="n"/>
      <c r="C342" s="12" t="n"/>
      <c r="D342" s="12"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2.75" customHeight="1" s="87">
      <c r="A343" s="25" t="n"/>
      <c r="B343" s="12" t="n"/>
      <c r="C343" s="12" t="n"/>
      <c r="D343" s="12"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2.75" customHeight="1" s="87">
      <c r="A344" s="25" t="n"/>
      <c r="B344" s="12" t="n"/>
      <c r="C344" s="12" t="n"/>
      <c r="D344" s="12"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2.75" customHeight="1" s="87">
      <c r="A345" s="25" t="n"/>
      <c r="B345" s="12" t="n"/>
      <c r="C345" s="12" t="n"/>
      <c r="D345" s="12"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2.75" customHeight="1" s="87">
      <c r="A346" s="25" t="n"/>
      <c r="B346" s="12" t="n"/>
      <c r="C346" s="12" t="n"/>
      <c r="D346" s="12"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2.75" customHeight="1" s="87">
      <c r="A347" s="25" t="n"/>
      <c r="B347" s="12" t="n"/>
      <c r="C347" s="12" t="n"/>
      <c r="D347" s="12"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2.75" customHeight="1" s="87">
      <c r="A348" s="25" t="n"/>
      <c r="B348" s="12" t="n"/>
      <c r="C348" s="12" t="n"/>
      <c r="D348" s="12"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2.75" customHeight="1" s="87">
      <c r="A349" s="25" t="n"/>
      <c r="B349" s="12" t="n"/>
      <c r="C349" s="12" t="n"/>
      <c r="D349" s="12"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2.75" customHeight="1" s="87">
      <c r="A350" s="25" t="n"/>
      <c r="B350" s="12" t="n"/>
      <c r="C350" s="12" t="n"/>
      <c r="D350" s="12"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2.75" customHeight="1" s="87">
      <c r="A351" s="25" t="n"/>
      <c r="B351" s="12" t="n"/>
      <c r="C351" s="12" t="n"/>
      <c r="D351" s="12"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2.75" customHeight="1" s="87">
      <c r="A352" s="25" t="n"/>
      <c r="B352" s="12" t="n"/>
      <c r="C352" s="12" t="n"/>
      <c r="D352" s="12"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2.75" customHeight="1" s="87">
      <c r="A353" s="25" t="n"/>
      <c r="B353" s="12" t="n"/>
      <c r="C353" s="12" t="n"/>
      <c r="D353" s="12"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2.75" customHeight="1" s="87">
      <c r="A354" s="25" t="n"/>
      <c r="B354" s="12" t="n"/>
      <c r="C354" s="12" t="n"/>
      <c r="D354" s="12"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2.75" customHeight="1" s="87">
      <c r="A355" s="25" t="n"/>
      <c r="B355" s="12" t="n"/>
      <c r="C355" s="12" t="n"/>
      <c r="D355" s="12"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2.75" customHeight="1" s="87">
      <c r="A356" s="25" t="n"/>
      <c r="B356" s="12" t="n"/>
      <c r="C356" s="12" t="n"/>
      <c r="D356" s="12"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2.75" customHeight="1" s="87">
      <c r="A357" s="25" t="n"/>
      <c r="B357" s="12" t="n"/>
      <c r="C357" s="12" t="n"/>
      <c r="D357" s="12"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2.75" customHeight="1" s="87">
      <c r="A358" s="25" t="n"/>
      <c r="B358" s="12" t="n"/>
      <c r="C358" s="12" t="n"/>
      <c r="D358" s="12"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2.75" customHeight="1" s="87">
      <c r="A359" s="25" t="n"/>
      <c r="B359" s="12" t="n"/>
      <c r="C359" s="12" t="n"/>
      <c r="D359" s="12"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2.75" customHeight="1" s="87">
      <c r="A360" s="25" t="n"/>
      <c r="B360" s="12" t="n"/>
      <c r="C360" s="12" t="n"/>
      <c r="D360" s="12"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2.75" customHeight="1" s="87">
      <c r="A361" s="25" t="n"/>
      <c r="B361" s="12" t="n"/>
      <c r="C361" s="12" t="n"/>
      <c r="D361" s="12"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2.75" customHeight="1" s="87">
      <c r="A362" s="25" t="n"/>
      <c r="B362" s="12" t="n"/>
      <c r="C362" s="12" t="n"/>
      <c r="D362" s="12"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2.75" customHeight="1" s="87">
      <c r="A363" s="25" t="n"/>
      <c r="B363" s="12" t="n"/>
      <c r="C363" s="12" t="n"/>
      <c r="D363" s="12"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2.75" customHeight="1" s="87">
      <c r="A364" s="25" t="n"/>
      <c r="B364" s="12" t="n"/>
      <c r="C364" s="12" t="n"/>
      <c r="D364" s="12"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2.75" customHeight="1" s="87">
      <c r="A365" s="25" t="n"/>
      <c r="B365" s="12" t="n"/>
      <c r="C365" s="12" t="n"/>
      <c r="D365" s="12"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2.75" customHeight="1" s="87">
      <c r="A366" s="25" t="n"/>
      <c r="B366" s="12" t="n"/>
      <c r="C366" s="12" t="n"/>
      <c r="D366" s="12"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2.75" customHeight="1" s="87">
      <c r="A367" s="25" t="n"/>
      <c r="B367" s="12" t="n"/>
      <c r="C367" s="12" t="n"/>
      <c r="D367" s="12"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2.75" customHeight="1" s="87">
      <c r="A368" s="25" t="n"/>
      <c r="B368" s="12" t="n"/>
      <c r="C368" s="12" t="n"/>
      <c r="D368" s="12"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2.75" customHeight="1" s="87">
      <c r="A369" s="25" t="n"/>
      <c r="B369" s="12" t="n"/>
      <c r="C369" s="12" t="n"/>
      <c r="D369" s="12"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2.75" customHeight="1" s="87">
      <c r="A370" s="25" t="n"/>
      <c r="B370" s="12" t="n"/>
      <c r="C370" s="12" t="n"/>
      <c r="D370" s="12"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2.75" customHeight="1" s="87">
      <c r="A371" s="25" t="n"/>
      <c r="B371" s="12" t="n"/>
      <c r="C371" s="12" t="n"/>
      <c r="D371" s="12"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2.75" customHeight="1" s="87">
      <c r="A372" s="25" t="n"/>
      <c r="B372" s="12" t="n"/>
      <c r="C372" s="12" t="n"/>
      <c r="D372" s="12"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2.75" customHeight="1" s="87">
      <c r="A373" s="25" t="n"/>
      <c r="B373" s="12" t="n"/>
      <c r="C373" s="12" t="n"/>
      <c r="D373" s="12"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2.75" customHeight="1" s="87">
      <c r="A374" s="25" t="n"/>
      <c r="B374" s="12" t="n"/>
      <c r="C374" s="12" t="n"/>
      <c r="D374" s="12"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2.75" customHeight="1" s="87">
      <c r="A375" s="25" t="n"/>
      <c r="B375" s="12" t="n"/>
      <c r="C375" s="12" t="n"/>
      <c r="D375" s="12"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2.75" customHeight="1" s="87">
      <c r="A376" s="25" t="n"/>
      <c r="B376" s="12" t="n"/>
      <c r="C376" s="12" t="n"/>
      <c r="D376" s="12"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2.75" customHeight="1" s="87">
      <c r="A377" s="25" t="n"/>
      <c r="B377" s="12" t="n"/>
      <c r="C377" s="12" t="n"/>
      <c r="D377" s="12"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2.75" customHeight="1" s="87">
      <c r="A378" s="25" t="n"/>
      <c r="B378" s="12" t="n"/>
      <c r="C378" s="12" t="n"/>
      <c r="D378" s="12"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2.75" customHeight="1" s="87">
      <c r="A379" s="25" t="n"/>
      <c r="B379" s="12" t="n"/>
      <c r="C379" s="12" t="n"/>
      <c r="D379" s="12"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2.75" customHeight="1" s="87">
      <c r="A380" s="25" t="n"/>
      <c r="B380" s="12" t="n"/>
      <c r="C380" s="12" t="n"/>
      <c r="D380" s="12"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2.75" customHeight="1" s="87">
      <c r="A381" s="25" t="n"/>
      <c r="B381" s="12" t="n"/>
      <c r="C381" s="12" t="n"/>
      <c r="D381" s="12"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2.75" customHeight="1" s="87">
      <c r="A382" s="25" t="n"/>
      <c r="B382" s="12" t="n"/>
      <c r="C382" s="12" t="n"/>
      <c r="D382" s="12"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2.75" customHeight="1" s="87">
      <c r="A383" s="25" t="n"/>
      <c r="B383" s="12" t="n"/>
      <c r="C383" s="12" t="n"/>
      <c r="D383" s="12"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2.75" customHeight="1" s="87">
      <c r="A384" s="25" t="n"/>
      <c r="B384" s="12" t="n"/>
      <c r="C384" s="12" t="n"/>
      <c r="D384" s="12"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2.75" customHeight="1" s="87">
      <c r="A385" s="25" t="n"/>
      <c r="B385" s="12" t="n"/>
      <c r="C385" s="12" t="n"/>
      <c r="D385" s="12"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2.75" customHeight="1" s="87">
      <c r="A386" s="25" t="n"/>
      <c r="B386" s="12" t="n"/>
      <c r="C386" s="12" t="n"/>
      <c r="D386" s="12"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2.75" customHeight="1" s="87">
      <c r="A387" s="25" t="n"/>
      <c r="B387" s="12" t="n"/>
      <c r="C387" s="12" t="n"/>
      <c r="D387" s="12"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2.75" customHeight="1" s="87">
      <c r="A388" s="25" t="n"/>
      <c r="B388" s="12" t="n"/>
      <c r="C388" s="12" t="n"/>
      <c r="D388" s="12"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2.75" customHeight="1" s="87">
      <c r="A389" s="25" t="n"/>
      <c r="B389" s="12" t="n"/>
      <c r="C389" s="12" t="n"/>
      <c r="D389" s="12"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2.75" customHeight="1" s="87">
      <c r="A390" s="25" t="n"/>
      <c r="B390" s="12" t="n"/>
      <c r="C390" s="12" t="n"/>
      <c r="D390" s="12"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2.75" customHeight="1" s="87">
      <c r="A391" s="25" t="n"/>
      <c r="B391" s="12" t="n"/>
      <c r="C391" s="12" t="n"/>
      <c r="D391" s="12"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2.75" customHeight="1" s="87">
      <c r="A392" s="25" t="n"/>
      <c r="B392" s="12" t="n"/>
      <c r="C392" s="12" t="n"/>
      <c r="D392" s="12"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2.75" customHeight="1" s="87">
      <c r="A393" s="25" t="n"/>
      <c r="B393" s="12" t="n"/>
      <c r="C393" s="12" t="n"/>
      <c r="D393" s="12"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2.75" customHeight="1" s="87">
      <c r="A394" s="25" t="n"/>
      <c r="B394" s="12" t="n"/>
      <c r="C394" s="12" t="n"/>
      <c r="D394" s="12"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2.75" customHeight="1" s="87">
      <c r="A395" s="25" t="n"/>
      <c r="B395" s="12" t="n"/>
      <c r="C395" s="12" t="n"/>
      <c r="D395" s="12"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2.75" customHeight="1" s="87">
      <c r="A396" s="25" t="n"/>
      <c r="B396" s="12" t="n"/>
      <c r="C396" s="12" t="n"/>
      <c r="D396" s="12"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2.75" customHeight="1" s="87">
      <c r="A397" s="25" t="n"/>
      <c r="B397" s="12" t="n"/>
      <c r="C397" s="12" t="n"/>
      <c r="D397" s="12"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2.75" customHeight="1" s="87">
      <c r="A398" s="25" t="n"/>
      <c r="B398" s="12" t="n"/>
      <c r="C398" s="12" t="n"/>
      <c r="D398" s="12"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2.75" customHeight="1" s="87">
      <c r="A399" s="25" t="n"/>
      <c r="B399" s="12" t="n"/>
      <c r="C399" s="12" t="n"/>
      <c r="D399" s="12"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2.75" customHeight="1" s="87">
      <c r="A400" s="25" t="n"/>
      <c r="B400" s="12" t="n"/>
      <c r="C400" s="12" t="n"/>
      <c r="D400" s="12"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2.75" customHeight="1" s="87">
      <c r="A401" s="25" t="n"/>
      <c r="B401" s="12" t="n"/>
      <c r="C401" s="12" t="n"/>
      <c r="D401" s="12"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2.75" customHeight="1" s="87">
      <c r="A402" s="25" t="n"/>
      <c r="B402" s="12" t="n"/>
      <c r="C402" s="12" t="n"/>
      <c r="D402" s="12"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2.75" customHeight="1" s="87">
      <c r="A403" s="25" t="n"/>
      <c r="B403" s="12" t="n"/>
      <c r="C403" s="12" t="n"/>
      <c r="D403" s="12"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2.75" customHeight="1" s="87">
      <c r="A404" s="25" t="n"/>
      <c r="B404" s="12" t="n"/>
      <c r="C404" s="12" t="n"/>
      <c r="D404" s="12"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2.75" customHeight="1" s="87">
      <c r="A405" s="25" t="n"/>
      <c r="B405" s="12" t="n"/>
      <c r="C405" s="12" t="n"/>
      <c r="D405" s="12"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2.75" customHeight="1" s="87">
      <c r="A406" s="25" t="n"/>
      <c r="B406" s="12" t="n"/>
      <c r="C406" s="12" t="n"/>
      <c r="D406" s="12"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2.75" customHeight="1" s="87">
      <c r="A407" s="25" t="n"/>
      <c r="B407" s="12" t="n"/>
      <c r="C407" s="12" t="n"/>
      <c r="D407" s="12"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2.75" customHeight="1" s="87">
      <c r="A408" s="25" t="n"/>
      <c r="B408" s="12" t="n"/>
      <c r="C408" s="12" t="n"/>
      <c r="D408" s="12"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2.75" customHeight="1" s="87">
      <c r="A409" s="25" t="n"/>
      <c r="B409" s="12" t="n"/>
      <c r="C409" s="12" t="n"/>
      <c r="D409" s="12"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2.75" customHeight="1" s="87">
      <c r="A410" s="25" t="n"/>
      <c r="B410" s="12" t="n"/>
      <c r="C410" s="12" t="n"/>
      <c r="D410" s="12"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2.75" customHeight="1" s="87">
      <c r="A411" s="25" t="n"/>
      <c r="B411" s="12" t="n"/>
      <c r="C411" s="12" t="n"/>
      <c r="D411" s="12"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2.75" customHeight="1" s="87">
      <c r="A412" s="25" t="n"/>
      <c r="B412" s="12" t="n"/>
      <c r="C412" s="12" t="n"/>
      <c r="D412" s="12"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2.75" customHeight="1" s="87">
      <c r="A413" s="25" t="n"/>
      <c r="B413" s="12" t="n"/>
      <c r="C413" s="12" t="n"/>
      <c r="D413" s="12"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2.75" customHeight="1" s="87">
      <c r="A414" s="25" t="n"/>
      <c r="B414" s="12" t="n"/>
      <c r="C414" s="12" t="n"/>
      <c r="D414" s="12"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2.75" customHeight="1" s="87">
      <c r="A415" s="25" t="n"/>
      <c r="B415" s="12" t="n"/>
      <c r="C415" s="12" t="n"/>
      <c r="D415" s="12"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2.75" customHeight="1" s="87">
      <c r="A416" s="25" t="n"/>
      <c r="B416" s="12" t="n"/>
      <c r="C416" s="12" t="n"/>
      <c r="D416" s="12"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2.75" customHeight="1" s="87">
      <c r="A417" s="25" t="n"/>
      <c r="B417" s="12" t="n"/>
      <c r="C417" s="12" t="n"/>
      <c r="D417" s="12"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2.75" customHeight="1" s="87">
      <c r="A418" s="25" t="n"/>
      <c r="B418" s="12" t="n"/>
      <c r="C418" s="12" t="n"/>
      <c r="D418" s="12"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2.75" customHeight="1" s="87">
      <c r="A419" s="25" t="n"/>
      <c r="B419" s="12" t="n"/>
      <c r="C419" s="12" t="n"/>
      <c r="D419" s="12"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2.75" customHeight="1" s="87">
      <c r="A420" s="25" t="n"/>
      <c r="B420" s="12" t="n"/>
      <c r="C420" s="12" t="n"/>
      <c r="D420" s="12"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2.75" customHeight="1" s="87">
      <c r="A421" s="25" t="n"/>
      <c r="B421" s="12" t="n"/>
      <c r="C421" s="12" t="n"/>
      <c r="D421" s="12"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2.75" customHeight="1" s="87">
      <c r="A422" s="25" t="n"/>
      <c r="B422" s="12" t="n"/>
      <c r="C422" s="12" t="n"/>
      <c r="D422" s="12"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2.75" customHeight="1" s="87">
      <c r="A423" s="25" t="n"/>
      <c r="B423" s="12" t="n"/>
      <c r="C423" s="12" t="n"/>
      <c r="D423" s="12"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2.75" customHeight="1" s="87">
      <c r="A424" s="25" t="n"/>
      <c r="B424" s="12" t="n"/>
      <c r="C424" s="12" t="n"/>
      <c r="D424" s="12"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2.75" customHeight="1" s="87">
      <c r="A425" s="25" t="n"/>
      <c r="B425" s="12" t="n"/>
      <c r="C425" s="12" t="n"/>
      <c r="D425" s="12"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2.75" customHeight="1" s="87">
      <c r="A426" s="25" t="n"/>
      <c r="B426" s="12" t="n"/>
      <c r="C426" s="12" t="n"/>
      <c r="D426" s="12"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2.75" customHeight="1" s="87">
      <c r="A427" s="25" t="n"/>
      <c r="B427" s="12" t="n"/>
      <c r="C427" s="12" t="n"/>
      <c r="D427" s="12"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2.75" customHeight="1" s="87">
      <c r="A428" s="25" t="n"/>
      <c r="B428" s="12" t="n"/>
      <c r="C428" s="12" t="n"/>
      <c r="D428" s="12"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2.75" customHeight="1" s="87">
      <c r="A429" s="25" t="n"/>
      <c r="B429" s="12" t="n"/>
      <c r="C429" s="12" t="n"/>
      <c r="D429" s="12"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2.75" customHeight="1" s="87">
      <c r="A430" s="25" t="n"/>
      <c r="B430" s="12" t="n"/>
      <c r="C430" s="12" t="n"/>
      <c r="D430" s="12"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2.75" customHeight="1" s="87">
      <c r="A431" s="25" t="n"/>
      <c r="B431" s="12" t="n"/>
      <c r="C431" s="12" t="n"/>
      <c r="D431" s="12"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2.75" customHeight="1" s="87">
      <c r="A432" s="25" t="n"/>
      <c r="B432" s="12" t="n"/>
      <c r="C432" s="12" t="n"/>
      <c r="D432" s="12"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2.75" customHeight="1" s="87">
      <c r="A433" s="25" t="n"/>
      <c r="B433" s="12" t="n"/>
      <c r="C433" s="12" t="n"/>
      <c r="D433" s="12"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2.75" customHeight="1" s="87">
      <c r="A434" s="25" t="n"/>
      <c r="B434" s="12" t="n"/>
      <c r="C434" s="12" t="n"/>
      <c r="D434" s="12"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2.75" customHeight="1" s="87">
      <c r="A435" s="25" t="n"/>
      <c r="B435" s="12" t="n"/>
      <c r="C435" s="12" t="n"/>
      <c r="D435" s="12"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2.75" customHeight="1" s="87">
      <c r="A436" s="25" t="n"/>
      <c r="B436" s="12" t="n"/>
      <c r="C436" s="12" t="n"/>
      <c r="D436" s="12"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2.75" customHeight="1" s="87">
      <c r="A437" s="25" t="n"/>
      <c r="B437" s="12" t="n"/>
      <c r="C437" s="12" t="n"/>
      <c r="D437" s="12"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2.75" customHeight="1" s="87">
      <c r="A438" s="25" t="n"/>
      <c r="B438" s="12" t="n"/>
      <c r="C438" s="12" t="n"/>
      <c r="D438" s="12"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2.75" customHeight="1" s="87">
      <c r="A439" s="25" t="n"/>
      <c r="B439" s="12" t="n"/>
      <c r="C439" s="12" t="n"/>
      <c r="D439" s="12"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2.75" customHeight="1" s="87">
      <c r="A440" s="25" t="n"/>
      <c r="B440" s="12" t="n"/>
      <c r="C440" s="12" t="n"/>
      <c r="D440" s="12"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2.75" customHeight="1" s="87">
      <c r="A441" s="25" t="n"/>
      <c r="B441" s="12" t="n"/>
      <c r="C441" s="12" t="n"/>
      <c r="D441" s="12"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2.75" customHeight="1" s="87">
      <c r="A442" s="25" t="n"/>
      <c r="B442" s="12" t="n"/>
      <c r="C442" s="12" t="n"/>
      <c r="D442" s="12"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2.75" customHeight="1" s="87">
      <c r="A443" s="25" t="n"/>
      <c r="B443" s="12" t="n"/>
      <c r="C443" s="12" t="n"/>
      <c r="D443" s="12"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2.75" customHeight="1" s="87">
      <c r="A444" s="25" t="n"/>
      <c r="B444" s="12" t="n"/>
      <c r="C444" s="12" t="n"/>
      <c r="D444" s="12"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2.75" customHeight="1" s="87">
      <c r="A445" s="25" t="n"/>
      <c r="B445" s="12" t="n"/>
      <c r="C445" s="12" t="n"/>
      <c r="D445" s="12"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2.75" customHeight="1" s="87">
      <c r="A446" s="25" t="n"/>
      <c r="B446" s="12" t="n"/>
      <c r="C446" s="12" t="n"/>
      <c r="D446" s="12"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2.75" customHeight="1" s="87">
      <c r="A447" s="25" t="n"/>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2.75" customHeight="1" s="87">
      <c r="A448" s="25" t="n"/>
      <c r="B448" s="12" t="n"/>
      <c r="C448" s="12" t="n"/>
      <c r="D448" s="12"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2.75" customHeight="1" s="87">
      <c r="A449" s="25" t="n"/>
      <c r="B449" s="12" t="n"/>
      <c r="C449" s="12" t="n"/>
      <c r="D449" s="12"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2.75" customHeight="1" s="87">
      <c r="A450" s="25" t="n"/>
      <c r="B450" s="12" t="n"/>
      <c r="C450" s="12" t="n"/>
      <c r="D450" s="12"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2.75" customHeight="1" s="87">
      <c r="A451" s="25" t="n"/>
      <c r="B451" s="12" t="n"/>
      <c r="C451" s="12" t="n"/>
      <c r="D451" s="12"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2.75" customHeight="1" s="87">
      <c r="A452" s="25" t="n"/>
      <c r="B452" s="12" t="n"/>
      <c r="C452" s="12" t="n"/>
      <c r="D452" s="12"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2.75" customHeight="1" s="87">
      <c r="A453" s="25" t="n"/>
      <c r="B453" s="12" t="n"/>
      <c r="C453" s="12" t="n"/>
      <c r="D453" s="12"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2.75" customHeight="1" s="87">
      <c r="A454" s="25" t="n"/>
      <c r="B454" s="12" t="n"/>
      <c r="C454" s="12" t="n"/>
      <c r="D454" s="12"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2.75" customHeight="1" s="87">
      <c r="A455" s="25" t="n"/>
      <c r="B455" s="12" t="n"/>
      <c r="C455" s="12" t="n"/>
      <c r="D455" s="12"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2.75" customHeight="1" s="87">
      <c r="A456" s="25" t="n"/>
      <c r="B456" s="12" t="n"/>
      <c r="C456" s="12" t="n"/>
      <c r="D456" s="12"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2.75" customHeight="1" s="87">
      <c r="A457" s="25" t="n"/>
      <c r="B457" s="12" t="n"/>
      <c r="C457" s="12" t="n"/>
      <c r="D457" s="12"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2.75" customHeight="1" s="87">
      <c r="A458" s="25" t="n"/>
      <c r="B458" s="12" t="n"/>
      <c r="C458" s="12" t="n"/>
      <c r="D458" s="12"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2.75" customHeight="1" s="87">
      <c r="A459" s="25" t="n"/>
      <c r="B459" s="12" t="n"/>
      <c r="C459" s="12" t="n"/>
      <c r="D459" s="12"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2.75" customHeight="1" s="87">
      <c r="A460" s="25" t="n"/>
      <c r="B460" s="12" t="n"/>
      <c r="C460" s="12" t="n"/>
      <c r="D460" s="12"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2.75" customHeight="1" s="87">
      <c r="A461" s="25" t="n"/>
      <c r="B461" s="12" t="n"/>
      <c r="C461" s="12" t="n"/>
      <c r="D461" s="12"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2.75" customHeight="1" s="87">
      <c r="A462" s="25" t="n"/>
      <c r="B462" s="12" t="n"/>
      <c r="C462" s="12" t="n"/>
      <c r="D462" s="12"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2.75" customHeight="1" s="87">
      <c r="A463" s="25" t="n"/>
      <c r="B463" s="12" t="n"/>
      <c r="C463" s="12" t="n"/>
      <c r="D463" s="12"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2.75" customHeight="1" s="87">
      <c r="A464" s="25" t="n"/>
      <c r="B464" s="12" t="n"/>
      <c r="C464" s="12" t="n"/>
      <c r="D464" s="12"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2.75" customHeight="1" s="87">
      <c r="A465" s="25" t="n"/>
      <c r="B465" s="12" t="n"/>
      <c r="C465" s="12" t="n"/>
      <c r="D465" s="12"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2.75" customHeight="1" s="87">
      <c r="A466" s="25" t="n"/>
      <c r="B466" s="12" t="n"/>
      <c r="C466" s="12" t="n"/>
      <c r="D466" s="12"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2.75" customHeight="1" s="87">
      <c r="A467" s="25" t="n"/>
      <c r="B467" s="12" t="n"/>
      <c r="C467" s="12" t="n"/>
      <c r="D467" s="12"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2.75" customHeight="1" s="87">
      <c r="A468" s="25" t="n"/>
      <c r="B468" s="12" t="n"/>
      <c r="C468" s="12" t="n"/>
      <c r="D468" s="12"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2.75" customHeight="1" s="87">
      <c r="A469" s="25" t="n"/>
      <c r="B469" s="12" t="n"/>
      <c r="C469" s="12" t="n"/>
      <c r="D469" s="12"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2.75" customHeight="1" s="87">
      <c r="A470" s="25" t="n"/>
      <c r="B470" s="12" t="n"/>
      <c r="C470" s="12" t="n"/>
      <c r="D470" s="12"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2.75" customHeight="1" s="87">
      <c r="A471" s="25" t="n"/>
      <c r="B471" s="12" t="n"/>
      <c r="C471" s="12" t="n"/>
      <c r="D471" s="12"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2.75" customHeight="1" s="87">
      <c r="A472" s="25" t="n"/>
      <c r="B472" s="12" t="n"/>
      <c r="C472" s="12" t="n"/>
      <c r="D472" s="12"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2.75" customHeight="1" s="87">
      <c r="A473" s="25" t="n"/>
      <c r="B473" s="12" t="n"/>
      <c r="C473" s="12" t="n"/>
      <c r="D473" s="12"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2.75" customHeight="1" s="87">
      <c r="A474" s="25" t="n"/>
      <c r="B474" s="12" t="n"/>
      <c r="C474" s="12" t="n"/>
      <c r="D474" s="12"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2.75" customHeight="1" s="87">
      <c r="A475" s="25" t="n"/>
      <c r="B475" s="12" t="n"/>
      <c r="C475" s="12" t="n"/>
      <c r="D475" s="12"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2.75" customHeight="1" s="87">
      <c r="A476" s="25" t="n"/>
      <c r="B476" s="12" t="n"/>
      <c r="C476" s="12" t="n"/>
      <c r="D476" s="12"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2.75" customHeight="1" s="87">
      <c r="A477" s="25" t="n"/>
      <c r="B477" s="12" t="n"/>
      <c r="C477" s="12" t="n"/>
      <c r="D477" s="12"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2.75" customHeight="1" s="87">
      <c r="A478" s="25" t="n"/>
      <c r="B478" s="12" t="n"/>
      <c r="C478" s="12" t="n"/>
      <c r="D478" s="12"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2.75" customHeight="1" s="87">
      <c r="A479" s="25" t="n"/>
      <c r="B479" s="12" t="n"/>
      <c r="C479" s="12" t="n"/>
      <c r="D479" s="12"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2.75" customHeight="1" s="87">
      <c r="A480" s="25" t="n"/>
      <c r="B480" s="12" t="n"/>
      <c r="C480" s="12" t="n"/>
      <c r="D480" s="12"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2.75" customHeight="1" s="87">
      <c r="A481" s="25" t="n"/>
      <c r="B481" s="12" t="n"/>
      <c r="C481" s="12" t="n"/>
      <c r="D481" s="12"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2.75" customHeight="1" s="87">
      <c r="A482" s="25" t="n"/>
      <c r="B482" s="12" t="n"/>
      <c r="C482" s="12" t="n"/>
      <c r="D482" s="12"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2.75" customHeight="1" s="87">
      <c r="A483" s="25" t="n"/>
      <c r="B483" s="12" t="n"/>
      <c r="C483" s="12" t="n"/>
      <c r="D483" s="12"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2.75" customHeight="1" s="87">
      <c r="A484" s="25" t="n"/>
      <c r="B484" s="12" t="n"/>
      <c r="C484" s="12" t="n"/>
      <c r="D484" s="12"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2.75" customHeight="1" s="87">
      <c r="A485" s="25" t="n"/>
      <c r="B485" s="12" t="n"/>
      <c r="C485" s="12" t="n"/>
      <c r="D485" s="12"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2.75" customHeight="1" s="87">
      <c r="A486" s="25" t="n"/>
      <c r="B486" s="12" t="n"/>
      <c r="C486" s="12" t="n"/>
      <c r="D486" s="12"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2.75" customHeight="1" s="87">
      <c r="A487" s="25" t="n"/>
      <c r="B487" s="12" t="n"/>
      <c r="C487" s="12" t="n"/>
      <c r="D487" s="12"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2.75" customHeight="1" s="87">
      <c r="A488" s="25" t="n"/>
      <c r="B488" s="12" t="n"/>
      <c r="C488" s="12" t="n"/>
      <c r="D488" s="12"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2.75" customHeight="1" s="87">
      <c r="A489" s="25" t="n"/>
      <c r="B489" s="12" t="n"/>
      <c r="C489" s="12" t="n"/>
      <c r="D489" s="12"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2.75" customHeight="1" s="87">
      <c r="A490" s="25" t="n"/>
      <c r="B490" s="12" t="n"/>
      <c r="C490" s="12" t="n"/>
      <c r="D490" s="12"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2.75" customHeight="1" s="87">
      <c r="A491" s="25" t="n"/>
      <c r="B491" s="12" t="n"/>
      <c r="C491" s="12" t="n"/>
      <c r="D491" s="12"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2.75" customHeight="1" s="87">
      <c r="A492" s="25" t="n"/>
      <c r="B492" s="12" t="n"/>
      <c r="C492" s="12" t="n"/>
      <c r="D492" s="12"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2.75" customHeight="1" s="87">
      <c r="A493" s="25" t="n"/>
      <c r="B493" s="12" t="n"/>
      <c r="C493" s="12" t="n"/>
      <c r="D493" s="12"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2.75" customHeight="1" s="87">
      <c r="A494" s="25" t="n"/>
      <c r="B494" s="12" t="n"/>
      <c r="C494" s="12" t="n"/>
      <c r="D494" s="12"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2.75" customHeight="1" s="87">
      <c r="A495" s="25" t="n"/>
      <c r="B495" s="12" t="n"/>
      <c r="C495" s="12" t="n"/>
      <c r="D495" s="12"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2.75" customHeight="1" s="87">
      <c r="A496" s="25" t="n"/>
      <c r="B496" s="12" t="n"/>
      <c r="C496" s="12" t="n"/>
      <c r="D496" s="12"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2.75" customHeight="1" s="87">
      <c r="A497" s="25" t="n"/>
      <c r="B497" s="12" t="n"/>
      <c r="C497" s="12" t="n"/>
      <c r="D497" s="12"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2.75" customHeight="1" s="87">
      <c r="A498" s="25" t="n"/>
      <c r="B498" s="12" t="n"/>
      <c r="C498" s="12" t="n"/>
      <c r="D498" s="12"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2.75" customHeight="1" s="87">
      <c r="A499" s="25" t="n"/>
      <c r="B499" s="12" t="n"/>
      <c r="C499" s="12" t="n"/>
      <c r="D499" s="12"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2.75" customHeight="1" s="87">
      <c r="A500" s="25" t="n"/>
      <c r="B500" s="12" t="n"/>
      <c r="C500" s="12" t="n"/>
      <c r="D500" s="12"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2.75" customHeight="1" s="87">
      <c r="A501" s="25" t="n"/>
      <c r="B501" s="12" t="n"/>
      <c r="C501" s="12" t="n"/>
      <c r="D501" s="12"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2.75" customHeight="1" s="87">
      <c r="A502" s="25" t="n"/>
      <c r="B502" s="12" t="n"/>
      <c r="C502" s="12" t="n"/>
      <c r="D502" s="12"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2.75" customHeight="1" s="87">
      <c r="A503" s="25" t="n"/>
      <c r="B503" s="12" t="n"/>
      <c r="C503" s="12" t="n"/>
      <c r="D503" s="12"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2.75" customHeight="1" s="87">
      <c r="A504" s="25" t="n"/>
      <c r="B504" s="12" t="n"/>
      <c r="C504" s="12" t="n"/>
      <c r="D504" s="12"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2.75" customHeight="1" s="87">
      <c r="A505" s="25" t="n"/>
      <c r="B505" s="12" t="n"/>
      <c r="C505" s="12" t="n"/>
      <c r="D505" s="12"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2.75" customHeight="1" s="87">
      <c r="A506" s="25" t="n"/>
      <c r="B506" s="12" t="n"/>
      <c r="C506" s="12" t="n"/>
      <c r="D506" s="12"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2.75" customHeight="1" s="87">
      <c r="A507" s="25" t="n"/>
      <c r="B507" s="12" t="n"/>
      <c r="C507" s="12" t="n"/>
      <c r="D507" s="12"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2.75" customHeight="1" s="87">
      <c r="A508" s="25" t="n"/>
      <c r="B508" s="12" t="n"/>
      <c r="C508" s="12" t="n"/>
      <c r="D508" s="12"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2.75" customHeight="1" s="87">
      <c r="A509" s="25" t="n"/>
      <c r="B509" s="12" t="n"/>
      <c r="C509" s="12" t="n"/>
      <c r="D509" s="12"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2.75" customHeight="1" s="87">
      <c r="A510" s="25" t="n"/>
      <c r="B510" s="12" t="n"/>
      <c r="C510" s="12" t="n"/>
      <c r="D510" s="12"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2.75" customHeight="1" s="87">
      <c r="A511" s="25" t="n"/>
      <c r="B511" s="12" t="n"/>
      <c r="C511" s="12" t="n"/>
      <c r="D511" s="12"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2.75" customHeight="1" s="87">
      <c r="A512" s="25" t="n"/>
      <c r="B512" s="12" t="n"/>
      <c r="C512" s="12" t="n"/>
      <c r="D512" s="12"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2.75" customHeight="1" s="87">
      <c r="A513" s="25" t="n"/>
      <c r="B513" s="12" t="n"/>
      <c r="C513" s="12" t="n"/>
      <c r="D513" s="12"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2.75" customHeight="1" s="87">
      <c r="A514" s="25" t="n"/>
      <c r="B514" s="12" t="n"/>
      <c r="C514" s="12" t="n"/>
      <c r="D514" s="12"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2.75" customHeight="1" s="87">
      <c r="A515" s="25" t="n"/>
      <c r="B515" s="12" t="n"/>
      <c r="C515" s="12" t="n"/>
      <c r="D515" s="12"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2.75" customHeight="1" s="87">
      <c r="A516" s="25" t="n"/>
      <c r="B516" s="12" t="n"/>
      <c r="C516" s="12" t="n"/>
      <c r="D516" s="12"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2.75" customHeight="1" s="87">
      <c r="A517" s="25" t="n"/>
      <c r="B517" s="12" t="n"/>
      <c r="C517" s="12" t="n"/>
      <c r="D517" s="12"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2.75" customHeight="1" s="87">
      <c r="A518" s="25" t="n"/>
      <c r="B518" s="12" t="n"/>
      <c r="C518" s="12" t="n"/>
      <c r="D518" s="12"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2.75" customHeight="1" s="87">
      <c r="A519" s="25" t="n"/>
      <c r="B519" s="12" t="n"/>
      <c r="C519" s="12" t="n"/>
      <c r="D519" s="12"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2.75" customHeight="1" s="87">
      <c r="A520" s="25" t="n"/>
      <c r="B520" s="12" t="n"/>
      <c r="C520" s="12" t="n"/>
      <c r="D520" s="12"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2.75" customHeight="1" s="87">
      <c r="A521" s="25" t="n"/>
      <c r="B521" s="12" t="n"/>
      <c r="C521" s="12" t="n"/>
      <c r="D521" s="12"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2.75" customHeight="1" s="87">
      <c r="A522" s="25" t="n"/>
      <c r="B522" s="12" t="n"/>
      <c r="C522" s="12" t="n"/>
      <c r="D522" s="12"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2.75" customHeight="1" s="87">
      <c r="A523" s="25" t="n"/>
      <c r="B523" s="12" t="n"/>
      <c r="C523" s="12" t="n"/>
      <c r="D523" s="12"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2.75" customHeight="1" s="87">
      <c r="A524" s="25" t="n"/>
      <c r="B524" s="12" t="n"/>
      <c r="C524" s="12" t="n"/>
      <c r="D524" s="12"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2.75" customHeight="1" s="87">
      <c r="A525" s="25" t="n"/>
      <c r="B525" s="12" t="n"/>
      <c r="C525" s="12" t="n"/>
      <c r="D525" s="12"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2.75" customHeight="1" s="87">
      <c r="A526" s="25" t="n"/>
      <c r="B526" s="12" t="n"/>
      <c r="C526" s="12" t="n"/>
      <c r="D526" s="12"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2.75" customHeight="1" s="87">
      <c r="A527" s="25" t="n"/>
      <c r="B527" s="12" t="n"/>
      <c r="C527" s="12" t="n"/>
      <c r="D527" s="12"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2.75" customHeight="1" s="87">
      <c r="A528" s="25" t="n"/>
      <c r="B528" s="12" t="n"/>
      <c r="C528" s="12" t="n"/>
      <c r="D528" s="12"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2.75" customHeight="1" s="87">
      <c r="A529" s="25" t="n"/>
      <c r="B529" s="12" t="n"/>
      <c r="C529" s="12" t="n"/>
      <c r="D529" s="12"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2.75" customHeight="1" s="87">
      <c r="A530" s="25" t="n"/>
      <c r="B530" s="12" t="n"/>
      <c r="C530" s="12" t="n"/>
      <c r="D530" s="12"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2.75" customHeight="1" s="87">
      <c r="A531" s="25" t="n"/>
      <c r="B531" s="12" t="n"/>
      <c r="C531" s="12" t="n"/>
      <c r="D531" s="12"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2.75" customHeight="1" s="87">
      <c r="A532" s="25" t="n"/>
      <c r="B532" s="12" t="n"/>
      <c r="C532" s="12" t="n"/>
      <c r="D532" s="12"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2.75" customHeight="1" s="87">
      <c r="A533" s="25" t="n"/>
      <c r="B533" s="12" t="n"/>
      <c r="C533" s="12" t="n"/>
      <c r="D533" s="12"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2.75" customHeight="1" s="87">
      <c r="A534" s="25" t="n"/>
      <c r="B534" s="12" t="n"/>
      <c r="C534" s="12" t="n"/>
      <c r="D534" s="12"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2.75" customHeight="1" s="87">
      <c r="A535" s="25" t="n"/>
      <c r="B535" s="12" t="n"/>
      <c r="C535" s="12" t="n"/>
      <c r="D535" s="12"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2.75" customHeight="1" s="87">
      <c r="A536" s="25" t="n"/>
      <c r="B536" s="12" t="n"/>
      <c r="C536" s="12" t="n"/>
      <c r="D536" s="12"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2.75" customHeight="1" s="87">
      <c r="A537" s="25" t="n"/>
      <c r="B537" s="12" t="n"/>
      <c r="C537" s="12" t="n"/>
      <c r="D537" s="12"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2.75" customHeight="1" s="87">
      <c r="A538" s="25" t="n"/>
      <c r="B538" s="12" t="n"/>
      <c r="C538" s="12" t="n"/>
      <c r="D538" s="12"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2.75" customHeight="1" s="87">
      <c r="A539" s="25" t="n"/>
      <c r="B539" s="12" t="n"/>
      <c r="C539" s="12" t="n"/>
      <c r="D539" s="12"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2.75" customHeight="1" s="87">
      <c r="A540" s="25" t="n"/>
      <c r="B540" s="12" t="n"/>
      <c r="C540" s="12" t="n"/>
      <c r="D540" s="12"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2.75" customHeight="1" s="87">
      <c r="A541" s="25" t="n"/>
      <c r="B541" s="12" t="n"/>
      <c r="C541" s="12" t="n"/>
      <c r="D541" s="12"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2.75" customHeight="1" s="87">
      <c r="A542" s="25" t="n"/>
      <c r="B542" s="12" t="n"/>
      <c r="C542" s="12" t="n"/>
      <c r="D542" s="12"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2.75" customHeight="1" s="87">
      <c r="A543" s="25" t="n"/>
      <c r="B543" s="12" t="n"/>
      <c r="C543" s="12" t="n"/>
      <c r="D543" s="12"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2.75" customHeight="1" s="87">
      <c r="A544" s="25" t="n"/>
      <c r="B544" s="12" t="n"/>
      <c r="C544" s="12" t="n"/>
      <c r="D544" s="12"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2.75" customHeight="1" s="87">
      <c r="A545" s="25" t="n"/>
      <c r="B545" s="12" t="n"/>
      <c r="C545" s="12" t="n"/>
      <c r="D545" s="12"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2.75" customHeight="1" s="87">
      <c r="A546" s="25" t="n"/>
      <c r="B546" s="12" t="n"/>
      <c r="C546" s="12" t="n"/>
      <c r="D546" s="12"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2.75" customHeight="1" s="87">
      <c r="A547" s="25" t="n"/>
      <c r="B547" s="12" t="n"/>
      <c r="C547" s="12" t="n"/>
      <c r="D547" s="12"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2.75" customHeight="1" s="87">
      <c r="A548" s="25" t="n"/>
      <c r="B548" s="12" t="n"/>
      <c r="C548" s="12" t="n"/>
      <c r="D548" s="12"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2.75" customHeight="1" s="87">
      <c r="A549" s="25" t="n"/>
      <c r="B549" s="12" t="n"/>
      <c r="C549" s="12" t="n"/>
      <c r="D549" s="12"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2.75" customHeight="1" s="87">
      <c r="A550" s="25" t="n"/>
      <c r="B550" s="12" t="n"/>
      <c r="C550" s="12" t="n"/>
      <c r="D550" s="12"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2.75" customHeight="1" s="87">
      <c r="A551" s="25" t="n"/>
      <c r="B551" s="12" t="n"/>
      <c r="C551" s="12" t="n"/>
      <c r="D551" s="12"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2.75" customHeight="1" s="87">
      <c r="A552" s="25" t="n"/>
      <c r="B552" s="12" t="n"/>
      <c r="C552" s="12" t="n"/>
      <c r="D552" s="12"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2.75" customHeight="1" s="87">
      <c r="A553" s="25" t="n"/>
      <c r="B553" s="12" t="n"/>
      <c r="C553" s="12" t="n"/>
      <c r="D553" s="12"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2.75" customHeight="1" s="87">
      <c r="A554" s="25" t="n"/>
      <c r="B554" s="12" t="n"/>
      <c r="C554" s="12" t="n"/>
      <c r="D554" s="12"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2.75" customHeight="1" s="87">
      <c r="A555" s="25" t="n"/>
      <c r="B555" s="12" t="n"/>
      <c r="C555" s="12" t="n"/>
      <c r="D555" s="12"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2.75" customHeight="1" s="87">
      <c r="A556" s="25" t="n"/>
      <c r="B556" s="12" t="n"/>
      <c r="C556" s="12" t="n"/>
      <c r="D556" s="12"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2.75" customHeight="1" s="87">
      <c r="A557" s="25" t="n"/>
      <c r="B557" s="12" t="n"/>
      <c r="C557" s="12" t="n"/>
      <c r="D557" s="12"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2.75" customHeight="1" s="87">
      <c r="A558" s="25" t="n"/>
      <c r="B558" s="12" t="n"/>
      <c r="C558" s="12" t="n"/>
      <c r="D558" s="12"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2.75" customHeight="1" s="87">
      <c r="A559" s="25" t="n"/>
      <c r="B559" s="12" t="n"/>
      <c r="C559" s="12" t="n"/>
      <c r="D559" s="12"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2.75" customHeight="1" s="87">
      <c r="A560" s="25" t="n"/>
      <c r="B560" s="12" t="n"/>
      <c r="C560" s="12" t="n"/>
      <c r="D560" s="12"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2.75" customHeight="1" s="87">
      <c r="A561" s="25" t="n"/>
      <c r="B561" s="12" t="n"/>
      <c r="C561" s="12" t="n"/>
      <c r="D561" s="12"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2.75" customHeight="1" s="87">
      <c r="A562" s="25" t="n"/>
      <c r="B562" s="12" t="n"/>
      <c r="C562" s="12" t="n"/>
      <c r="D562" s="12"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2.75" customHeight="1" s="87">
      <c r="A563" s="25" t="n"/>
      <c r="B563" s="12" t="n"/>
      <c r="C563" s="12" t="n"/>
      <c r="D563" s="12"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2.75" customHeight="1" s="87">
      <c r="A564" s="25" t="n"/>
      <c r="B564" s="12" t="n"/>
      <c r="C564" s="12" t="n"/>
      <c r="D564" s="12"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2.75" customHeight="1" s="87">
      <c r="A565" s="25" t="n"/>
      <c r="B565" s="12" t="n"/>
      <c r="C565" s="12" t="n"/>
      <c r="D565" s="12"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2.75" customHeight="1" s="87">
      <c r="A566" s="25" t="n"/>
      <c r="B566" s="12" t="n"/>
      <c r="C566" s="12" t="n"/>
      <c r="D566" s="12"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2.75" customHeight="1" s="87">
      <c r="A567" s="25" t="n"/>
      <c r="B567" s="12" t="n"/>
      <c r="C567" s="12" t="n"/>
      <c r="D567" s="12"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2.75" customHeight="1" s="87">
      <c r="A568" s="25" t="n"/>
      <c r="B568" s="12" t="n"/>
      <c r="C568" s="12" t="n"/>
      <c r="D568" s="12"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2.75" customHeight="1" s="87">
      <c r="A569" s="25" t="n"/>
      <c r="B569" s="12" t="n"/>
      <c r="C569" s="12" t="n"/>
      <c r="D569" s="12"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2.75" customHeight="1" s="87">
      <c r="A570" s="25" t="n"/>
      <c r="B570" s="12" t="n"/>
      <c r="C570" s="12" t="n"/>
      <c r="D570" s="12"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2.75" customHeight="1" s="87">
      <c r="A571" s="25" t="n"/>
      <c r="B571" s="12" t="n"/>
      <c r="C571" s="12" t="n"/>
      <c r="D571" s="12"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2.75" customHeight="1" s="87">
      <c r="A572" s="25" t="n"/>
      <c r="B572" s="12" t="n"/>
      <c r="C572" s="12" t="n"/>
      <c r="D572" s="12"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2.75" customHeight="1" s="87">
      <c r="A573" s="25" t="n"/>
      <c r="B573" s="12" t="n"/>
      <c r="C573" s="12" t="n"/>
      <c r="D573" s="12"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2.75" customHeight="1" s="87">
      <c r="A574" s="25" t="n"/>
      <c r="B574" s="12" t="n"/>
      <c r="C574" s="12" t="n"/>
      <c r="D574" s="12"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2.75" customHeight="1" s="87">
      <c r="A575" s="25" t="n"/>
      <c r="B575" s="12" t="n"/>
      <c r="C575" s="12" t="n"/>
      <c r="D575" s="12"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2.75" customHeight="1" s="87">
      <c r="A576" s="25" t="n"/>
      <c r="B576" s="12" t="n"/>
      <c r="C576" s="12" t="n"/>
      <c r="D576" s="12"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2.75" customHeight="1" s="87">
      <c r="A577" s="25" t="n"/>
      <c r="B577" s="12" t="n"/>
      <c r="C577" s="12" t="n"/>
      <c r="D577" s="12"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2.75" customHeight="1" s="87">
      <c r="A578" s="25" t="n"/>
      <c r="B578" s="12" t="n"/>
      <c r="C578" s="12" t="n"/>
      <c r="D578" s="12"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2.75" customHeight="1" s="87">
      <c r="A579" s="25" t="n"/>
      <c r="B579" s="12" t="n"/>
      <c r="C579" s="12" t="n"/>
      <c r="D579" s="12"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2.75" customHeight="1" s="87">
      <c r="A580" s="25" t="n"/>
      <c r="B580" s="12" t="n"/>
      <c r="C580" s="12" t="n"/>
      <c r="D580" s="12"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2.75" customHeight="1" s="87">
      <c r="A581" s="25" t="n"/>
      <c r="B581" s="12" t="n"/>
      <c r="C581" s="12" t="n"/>
      <c r="D581" s="12"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2.75" customHeight="1" s="87">
      <c r="A582" s="25" t="n"/>
      <c r="B582" s="12" t="n"/>
      <c r="C582" s="12" t="n"/>
      <c r="D582" s="12"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2.75" customHeight="1" s="87">
      <c r="A583" s="25" t="n"/>
      <c r="B583" s="12" t="n"/>
      <c r="C583" s="12" t="n"/>
      <c r="D583" s="12"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2.75" customHeight="1" s="87">
      <c r="A584" s="25" t="n"/>
      <c r="B584" s="12" t="n"/>
      <c r="C584" s="12" t="n"/>
      <c r="D584" s="12"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2.75" customHeight="1" s="87">
      <c r="A585" s="25" t="n"/>
      <c r="B585" s="12" t="n"/>
      <c r="C585" s="12" t="n"/>
      <c r="D585" s="12"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2.75" customHeight="1" s="87">
      <c r="A586" s="25" t="n"/>
      <c r="B586" s="12" t="n"/>
      <c r="C586" s="12" t="n"/>
      <c r="D586" s="12"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2.75" customHeight="1" s="87">
      <c r="A587" s="25" t="n"/>
      <c r="B587" s="12" t="n"/>
      <c r="C587" s="12" t="n"/>
      <c r="D587" s="12"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2.75" customHeight="1" s="87">
      <c r="A588" s="25" t="n"/>
      <c r="B588" s="12" t="n"/>
      <c r="C588" s="12" t="n"/>
      <c r="D588" s="12"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2.75" customHeight="1" s="87">
      <c r="A589" s="25" t="n"/>
      <c r="B589" s="12" t="n"/>
      <c r="C589" s="12" t="n"/>
      <c r="D589" s="12"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2.75" customHeight="1" s="87">
      <c r="A590" s="25" t="n"/>
      <c r="B590" s="12" t="n"/>
      <c r="C590" s="12" t="n"/>
      <c r="D590" s="12"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2.75" customHeight="1" s="87">
      <c r="A591" s="25" t="n"/>
      <c r="B591" s="12" t="n"/>
      <c r="C591" s="12" t="n"/>
      <c r="D591" s="12"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2.75" customHeight="1" s="87">
      <c r="A592" s="25" t="n"/>
      <c r="B592" s="12" t="n"/>
      <c r="C592" s="12" t="n"/>
      <c r="D592" s="12"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2.75" customHeight="1" s="87">
      <c r="A593" s="25" t="n"/>
      <c r="B593" s="12" t="n"/>
      <c r="C593" s="12" t="n"/>
      <c r="D593" s="12"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2.75" customHeight="1" s="87">
      <c r="A594" s="25" t="n"/>
      <c r="B594" s="12" t="n"/>
      <c r="C594" s="12" t="n"/>
      <c r="D594" s="12"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2.75" customHeight="1" s="87">
      <c r="A595" s="25" t="n"/>
      <c r="B595" s="12" t="n"/>
      <c r="C595" s="12" t="n"/>
      <c r="D595" s="12"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2.75" customHeight="1" s="87">
      <c r="A596" s="25" t="n"/>
      <c r="B596" s="12" t="n"/>
      <c r="C596" s="12" t="n"/>
      <c r="D596" s="12"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2.75" customHeight="1" s="87">
      <c r="A597" s="25" t="n"/>
      <c r="B597" s="12" t="n"/>
      <c r="C597" s="12" t="n"/>
      <c r="D597" s="12"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2.75" customHeight="1" s="87">
      <c r="A598" s="25" t="n"/>
      <c r="B598" s="12" t="n"/>
      <c r="C598" s="12" t="n"/>
      <c r="D598" s="12"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2.75" customHeight="1" s="87">
      <c r="A599" s="25" t="n"/>
      <c r="B599" s="12" t="n"/>
      <c r="C599" s="12" t="n"/>
      <c r="D599" s="12"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2.75" customHeight="1" s="87">
      <c r="A600" s="25" t="n"/>
      <c r="B600" s="12" t="n"/>
      <c r="C600" s="12" t="n"/>
      <c r="D600" s="12"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2.75" customHeight="1" s="87">
      <c r="A601" s="25" t="n"/>
      <c r="B601" s="12" t="n"/>
      <c r="C601" s="12" t="n"/>
      <c r="D601" s="12"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2.75" customHeight="1" s="87">
      <c r="A602" s="25" t="n"/>
      <c r="B602" s="12" t="n"/>
      <c r="C602" s="12" t="n"/>
      <c r="D602" s="12"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2.75" customHeight="1" s="87">
      <c r="A603" s="25" t="n"/>
      <c r="B603" s="12" t="n"/>
      <c r="C603" s="12" t="n"/>
      <c r="D603" s="12"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2.75" customHeight="1" s="87">
      <c r="A604" s="25" t="n"/>
      <c r="B604" s="12" t="n"/>
      <c r="C604" s="12" t="n"/>
      <c r="D604" s="12"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2.75" customHeight="1" s="87">
      <c r="A605" s="25" t="n"/>
      <c r="B605" s="12" t="n"/>
      <c r="C605" s="12" t="n"/>
      <c r="D605" s="12"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2.75" customHeight="1" s="87">
      <c r="A606" s="25" t="n"/>
      <c r="B606" s="12" t="n"/>
      <c r="C606" s="12" t="n"/>
      <c r="D606" s="12"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2.75" customHeight="1" s="87">
      <c r="A607" s="25" t="n"/>
      <c r="B607" s="12" t="n"/>
      <c r="C607" s="12" t="n"/>
      <c r="D607" s="12"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2.75" customHeight="1" s="87">
      <c r="A608" s="25" t="n"/>
      <c r="B608" s="12" t="n"/>
      <c r="C608" s="12" t="n"/>
      <c r="D608" s="12"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2.75" customHeight="1" s="87">
      <c r="A609" s="25" t="n"/>
      <c r="B609" s="12" t="n"/>
      <c r="C609" s="12" t="n"/>
      <c r="D609" s="12"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2.75" customHeight="1" s="87">
      <c r="A610" s="25" t="n"/>
      <c r="B610" s="12" t="n"/>
      <c r="C610" s="12" t="n"/>
      <c r="D610" s="12"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2.75" customHeight="1" s="87">
      <c r="A611" s="25" t="n"/>
      <c r="B611" s="12" t="n"/>
      <c r="C611" s="12" t="n"/>
      <c r="D611" s="12"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2.75" customHeight="1" s="87">
      <c r="A612" s="25" t="n"/>
      <c r="B612" s="12" t="n"/>
      <c r="C612" s="12" t="n"/>
      <c r="D612" s="12"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2.75" customHeight="1" s="87">
      <c r="A613" s="25" t="n"/>
      <c r="B613" s="12" t="n"/>
      <c r="C613" s="12" t="n"/>
      <c r="D613" s="12"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2.75" customHeight="1" s="87">
      <c r="A614" s="25" t="n"/>
      <c r="B614" s="12" t="n"/>
      <c r="C614" s="12" t="n"/>
      <c r="D614" s="12"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2.75" customHeight="1" s="87">
      <c r="A615" s="25" t="n"/>
      <c r="B615" s="12" t="n"/>
      <c r="C615" s="12" t="n"/>
      <c r="D615" s="12"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2.75" customHeight="1" s="87">
      <c r="A616" s="25" t="n"/>
      <c r="B616" s="12" t="n"/>
      <c r="C616" s="12" t="n"/>
      <c r="D616" s="12"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2.75" customHeight="1" s="87">
      <c r="A617" s="25" t="n"/>
      <c r="B617" s="12" t="n"/>
      <c r="C617" s="12" t="n"/>
      <c r="D617" s="12"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2.75" customHeight="1" s="87">
      <c r="A618" s="25" t="n"/>
      <c r="B618" s="12" t="n"/>
      <c r="C618" s="12" t="n"/>
      <c r="D618" s="12"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2.75" customHeight="1" s="87">
      <c r="A619" s="25" t="n"/>
      <c r="B619" s="12" t="n"/>
      <c r="C619" s="12" t="n"/>
      <c r="D619" s="12"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2.75" customHeight="1" s="87">
      <c r="A620" s="25" t="n"/>
      <c r="B620" s="12" t="n"/>
      <c r="C620" s="12" t="n"/>
      <c r="D620" s="12"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2.75" customHeight="1" s="87">
      <c r="A621" s="25" t="n"/>
      <c r="B621" s="12" t="n"/>
      <c r="C621" s="12" t="n"/>
      <c r="D621" s="12"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2.75" customHeight="1" s="87">
      <c r="A622" s="25" t="n"/>
      <c r="B622" s="12" t="n"/>
      <c r="C622" s="12" t="n"/>
      <c r="D622" s="12"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2.75" customHeight="1" s="87">
      <c r="A623" s="25" t="n"/>
      <c r="B623" s="12" t="n"/>
      <c r="C623" s="12" t="n"/>
      <c r="D623" s="12"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2.75" customHeight="1" s="87">
      <c r="A624" s="25" t="n"/>
      <c r="B624" s="12" t="n"/>
      <c r="C624" s="12" t="n"/>
      <c r="D624" s="12"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2.75" customHeight="1" s="87">
      <c r="A625" s="25" t="n"/>
      <c r="B625" s="12" t="n"/>
      <c r="C625" s="12" t="n"/>
      <c r="D625" s="12"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2.75" customHeight="1" s="87">
      <c r="A626" s="25" t="n"/>
      <c r="B626" s="12" t="n"/>
      <c r="C626" s="12" t="n"/>
      <c r="D626" s="12"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2.75" customHeight="1" s="87">
      <c r="A627" s="25" t="n"/>
      <c r="B627" s="12" t="n"/>
      <c r="C627" s="12" t="n"/>
      <c r="D627" s="12"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2.75" customHeight="1" s="87">
      <c r="A628" s="25" t="n"/>
      <c r="B628" s="12" t="n"/>
      <c r="C628" s="12" t="n"/>
      <c r="D628" s="12"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2.75" customHeight="1" s="87">
      <c r="A629" s="25" t="n"/>
      <c r="B629" s="12" t="n"/>
      <c r="C629" s="12" t="n"/>
      <c r="D629" s="12"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2.75" customHeight="1" s="87">
      <c r="A630" s="25" t="n"/>
      <c r="B630" s="12" t="n"/>
      <c r="C630" s="12" t="n"/>
      <c r="D630" s="12"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2.75" customHeight="1" s="87">
      <c r="A631" s="25" t="n"/>
      <c r="B631" s="12" t="n"/>
      <c r="C631" s="12" t="n"/>
      <c r="D631" s="12"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2.75" customHeight="1" s="87">
      <c r="A632" s="25" t="n"/>
      <c r="B632" s="12" t="n"/>
      <c r="C632" s="12" t="n"/>
      <c r="D632" s="12"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2.75" customHeight="1" s="87">
      <c r="A633" s="25" t="n"/>
      <c r="B633" s="12" t="n"/>
      <c r="C633" s="12" t="n"/>
      <c r="D633" s="12"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2.75" customHeight="1" s="87">
      <c r="A634" s="25" t="n"/>
      <c r="B634" s="12" t="n"/>
      <c r="C634" s="12" t="n"/>
      <c r="D634" s="12"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2.75" customHeight="1" s="87">
      <c r="A635" s="25" t="n"/>
      <c r="B635" s="12" t="n"/>
      <c r="C635" s="12" t="n"/>
      <c r="D635" s="12"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2.75" customHeight="1" s="87">
      <c r="A636" s="25" t="n"/>
      <c r="B636" s="12" t="n"/>
      <c r="C636" s="12" t="n"/>
      <c r="D636" s="12"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2.75" customHeight="1" s="87">
      <c r="A637" s="25" t="n"/>
      <c r="B637" s="12" t="n"/>
      <c r="C637" s="12" t="n"/>
      <c r="D637" s="12"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2.75" customHeight="1" s="87">
      <c r="A638" s="25" t="n"/>
      <c r="B638" s="12" t="n"/>
      <c r="C638" s="12" t="n"/>
      <c r="D638" s="12"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2.75" customHeight="1" s="87">
      <c r="A639" s="25" t="n"/>
      <c r="B639" s="12" t="n"/>
      <c r="C639" s="12" t="n"/>
      <c r="D639" s="12"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2.75" customHeight="1" s="87">
      <c r="A640" s="25" t="n"/>
      <c r="B640" s="12" t="n"/>
      <c r="C640" s="12" t="n"/>
      <c r="D640" s="12"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2.75" customHeight="1" s="87">
      <c r="A641" s="25" t="n"/>
      <c r="B641" s="12" t="n"/>
      <c r="C641" s="12" t="n"/>
      <c r="D641" s="12"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2.75" customHeight="1" s="87">
      <c r="A642" s="25" t="n"/>
      <c r="B642" s="12" t="n"/>
      <c r="C642" s="12" t="n"/>
      <c r="D642" s="12"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2.75" customHeight="1" s="87">
      <c r="A643" s="25" t="n"/>
      <c r="B643" s="12" t="n"/>
      <c r="C643" s="12" t="n"/>
      <c r="D643" s="12"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2.75" customHeight="1" s="87">
      <c r="A644" s="25" t="n"/>
      <c r="B644" s="12" t="n"/>
      <c r="C644" s="12" t="n"/>
      <c r="D644" s="12"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2.75" customHeight="1" s="87">
      <c r="A645" s="25" t="n"/>
      <c r="B645" s="12" t="n"/>
      <c r="C645" s="12" t="n"/>
      <c r="D645" s="12"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2.75" customHeight="1" s="87">
      <c r="A646" s="25" t="n"/>
      <c r="B646" s="12" t="n"/>
      <c r="C646" s="12" t="n"/>
      <c r="D646" s="12"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2.75" customHeight="1" s="87">
      <c r="A647" s="25" t="n"/>
      <c r="B647" s="12" t="n"/>
      <c r="C647" s="12" t="n"/>
      <c r="D647" s="12"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2.75" customHeight="1" s="87">
      <c r="A648" s="25" t="n"/>
      <c r="B648" s="12" t="n"/>
      <c r="C648" s="12" t="n"/>
      <c r="D648" s="12"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2.75" customHeight="1" s="87">
      <c r="A649" s="25" t="n"/>
      <c r="B649" s="12" t="n"/>
      <c r="C649" s="12" t="n"/>
      <c r="D649" s="12"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2.75" customHeight="1" s="87">
      <c r="A650" s="25" t="n"/>
      <c r="B650" s="12" t="n"/>
      <c r="C650" s="12" t="n"/>
      <c r="D650" s="12"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2.75" customHeight="1" s="87">
      <c r="A651" s="25" t="n"/>
      <c r="B651" s="12" t="n"/>
      <c r="C651" s="12" t="n"/>
      <c r="D651" s="12"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2.75" customHeight="1" s="87">
      <c r="A652" s="25" t="n"/>
      <c r="B652" s="12" t="n"/>
      <c r="C652" s="12" t="n"/>
      <c r="D652" s="12"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2.75" customHeight="1" s="87">
      <c r="A653" s="25" t="n"/>
      <c r="B653" s="12" t="n"/>
      <c r="C653" s="12" t="n"/>
      <c r="D653" s="12"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2.75" customHeight="1" s="87">
      <c r="A654" s="25" t="n"/>
      <c r="B654" s="12" t="n"/>
      <c r="C654" s="12" t="n"/>
      <c r="D654" s="12"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2.75" customHeight="1" s="87">
      <c r="A655" s="25" t="n"/>
      <c r="B655" s="12" t="n"/>
      <c r="C655" s="12" t="n"/>
      <c r="D655" s="12"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2.75" customHeight="1" s="87">
      <c r="A656" s="25" t="n"/>
      <c r="B656" s="12" t="n"/>
      <c r="C656" s="12" t="n"/>
      <c r="D656" s="12"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2.75" customHeight="1" s="87">
      <c r="A657" s="25" t="n"/>
      <c r="B657" s="12" t="n"/>
      <c r="C657" s="12" t="n"/>
      <c r="D657" s="12"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2.75" customHeight="1" s="87">
      <c r="A658" s="25" t="n"/>
      <c r="B658" s="12" t="n"/>
      <c r="C658" s="12" t="n"/>
      <c r="D658" s="12"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2.75" customHeight="1" s="87">
      <c r="A659" s="25" t="n"/>
      <c r="B659" s="12" t="n"/>
      <c r="C659" s="12" t="n"/>
      <c r="D659" s="12"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2.75" customHeight="1" s="87">
      <c r="A660" s="25" t="n"/>
      <c r="B660" s="12" t="n"/>
      <c r="C660" s="12" t="n"/>
      <c r="D660" s="12"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2.75" customHeight="1" s="87">
      <c r="A661" s="25" t="n"/>
      <c r="B661" s="12" t="n"/>
      <c r="C661" s="12" t="n"/>
      <c r="D661" s="12"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2.75" customHeight="1" s="87">
      <c r="A662" s="25" t="n"/>
      <c r="B662" s="12" t="n"/>
      <c r="C662" s="12" t="n"/>
      <c r="D662" s="12"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2.75" customHeight="1" s="87">
      <c r="A663" s="25" t="n"/>
      <c r="B663" s="12" t="n"/>
      <c r="C663" s="12" t="n"/>
      <c r="D663" s="12"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2.75" customHeight="1" s="87">
      <c r="A664" s="25" t="n"/>
      <c r="B664" s="12" t="n"/>
      <c r="C664" s="12" t="n"/>
      <c r="D664" s="12"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2.75" customHeight="1" s="87">
      <c r="A665" s="25" t="n"/>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2.75" customHeight="1" s="87">
      <c r="A666" s="25" t="n"/>
      <c r="B666" s="12" t="n"/>
      <c r="C666" s="12" t="n"/>
      <c r="D666" s="12"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2.75" customHeight="1" s="87">
      <c r="A667" s="25" t="n"/>
      <c r="B667" s="12" t="n"/>
      <c r="C667" s="12" t="n"/>
      <c r="D667" s="12"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2.75" customHeight="1" s="87">
      <c r="A668" s="25" t="n"/>
      <c r="B668" s="12" t="n"/>
      <c r="C668" s="12" t="n"/>
      <c r="D668" s="12"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2.75" customHeight="1" s="87">
      <c r="A669" s="25" t="n"/>
      <c r="B669" s="12" t="n"/>
      <c r="C669" s="12" t="n"/>
      <c r="D669" s="12"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2.75" customHeight="1" s="87">
      <c r="A670" s="25" t="n"/>
      <c r="B670" s="12" t="n"/>
      <c r="C670" s="12" t="n"/>
      <c r="D670" s="12"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2.75" customHeight="1" s="87">
      <c r="A671" s="25" t="n"/>
      <c r="B671" s="12" t="n"/>
      <c r="C671" s="12" t="n"/>
      <c r="D671" s="12"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2.75" customHeight="1" s="87">
      <c r="A672" s="25" t="n"/>
      <c r="B672" s="12" t="n"/>
      <c r="C672" s="12" t="n"/>
      <c r="D672" s="12"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2.75" customHeight="1" s="87">
      <c r="A673" s="25" t="n"/>
      <c r="B673" s="12" t="n"/>
      <c r="C673" s="12" t="n"/>
      <c r="D673" s="12"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2.75" customHeight="1" s="87">
      <c r="A674" s="25" t="n"/>
      <c r="B674" s="12" t="n"/>
      <c r="C674" s="12" t="n"/>
      <c r="D674" s="12"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2.75" customHeight="1" s="87">
      <c r="A675" s="25" t="n"/>
      <c r="B675" s="12" t="n"/>
      <c r="C675" s="12" t="n"/>
      <c r="D675" s="12"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2.75" customHeight="1" s="87">
      <c r="A676" s="25" t="n"/>
      <c r="B676" s="12" t="n"/>
      <c r="C676" s="12" t="n"/>
      <c r="D676" s="12"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2.75" customHeight="1" s="87">
      <c r="A677" s="25" t="n"/>
      <c r="B677" s="12" t="n"/>
      <c r="C677" s="12" t="n"/>
      <c r="D677" s="12"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2.75" customHeight="1" s="87">
      <c r="A678" s="25" t="n"/>
      <c r="B678" s="12" t="n"/>
      <c r="C678" s="12" t="n"/>
      <c r="D678" s="12"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2.75" customHeight="1" s="87">
      <c r="A679" s="25" t="n"/>
      <c r="B679" s="12" t="n"/>
      <c r="C679" s="12" t="n"/>
      <c r="D679" s="12"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2.75" customHeight="1" s="87">
      <c r="A680" s="25" t="n"/>
      <c r="B680" s="12" t="n"/>
      <c r="C680" s="12" t="n"/>
      <c r="D680" s="12"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2.75" customHeight="1" s="87">
      <c r="A681" s="25" t="n"/>
      <c r="B681" s="12" t="n"/>
      <c r="C681" s="12" t="n"/>
      <c r="D681" s="12"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2.75" customHeight="1" s="87">
      <c r="A682" s="25" t="n"/>
      <c r="B682" s="12" t="n"/>
      <c r="C682" s="12" t="n"/>
      <c r="D682" s="12"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2.75" customHeight="1" s="87">
      <c r="A683" s="25" t="n"/>
      <c r="B683" s="12" t="n"/>
      <c r="C683" s="12" t="n"/>
      <c r="D683" s="12"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2.75" customHeight="1" s="87">
      <c r="A684" s="25" t="n"/>
      <c r="B684" s="12" t="n"/>
      <c r="C684" s="12" t="n"/>
      <c r="D684" s="12"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2.75" customHeight="1" s="87">
      <c r="A685" s="25" t="n"/>
      <c r="B685" s="12" t="n"/>
      <c r="C685" s="12" t="n"/>
      <c r="D685" s="12"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2.75" customHeight="1" s="87">
      <c r="A686" s="25" t="n"/>
      <c r="B686" s="12" t="n"/>
      <c r="C686" s="12" t="n"/>
      <c r="D686" s="12"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2.75" customHeight="1" s="87">
      <c r="A687" s="25" t="n"/>
      <c r="B687" s="12" t="n"/>
      <c r="C687" s="12" t="n"/>
      <c r="D687" s="12"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2.75" customHeight="1" s="87">
      <c r="A688" s="25" t="n"/>
      <c r="B688" s="12" t="n"/>
      <c r="C688" s="12" t="n"/>
      <c r="D688" s="12"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2.75" customHeight="1" s="87">
      <c r="A689" s="25" t="n"/>
      <c r="B689" s="12" t="n"/>
      <c r="C689" s="12" t="n"/>
      <c r="D689" s="12"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2.75" customHeight="1" s="87">
      <c r="A690" s="25" t="n"/>
      <c r="B690" s="12" t="n"/>
      <c r="C690" s="12" t="n"/>
      <c r="D690" s="12"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2.75" customHeight="1" s="87">
      <c r="A691" s="25" t="n"/>
      <c r="B691" s="12" t="n"/>
      <c r="C691" s="12" t="n"/>
      <c r="D691" s="12"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2.75" customHeight="1" s="87">
      <c r="A692" s="25" t="n"/>
      <c r="B692" s="12" t="n"/>
      <c r="C692" s="12" t="n"/>
      <c r="D692" s="12"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2.75" customHeight="1" s="87">
      <c r="A693" s="25" t="n"/>
      <c r="B693" s="12" t="n"/>
      <c r="C693" s="12" t="n"/>
      <c r="D693" s="12"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2.75" customHeight="1" s="87">
      <c r="A694" s="25" t="n"/>
      <c r="B694" s="12" t="n"/>
      <c r="C694" s="12" t="n"/>
      <c r="D694" s="12"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2.75" customHeight="1" s="87">
      <c r="A695" s="25" t="n"/>
      <c r="B695" s="12" t="n"/>
      <c r="C695" s="12" t="n"/>
      <c r="D695" s="12"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2.75" customHeight="1" s="87">
      <c r="A696" s="25" t="n"/>
      <c r="B696" s="12" t="n"/>
      <c r="C696" s="12" t="n"/>
      <c r="D696" s="12"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2.75" customHeight="1" s="87">
      <c r="A697" s="25" t="n"/>
      <c r="B697" s="12" t="n"/>
      <c r="C697" s="12" t="n"/>
      <c r="D697" s="12"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2.75" customHeight="1" s="87">
      <c r="A698" s="25" t="n"/>
      <c r="B698" s="12" t="n"/>
      <c r="C698" s="12" t="n"/>
      <c r="D698" s="12"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2.75" customHeight="1" s="87">
      <c r="A699" s="25" t="n"/>
      <c r="B699" s="12" t="n"/>
      <c r="C699" s="12" t="n"/>
      <c r="D699" s="12"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2.75" customHeight="1" s="87">
      <c r="A700" s="25" t="n"/>
      <c r="B700" s="12" t="n"/>
      <c r="C700" s="12" t="n"/>
      <c r="D700" s="12"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2.75" customHeight="1" s="87">
      <c r="A701" s="25" t="n"/>
      <c r="B701" s="12" t="n"/>
      <c r="C701" s="12" t="n"/>
      <c r="D701" s="12"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2.75" customHeight="1" s="87">
      <c r="A702" s="25" t="n"/>
      <c r="B702" s="12" t="n"/>
      <c r="C702" s="12" t="n"/>
      <c r="D702" s="12"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2.75" customHeight="1" s="87">
      <c r="A703" s="25" t="n"/>
      <c r="B703" s="12" t="n"/>
      <c r="C703" s="12" t="n"/>
      <c r="D703" s="12"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2.75" customHeight="1" s="87">
      <c r="A704" s="25" t="n"/>
      <c r="B704" s="12" t="n"/>
      <c r="C704" s="12" t="n"/>
      <c r="D704" s="12"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2.75" customHeight="1" s="87">
      <c r="A705" s="25" t="n"/>
      <c r="B705" s="12" t="n"/>
      <c r="C705" s="12" t="n"/>
      <c r="D705" s="12"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2.75" customHeight="1" s="87">
      <c r="A706" s="25" t="n"/>
      <c r="B706" s="12" t="n"/>
      <c r="C706" s="12" t="n"/>
      <c r="D706" s="12"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2.75" customHeight="1" s="87">
      <c r="A707" s="25" t="n"/>
      <c r="B707" s="12" t="n"/>
      <c r="C707" s="12" t="n"/>
      <c r="D707" s="12"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2.75" customHeight="1" s="87">
      <c r="A708" s="25" t="n"/>
      <c r="B708" s="12" t="n"/>
      <c r="C708" s="12" t="n"/>
      <c r="D708" s="12"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2.75" customHeight="1" s="87">
      <c r="A709" s="25" t="n"/>
      <c r="B709" s="12" t="n"/>
      <c r="C709" s="12" t="n"/>
      <c r="D709" s="12"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2.75" customHeight="1" s="87">
      <c r="A710" s="25" t="n"/>
      <c r="B710" s="12" t="n"/>
      <c r="C710" s="12" t="n"/>
      <c r="D710" s="12"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2.75" customHeight="1" s="87">
      <c r="A711" s="25" t="n"/>
      <c r="B711" s="12" t="n"/>
      <c r="C711" s="12" t="n"/>
      <c r="D711" s="12"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2.75" customHeight="1" s="87">
      <c r="A712" s="25" t="n"/>
      <c r="B712" s="12" t="n"/>
      <c r="C712" s="12" t="n"/>
      <c r="D712" s="12"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2.75" customHeight="1" s="87">
      <c r="A713" s="25" t="n"/>
      <c r="B713" s="12" t="n"/>
      <c r="C713" s="12" t="n"/>
      <c r="D713" s="12"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2.75" customHeight="1" s="87">
      <c r="A714" s="25" t="n"/>
      <c r="B714" s="12" t="n"/>
      <c r="C714" s="12" t="n"/>
      <c r="D714" s="12"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2.75" customHeight="1" s="87">
      <c r="A715" s="25" t="n"/>
      <c r="B715" s="12" t="n"/>
      <c r="C715" s="12" t="n"/>
      <c r="D715" s="12"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2.75" customHeight="1" s="87">
      <c r="A716" s="25" t="n"/>
      <c r="B716" s="12" t="n"/>
      <c r="C716" s="12" t="n"/>
      <c r="D716" s="12"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2.75" customHeight="1" s="87">
      <c r="A717" s="25" t="n"/>
      <c r="B717" s="12" t="n"/>
      <c r="C717" s="12" t="n"/>
      <c r="D717" s="12"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2.75" customHeight="1" s="87">
      <c r="A718" s="25" t="n"/>
      <c r="B718" s="12" t="n"/>
      <c r="C718" s="12" t="n"/>
      <c r="D718" s="12"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2.75" customHeight="1" s="87">
      <c r="A719" s="25" t="n"/>
      <c r="B719" s="12" t="n"/>
      <c r="C719" s="12" t="n"/>
      <c r="D719" s="12"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2.75" customHeight="1" s="87">
      <c r="A720" s="25" t="n"/>
      <c r="B720" s="12" t="n"/>
      <c r="C720" s="12" t="n"/>
      <c r="D720" s="12"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2.75" customHeight="1" s="87">
      <c r="A721" s="25" t="n"/>
      <c r="B721" s="12" t="n"/>
      <c r="C721" s="12" t="n"/>
      <c r="D721" s="12"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2.75" customHeight="1" s="87">
      <c r="A722" s="25" t="n"/>
      <c r="B722" s="12" t="n"/>
      <c r="C722" s="12" t="n"/>
      <c r="D722" s="12"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2.75" customHeight="1" s="87">
      <c r="A723" s="25" t="n"/>
      <c r="B723" s="12" t="n"/>
      <c r="C723" s="12" t="n"/>
      <c r="D723" s="12"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2.75" customHeight="1" s="87">
      <c r="A724" s="25" t="n"/>
      <c r="B724" s="12" t="n"/>
      <c r="C724" s="12" t="n"/>
      <c r="D724" s="12"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2.75" customHeight="1" s="87">
      <c r="A725" s="25" t="n"/>
      <c r="B725" s="12" t="n"/>
      <c r="C725" s="12" t="n"/>
      <c r="D725" s="12"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2.75" customHeight="1" s="87">
      <c r="A726" s="25" t="n"/>
      <c r="B726" s="12" t="n"/>
      <c r="C726" s="12" t="n"/>
      <c r="D726" s="12"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2.75" customHeight="1" s="87">
      <c r="A727" s="25" t="n"/>
      <c r="B727" s="12" t="n"/>
      <c r="C727" s="12" t="n"/>
      <c r="D727" s="12"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2.75" customHeight="1" s="87">
      <c r="A728" s="25" t="n"/>
      <c r="B728" s="12" t="n"/>
      <c r="C728" s="12" t="n"/>
      <c r="D728" s="12"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2.75" customHeight="1" s="87">
      <c r="A729" s="25" t="n"/>
      <c r="B729" s="12" t="n"/>
      <c r="C729" s="12" t="n"/>
      <c r="D729" s="12"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2.75" customHeight="1" s="87">
      <c r="A730" s="25" t="n"/>
      <c r="B730" s="12" t="n"/>
      <c r="C730" s="12" t="n"/>
      <c r="D730" s="12"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2.75" customHeight="1" s="87">
      <c r="A731" s="25" t="n"/>
      <c r="B731" s="12" t="n"/>
      <c r="C731" s="12" t="n"/>
      <c r="D731" s="12"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2.75" customHeight="1" s="87">
      <c r="A732" s="25" t="n"/>
      <c r="B732" s="12" t="n"/>
      <c r="C732" s="12" t="n"/>
      <c r="D732" s="12"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2.75" customHeight="1" s="87">
      <c r="A733" s="25" t="n"/>
      <c r="B733" s="12" t="n"/>
      <c r="C733" s="12" t="n"/>
      <c r="D733" s="12"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2.75" customHeight="1" s="87">
      <c r="A734" s="25" t="n"/>
      <c r="B734" s="12" t="n"/>
      <c r="C734" s="12" t="n"/>
      <c r="D734" s="12"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2.75" customHeight="1" s="87">
      <c r="A735" s="25" t="n"/>
      <c r="B735" s="12" t="n"/>
      <c r="C735" s="12" t="n"/>
      <c r="D735" s="12"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2.75" customHeight="1" s="87">
      <c r="A736" s="25" t="n"/>
      <c r="B736" s="12" t="n"/>
      <c r="C736" s="12" t="n"/>
      <c r="D736" s="12"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2.75" customHeight="1" s="87">
      <c r="A737" s="25" t="n"/>
      <c r="B737" s="12" t="n"/>
      <c r="C737" s="12" t="n"/>
      <c r="D737" s="12"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2.75" customHeight="1" s="87">
      <c r="A738" s="25" t="n"/>
      <c r="B738" s="12" t="n"/>
      <c r="C738" s="12" t="n"/>
      <c r="D738" s="12"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2.75" customHeight="1" s="87">
      <c r="A739" s="25" t="n"/>
      <c r="B739" s="12" t="n"/>
      <c r="C739" s="12" t="n"/>
      <c r="D739" s="12"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2.75" customHeight="1" s="87">
      <c r="A740" s="25" t="n"/>
      <c r="B740" s="12" t="n"/>
      <c r="C740" s="12" t="n"/>
      <c r="D740" s="12"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2.75" customHeight="1" s="87">
      <c r="A741" s="25" t="n"/>
      <c r="B741" s="12" t="n"/>
      <c r="C741" s="12" t="n"/>
      <c r="D741" s="12"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2.75" customHeight="1" s="87">
      <c r="A742" s="25" t="n"/>
      <c r="B742" s="12" t="n"/>
      <c r="C742" s="12" t="n"/>
      <c r="D742" s="12"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2.75" customHeight="1" s="87">
      <c r="A743" s="25" t="n"/>
      <c r="B743" s="12" t="n"/>
      <c r="C743" s="12" t="n"/>
      <c r="D743" s="12"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2.75" customHeight="1" s="87">
      <c r="A744" s="25" t="n"/>
      <c r="B744" s="12" t="n"/>
      <c r="C744" s="12" t="n"/>
      <c r="D744" s="12"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2.75" customHeight="1" s="87">
      <c r="A745" s="25" t="n"/>
      <c r="B745" s="12" t="n"/>
      <c r="C745" s="12" t="n"/>
      <c r="D745" s="12"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2.75" customHeight="1" s="87">
      <c r="A746" s="25" t="n"/>
      <c r="B746" s="12" t="n"/>
      <c r="C746" s="12" t="n"/>
      <c r="D746" s="12"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2.75" customHeight="1" s="87">
      <c r="A747" s="25" t="n"/>
      <c r="B747" s="12" t="n"/>
      <c r="C747" s="12" t="n"/>
      <c r="D747" s="12"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2.75" customHeight="1" s="87">
      <c r="A748" s="25" t="n"/>
      <c r="B748" s="12" t="n"/>
      <c r="C748" s="12" t="n"/>
      <c r="D748" s="12"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2.75" customHeight="1" s="87">
      <c r="A749" s="25" t="n"/>
      <c r="B749" s="12" t="n"/>
      <c r="C749" s="12" t="n"/>
      <c r="D749" s="12"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2.75" customHeight="1" s="87">
      <c r="A750" s="25" t="n"/>
      <c r="B750" s="12" t="n"/>
      <c r="C750" s="12" t="n"/>
      <c r="D750" s="12"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2.75" customHeight="1" s="87">
      <c r="A751" s="25" t="n"/>
      <c r="B751" s="12" t="n"/>
      <c r="C751" s="12" t="n"/>
      <c r="D751" s="12"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2.75" customHeight="1" s="87">
      <c r="A752" s="25" t="n"/>
      <c r="B752" s="12" t="n"/>
      <c r="C752" s="12" t="n"/>
      <c r="D752" s="12"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2.75" customHeight="1" s="87">
      <c r="A753" s="25" t="n"/>
      <c r="B753" s="12" t="n"/>
      <c r="C753" s="12" t="n"/>
      <c r="D753" s="12"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2.75" customHeight="1" s="87">
      <c r="A754" s="25" t="n"/>
      <c r="B754" s="12" t="n"/>
      <c r="C754" s="12" t="n"/>
      <c r="D754" s="12"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2.75" customHeight="1" s="87">
      <c r="A755" s="25" t="n"/>
      <c r="B755" s="12" t="n"/>
      <c r="C755" s="12" t="n"/>
      <c r="D755" s="12"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2.75" customHeight="1" s="87">
      <c r="A756" s="25" t="n"/>
      <c r="B756" s="12" t="n"/>
      <c r="C756" s="12" t="n"/>
      <c r="D756" s="12"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2.75" customHeight="1" s="87">
      <c r="A757" s="25" t="n"/>
      <c r="B757" s="12" t="n"/>
      <c r="C757" s="12" t="n"/>
      <c r="D757" s="12"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2.75" customHeight="1" s="87">
      <c r="A758" s="25" t="n"/>
      <c r="B758" s="12" t="n"/>
      <c r="C758" s="12" t="n"/>
      <c r="D758" s="12"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2.75" customHeight="1" s="87">
      <c r="A759" s="25" t="n"/>
      <c r="B759" s="12" t="n"/>
      <c r="C759" s="12" t="n"/>
      <c r="D759" s="12"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2.75" customHeight="1" s="87">
      <c r="A760" s="25" t="n"/>
      <c r="B760" s="12" t="n"/>
      <c r="C760" s="12" t="n"/>
      <c r="D760" s="12"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2.75" customHeight="1" s="87">
      <c r="A761" s="25" t="n"/>
      <c r="B761" s="12" t="n"/>
      <c r="C761" s="12" t="n"/>
      <c r="D761" s="12"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2.75" customHeight="1" s="87">
      <c r="A762" s="25" t="n"/>
      <c r="B762" s="12" t="n"/>
      <c r="C762" s="12" t="n"/>
      <c r="D762" s="12"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2.75" customHeight="1" s="87">
      <c r="A763" s="25" t="n"/>
      <c r="B763" s="12" t="n"/>
      <c r="C763" s="12" t="n"/>
      <c r="D763" s="12"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2.75" customHeight="1" s="87">
      <c r="A764" s="25" t="n"/>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2.75" customHeight="1" s="87">
      <c r="A765" s="25" t="n"/>
      <c r="B765" s="12" t="n"/>
      <c r="C765" s="12" t="n"/>
      <c r="D765" s="12"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2.75" customHeight="1" s="87">
      <c r="A766" s="25" t="n"/>
      <c r="B766" s="12" t="n"/>
      <c r="C766" s="12" t="n"/>
      <c r="D766" s="12"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2.75" customHeight="1" s="87">
      <c r="A767" s="25" t="n"/>
      <c r="B767" s="12" t="n"/>
      <c r="C767" s="12" t="n"/>
      <c r="D767" s="12"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2.75" customHeight="1" s="87">
      <c r="A768" s="25" t="n"/>
      <c r="B768" s="12" t="n"/>
      <c r="C768" s="12" t="n"/>
      <c r="D768" s="12"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2.75" customHeight="1" s="87">
      <c r="A769" s="25" t="n"/>
      <c r="B769" s="12" t="n"/>
      <c r="C769" s="12" t="n"/>
      <c r="D769" s="12"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2.75" customHeight="1" s="87">
      <c r="A770" s="25" t="n"/>
      <c r="B770" s="12" t="n"/>
      <c r="C770" s="12" t="n"/>
      <c r="D770" s="12"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2.75" customHeight="1" s="87">
      <c r="A771" s="25" t="n"/>
      <c r="B771" s="12" t="n"/>
      <c r="C771" s="12" t="n"/>
      <c r="D771" s="12"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2.75" customHeight="1" s="87">
      <c r="A772" s="25" t="n"/>
      <c r="B772" s="12" t="n"/>
      <c r="C772" s="12" t="n"/>
      <c r="D772" s="12"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2.75" customHeight="1" s="87">
      <c r="A773" s="25" t="n"/>
      <c r="B773" s="12" t="n"/>
      <c r="C773" s="12" t="n"/>
      <c r="D773" s="12"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2.75" customHeight="1" s="87">
      <c r="A774" s="25" t="n"/>
      <c r="B774" s="12" t="n"/>
      <c r="C774" s="12" t="n"/>
      <c r="D774" s="12"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2.75" customHeight="1" s="87">
      <c r="A775" s="25" t="n"/>
      <c r="B775" s="12" t="n"/>
      <c r="C775" s="12" t="n"/>
      <c r="D775" s="12"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2.75" customHeight="1" s="87">
      <c r="A776" s="25" t="n"/>
      <c r="B776" s="12" t="n"/>
      <c r="C776" s="12" t="n"/>
      <c r="D776" s="12"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2.75" customHeight="1" s="87">
      <c r="A777" s="25" t="n"/>
      <c r="B777" s="12" t="n"/>
      <c r="C777" s="12" t="n"/>
      <c r="D777" s="12"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2.75" customHeight="1" s="87">
      <c r="A778" s="25" t="n"/>
      <c r="B778" s="12" t="n"/>
      <c r="C778" s="12" t="n"/>
      <c r="D778" s="12"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2.75" customHeight="1" s="87">
      <c r="A779" s="25" t="n"/>
      <c r="B779" s="12" t="n"/>
      <c r="C779" s="12" t="n"/>
      <c r="D779" s="12"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2.75" customHeight="1" s="87">
      <c r="A780" s="25" t="n"/>
      <c r="B780" s="12" t="n"/>
      <c r="C780" s="12" t="n"/>
      <c r="D780" s="12"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2.75" customHeight="1" s="87">
      <c r="A781" s="25" t="n"/>
      <c r="B781" s="12" t="n"/>
      <c r="C781" s="12" t="n"/>
      <c r="D781" s="12"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2.75" customHeight="1" s="87">
      <c r="A782" s="25" t="n"/>
      <c r="B782" s="12" t="n"/>
      <c r="C782" s="12" t="n"/>
      <c r="D782" s="12"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2.75" customHeight="1" s="87">
      <c r="A783" s="25" t="n"/>
      <c r="B783" s="12" t="n"/>
      <c r="C783" s="12" t="n"/>
      <c r="D783" s="12"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2.75" customHeight="1" s="87">
      <c r="A784" s="25" t="n"/>
      <c r="B784" s="12" t="n"/>
      <c r="C784" s="12" t="n"/>
      <c r="D784" s="12"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2.75" customHeight="1" s="87">
      <c r="A785" s="25" t="n"/>
      <c r="B785" s="12" t="n"/>
      <c r="C785" s="12" t="n"/>
      <c r="D785" s="12"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2.75" customHeight="1" s="87">
      <c r="A786" s="25" t="n"/>
      <c r="B786" s="12" t="n"/>
      <c r="C786" s="12" t="n"/>
      <c r="D786" s="12"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2.75" customHeight="1" s="87">
      <c r="A787" s="25" t="n"/>
      <c r="B787" s="12" t="n"/>
      <c r="C787" s="12" t="n"/>
      <c r="D787" s="12"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2.75" customHeight="1" s="87">
      <c r="A788" s="25" t="n"/>
      <c r="B788" s="12" t="n"/>
      <c r="C788" s="12" t="n"/>
      <c r="D788" s="12"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2.75" customHeight="1" s="87">
      <c r="A789" s="25" t="n"/>
      <c r="B789" s="12" t="n"/>
      <c r="C789" s="12" t="n"/>
      <c r="D789" s="12"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2.75" customHeight="1" s="87">
      <c r="A790" s="25" t="n"/>
      <c r="B790" s="12" t="n"/>
      <c r="C790" s="12" t="n"/>
      <c r="D790" s="12"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2.75" customHeight="1" s="87">
      <c r="A791" s="25" t="n"/>
      <c r="B791" s="12" t="n"/>
      <c r="C791" s="12" t="n"/>
      <c r="D791" s="12"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2.75" customHeight="1" s="87">
      <c r="A792" s="25" t="n"/>
      <c r="B792" s="12" t="n"/>
      <c r="C792" s="12" t="n"/>
      <c r="D792" s="12"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2.75" customHeight="1" s="87">
      <c r="A793" s="25" t="n"/>
      <c r="B793" s="12" t="n"/>
      <c r="C793" s="12" t="n"/>
      <c r="D793" s="12"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2.75" customHeight="1" s="87">
      <c r="A794" s="25" t="n"/>
      <c r="B794" s="12" t="n"/>
      <c r="C794" s="12" t="n"/>
      <c r="D794" s="12"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2.75" customHeight="1" s="87">
      <c r="A795" s="25" t="n"/>
      <c r="B795" s="12" t="n"/>
      <c r="C795" s="12" t="n"/>
      <c r="D795" s="12"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2.75" customHeight="1" s="87">
      <c r="A796" s="25" t="n"/>
      <c r="B796" s="12" t="n"/>
      <c r="C796" s="12" t="n"/>
      <c r="D796" s="12"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2.75" customHeight="1" s="87">
      <c r="A797" s="25" t="n"/>
      <c r="B797" s="12" t="n"/>
      <c r="C797" s="12" t="n"/>
      <c r="D797" s="12"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2.75" customHeight="1" s="87">
      <c r="A798" s="25" t="n"/>
      <c r="B798" s="12" t="n"/>
      <c r="C798" s="12" t="n"/>
      <c r="D798" s="12"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2.75" customHeight="1" s="87">
      <c r="A799" s="25" t="n"/>
      <c r="B799" s="12" t="n"/>
      <c r="C799" s="12" t="n"/>
      <c r="D799" s="12"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2.75" customHeight="1" s="87">
      <c r="A800" s="25" t="n"/>
      <c r="B800" s="12" t="n"/>
      <c r="C800" s="12" t="n"/>
      <c r="D800" s="12"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2.75" customHeight="1" s="87">
      <c r="A801" s="25" t="n"/>
      <c r="B801" s="12" t="n"/>
      <c r="C801" s="12" t="n"/>
      <c r="D801" s="12"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2.75" customHeight="1" s="87">
      <c r="A802" s="25" t="n"/>
      <c r="B802" s="12" t="n"/>
      <c r="C802" s="12" t="n"/>
      <c r="D802" s="12"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2.75" customHeight="1" s="87">
      <c r="A803" s="25" t="n"/>
      <c r="B803" s="12" t="n"/>
      <c r="C803" s="12" t="n"/>
      <c r="D803" s="12"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2.75" customHeight="1" s="87">
      <c r="A804" s="25" t="n"/>
      <c r="B804" s="12" t="n"/>
      <c r="C804" s="12" t="n"/>
      <c r="D804" s="12"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2.75" customHeight="1" s="87">
      <c r="A805" s="25" t="n"/>
      <c r="B805" s="12" t="n"/>
      <c r="C805" s="12" t="n"/>
      <c r="D805" s="12"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2.75" customHeight="1" s="87">
      <c r="A806" s="25" t="n"/>
      <c r="B806" s="12" t="n"/>
      <c r="C806" s="12" t="n"/>
      <c r="D806" s="12"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2.75" customHeight="1" s="87">
      <c r="A807" s="25" t="n"/>
      <c r="B807" s="12" t="n"/>
      <c r="C807" s="12" t="n"/>
      <c r="D807" s="12"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2.75" customHeight="1" s="87">
      <c r="A808" s="25" t="n"/>
      <c r="B808" s="12" t="n"/>
      <c r="C808" s="12" t="n"/>
      <c r="D808" s="12"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2.75" customHeight="1" s="87">
      <c r="A809" s="25" t="n"/>
      <c r="B809" s="12" t="n"/>
      <c r="C809" s="12" t="n"/>
      <c r="D809" s="12"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2.75" customHeight="1" s="87">
      <c r="A810" s="25" t="n"/>
      <c r="B810" s="12" t="n"/>
      <c r="C810" s="12" t="n"/>
      <c r="D810" s="12"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2.75" customHeight="1" s="87">
      <c r="A811" s="25" t="n"/>
      <c r="B811" s="12" t="n"/>
      <c r="C811" s="12" t="n"/>
      <c r="D811" s="12"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2.75" customHeight="1" s="87">
      <c r="A812" s="25" t="n"/>
      <c r="B812" s="12" t="n"/>
      <c r="C812" s="12" t="n"/>
      <c r="D812" s="12"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2.75" customHeight="1" s="87">
      <c r="A813" s="25" t="n"/>
      <c r="B813" s="12" t="n"/>
      <c r="C813" s="12" t="n"/>
      <c r="D813" s="12"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2.75" customHeight="1" s="87">
      <c r="A814" s="25" t="n"/>
      <c r="B814" s="12" t="n"/>
      <c r="C814" s="12" t="n"/>
      <c r="D814" s="12"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2.75" customHeight="1" s="87">
      <c r="A815" s="25" t="n"/>
      <c r="B815" s="12" t="n"/>
      <c r="C815" s="12" t="n"/>
      <c r="D815" s="12"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2.75" customHeight="1" s="87">
      <c r="A816" s="25" t="n"/>
      <c r="B816" s="12" t="n"/>
      <c r="C816" s="12" t="n"/>
      <c r="D816" s="12"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2.75" customHeight="1" s="87">
      <c r="A817" s="25" t="n"/>
      <c r="B817" s="12" t="n"/>
      <c r="C817" s="12" t="n"/>
      <c r="D817" s="12"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2.75" customHeight="1" s="87">
      <c r="A818" s="25" t="n"/>
      <c r="B818" s="12" t="n"/>
      <c r="C818" s="12" t="n"/>
      <c r="D818" s="12"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2.75" customHeight="1" s="87">
      <c r="A819" s="25" t="n"/>
      <c r="B819" s="12" t="n"/>
      <c r="C819" s="12" t="n"/>
      <c r="D819" s="12"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2.75" customHeight="1" s="87">
      <c r="A820" s="25" t="n"/>
      <c r="B820" s="12" t="n"/>
      <c r="C820" s="12" t="n"/>
      <c r="D820" s="12"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2.75" customHeight="1" s="87">
      <c r="A821" s="25" t="n"/>
      <c r="B821" s="12" t="n"/>
      <c r="C821" s="12" t="n"/>
      <c r="D821" s="12"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2.75" customHeight="1" s="87">
      <c r="A822" s="25" t="n"/>
      <c r="B822" s="12" t="n"/>
      <c r="C822" s="12" t="n"/>
      <c r="D822" s="12"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2.75" customHeight="1" s="87">
      <c r="A823" s="25" t="n"/>
      <c r="B823" s="12" t="n"/>
      <c r="C823" s="12" t="n"/>
      <c r="D823" s="12"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2.75" customHeight="1" s="87">
      <c r="A824" s="25" t="n"/>
      <c r="B824" s="12" t="n"/>
      <c r="C824" s="12" t="n"/>
      <c r="D824" s="12"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2.75" customHeight="1" s="87">
      <c r="A825" s="25" t="n"/>
      <c r="B825" s="12" t="n"/>
      <c r="C825" s="12" t="n"/>
      <c r="D825" s="12"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2.75" customHeight="1" s="87">
      <c r="A826" s="25" t="n"/>
      <c r="B826" s="12" t="n"/>
      <c r="C826" s="12" t="n"/>
      <c r="D826" s="12"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2.75" customHeight="1" s="87">
      <c r="A827" s="25" t="n"/>
      <c r="B827" s="12" t="n"/>
      <c r="C827" s="12" t="n"/>
      <c r="D827" s="12"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2.75" customHeight="1" s="87">
      <c r="A828" s="25" t="n"/>
      <c r="B828" s="12" t="n"/>
      <c r="C828" s="12" t="n"/>
      <c r="D828" s="12"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2.75" customHeight="1" s="87">
      <c r="A829" s="25" t="n"/>
      <c r="B829" s="12" t="n"/>
      <c r="C829" s="12" t="n"/>
      <c r="D829" s="12"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2.75" customHeight="1" s="87">
      <c r="A830" s="25" t="n"/>
      <c r="B830" s="12" t="n"/>
      <c r="C830" s="12" t="n"/>
      <c r="D830" s="12"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2.75" customHeight="1" s="87">
      <c r="A831" s="25" t="n"/>
      <c r="B831" s="12" t="n"/>
      <c r="C831" s="12" t="n"/>
      <c r="D831" s="12"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2.75" customHeight="1" s="87">
      <c r="A832" s="25" t="n"/>
      <c r="B832" s="12" t="n"/>
      <c r="C832" s="12" t="n"/>
      <c r="D832" s="12"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2.75" customHeight="1" s="87">
      <c r="A833" s="25" t="n"/>
      <c r="B833" s="12" t="n"/>
      <c r="C833" s="12" t="n"/>
      <c r="D833" s="12"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2.75" customHeight="1" s="87">
      <c r="A834" s="25" t="n"/>
      <c r="B834" s="12" t="n"/>
      <c r="C834" s="12" t="n"/>
      <c r="D834" s="12"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2.75" customHeight="1" s="87">
      <c r="A835" s="25" t="n"/>
      <c r="B835" s="12" t="n"/>
      <c r="C835" s="12" t="n"/>
      <c r="D835" s="12"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2.75" customHeight="1" s="87">
      <c r="A836" s="25" t="n"/>
      <c r="B836" s="12" t="n"/>
      <c r="C836" s="12" t="n"/>
      <c r="D836" s="12"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2.75" customHeight="1" s="87">
      <c r="A837" s="25" t="n"/>
      <c r="B837" s="12" t="n"/>
      <c r="C837" s="12" t="n"/>
      <c r="D837" s="12"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2.75" customHeight="1" s="87">
      <c r="A838" s="25" t="n"/>
      <c r="B838" s="12" t="n"/>
      <c r="C838" s="12" t="n"/>
      <c r="D838" s="12"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2.75" customHeight="1" s="87">
      <c r="A839" s="25" t="n"/>
      <c r="B839" s="12" t="n"/>
      <c r="C839" s="12" t="n"/>
      <c r="D839" s="12"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2.75" customHeight="1" s="87">
      <c r="A840" s="25" t="n"/>
      <c r="B840" s="12" t="n"/>
      <c r="C840" s="12" t="n"/>
      <c r="D840" s="12"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2.75" customHeight="1" s="87">
      <c r="A841" s="25" t="n"/>
      <c r="B841" s="12" t="n"/>
      <c r="C841" s="12" t="n"/>
      <c r="D841" s="12"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2.75" customHeight="1" s="87">
      <c r="A842" s="25" t="n"/>
      <c r="B842" s="12" t="n"/>
      <c r="C842" s="12" t="n"/>
      <c r="D842" s="12"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2.75" customHeight="1" s="87">
      <c r="A843" s="25" t="n"/>
      <c r="B843" s="12" t="n"/>
      <c r="C843" s="12" t="n"/>
      <c r="D843" s="12"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2.75" customHeight="1" s="87">
      <c r="A844" s="25" t="n"/>
      <c r="B844" s="12" t="n"/>
      <c r="C844" s="12" t="n"/>
      <c r="D844" s="12"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2.75" customHeight="1" s="87">
      <c r="A845" s="25" t="n"/>
      <c r="B845" s="12" t="n"/>
      <c r="C845" s="12" t="n"/>
      <c r="D845" s="12"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2.75" customHeight="1" s="87">
      <c r="A846" s="25" t="n"/>
      <c r="B846" s="12" t="n"/>
      <c r="C846" s="12" t="n"/>
      <c r="D846" s="12"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2.75" customHeight="1" s="87">
      <c r="A847" s="25" t="n"/>
      <c r="B847" s="12" t="n"/>
      <c r="C847" s="12" t="n"/>
      <c r="D847" s="12"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2.75" customHeight="1" s="87">
      <c r="A848" s="25" t="n"/>
      <c r="B848" s="12" t="n"/>
      <c r="C848" s="12" t="n"/>
      <c r="D848" s="12"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2.75" customHeight="1" s="87">
      <c r="A849" s="25" t="n"/>
      <c r="B849" s="12" t="n"/>
      <c r="C849" s="12" t="n"/>
      <c r="D849" s="12"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2.75" customHeight="1" s="87">
      <c r="A850" s="25" t="n"/>
      <c r="B850" s="12" t="n"/>
      <c r="C850" s="12" t="n"/>
      <c r="D850" s="12"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2.75" customHeight="1" s="87">
      <c r="A851" s="25" t="n"/>
      <c r="B851" s="12" t="n"/>
      <c r="C851" s="12" t="n"/>
      <c r="D851" s="12"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2.75" customHeight="1" s="87">
      <c r="A852" s="25" t="n"/>
      <c r="B852" s="12" t="n"/>
      <c r="C852" s="12" t="n"/>
      <c r="D852" s="12"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2.75" customHeight="1" s="87">
      <c r="A853" s="25" t="n"/>
      <c r="B853" s="12" t="n"/>
      <c r="C853" s="12" t="n"/>
      <c r="D853" s="12"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2.75" customHeight="1" s="87">
      <c r="A854" s="25" t="n"/>
      <c r="B854" s="12" t="n"/>
      <c r="C854" s="12" t="n"/>
      <c r="D854" s="12"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2.75" customHeight="1" s="87">
      <c r="A855" s="25" t="n"/>
      <c r="B855" s="12" t="n"/>
      <c r="C855" s="12" t="n"/>
      <c r="D855" s="12"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2.75" customHeight="1" s="87">
      <c r="A856" s="25" t="n"/>
      <c r="B856" s="12" t="n"/>
      <c r="C856" s="12" t="n"/>
      <c r="D856" s="12"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2.75" customHeight="1" s="87">
      <c r="A857" s="25" t="n"/>
      <c r="B857" s="12" t="n"/>
      <c r="C857" s="12" t="n"/>
      <c r="D857" s="12"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2.75" customHeight="1" s="87">
      <c r="A858" s="25" t="n"/>
      <c r="B858" s="12" t="n"/>
      <c r="C858" s="12" t="n"/>
      <c r="D858" s="12"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2.75" customHeight="1" s="87">
      <c r="A859" s="25" t="n"/>
      <c r="B859" s="12" t="n"/>
      <c r="C859" s="12" t="n"/>
      <c r="D859" s="12"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2.75" customHeight="1" s="87">
      <c r="A860" s="25" t="n"/>
      <c r="B860" s="12" t="n"/>
      <c r="C860" s="12" t="n"/>
      <c r="D860" s="12"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2.75" customHeight="1" s="87">
      <c r="A861" s="25" t="n"/>
      <c r="B861" s="12" t="n"/>
      <c r="C861" s="12" t="n"/>
      <c r="D861" s="12"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2.75" customHeight="1" s="87">
      <c r="A862" s="25" t="n"/>
      <c r="B862" s="12" t="n"/>
      <c r="C862" s="12" t="n"/>
      <c r="D862" s="12"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2.75" customHeight="1" s="87">
      <c r="A863" s="25" t="n"/>
      <c r="B863" s="12" t="n"/>
      <c r="C863" s="12" t="n"/>
      <c r="D863" s="12"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2.75" customHeight="1" s="87">
      <c r="A864" s="25" t="n"/>
      <c r="B864" s="12" t="n"/>
      <c r="C864" s="12" t="n"/>
      <c r="D864" s="12"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2.75" customHeight="1" s="87">
      <c r="A865" s="25" t="n"/>
      <c r="B865" s="12" t="n"/>
      <c r="C865" s="12" t="n"/>
      <c r="D865" s="12"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2.75" customHeight="1" s="87">
      <c r="A866" s="25" t="n"/>
      <c r="B866" s="12" t="n"/>
      <c r="C866" s="12" t="n"/>
      <c r="D866" s="12"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2.75" customHeight="1" s="87">
      <c r="A867" s="25" t="n"/>
      <c r="B867" s="12" t="n"/>
      <c r="C867" s="12" t="n"/>
      <c r="D867" s="12"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2.75" customHeight="1" s="87">
      <c r="A868" s="25" t="n"/>
      <c r="B868" s="12" t="n"/>
      <c r="C868" s="12" t="n"/>
      <c r="D868" s="12"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2.75" customHeight="1" s="87">
      <c r="A869" s="25" t="n"/>
      <c r="B869" s="12" t="n"/>
      <c r="C869" s="12" t="n"/>
      <c r="D869" s="12"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2.75" customHeight="1" s="87">
      <c r="A870" s="25" t="n"/>
      <c r="B870" s="12" t="n"/>
      <c r="C870" s="12" t="n"/>
      <c r="D870" s="12"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2.75" customHeight="1" s="87">
      <c r="A871" s="25" t="n"/>
      <c r="B871" s="12" t="n"/>
      <c r="C871" s="12" t="n"/>
      <c r="D871" s="12"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2.75" customHeight="1" s="87">
      <c r="A872" s="25" t="n"/>
      <c r="B872" s="12" t="n"/>
      <c r="C872" s="12" t="n"/>
      <c r="D872" s="12"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2.75" customHeight="1" s="87">
      <c r="A873" s="25" t="n"/>
      <c r="B873" s="12" t="n"/>
      <c r="C873" s="12" t="n"/>
      <c r="D873" s="12"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2.75" customHeight="1" s="87">
      <c r="A874" s="25" t="n"/>
      <c r="B874" s="12" t="n"/>
      <c r="C874" s="12" t="n"/>
      <c r="D874" s="12"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2.75" customHeight="1" s="87">
      <c r="A875" s="25" t="n"/>
      <c r="B875" s="12" t="n"/>
      <c r="C875" s="12" t="n"/>
      <c r="D875" s="12"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2.75" customHeight="1" s="87">
      <c r="A876" s="25" t="n"/>
      <c r="B876" s="12" t="n"/>
      <c r="C876" s="12" t="n"/>
      <c r="D876" s="12"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2.75" customHeight="1" s="87">
      <c r="A877" s="25" t="n"/>
      <c r="B877" s="12" t="n"/>
      <c r="C877" s="12" t="n"/>
      <c r="D877" s="12"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2.75" customHeight="1" s="87">
      <c r="A878" s="25" t="n"/>
      <c r="B878" s="12" t="n"/>
      <c r="C878" s="12" t="n"/>
      <c r="D878" s="12"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2.75" customHeight="1" s="87">
      <c r="A879" s="25" t="n"/>
      <c r="B879" s="12" t="n"/>
      <c r="C879" s="12" t="n"/>
      <c r="D879" s="12"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2.75" customHeight="1" s="87">
      <c r="A880" s="25" t="n"/>
      <c r="B880" s="12" t="n"/>
      <c r="C880" s="12" t="n"/>
      <c r="D880" s="12"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2.75" customHeight="1" s="87">
      <c r="A881" s="25" t="n"/>
      <c r="B881" s="12" t="n"/>
      <c r="C881" s="12" t="n"/>
      <c r="D881" s="12"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2.75" customHeight="1" s="87">
      <c r="A882" s="25" t="n"/>
      <c r="B882" s="12" t="n"/>
      <c r="C882" s="12" t="n"/>
      <c r="D882" s="12"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2.75" customHeight="1" s="87">
      <c r="A883" s="25" t="n"/>
      <c r="B883" s="12" t="n"/>
      <c r="C883" s="12" t="n"/>
      <c r="D883" s="12"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2.75" customHeight="1" s="87">
      <c r="A884" s="25" t="n"/>
      <c r="B884" s="12" t="n"/>
      <c r="C884" s="12" t="n"/>
      <c r="D884" s="12"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2.75" customHeight="1" s="87">
      <c r="A885" s="25" t="n"/>
      <c r="B885" s="12" t="n"/>
      <c r="C885" s="12" t="n"/>
      <c r="D885" s="12"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2.75" customHeight="1" s="87">
      <c r="A886" s="25" t="n"/>
      <c r="B886" s="12" t="n"/>
      <c r="C886" s="12" t="n"/>
      <c r="D886" s="12"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2.75" customHeight="1" s="87">
      <c r="A887" s="25" t="n"/>
      <c r="B887" s="12" t="n"/>
      <c r="C887" s="12" t="n"/>
      <c r="D887" s="12"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2.75" customHeight="1" s="87">
      <c r="A888" s="25" t="n"/>
      <c r="B888" s="12" t="n"/>
      <c r="C888" s="12" t="n"/>
      <c r="D888" s="12"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2.75" customHeight="1" s="87">
      <c r="A889" s="25" t="n"/>
      <c r="B889" s="12" t="n"/>
      <c r="C889" s="12" t="n"/>
      <c r="D889" s="12"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2.75" customHeight="1" s="87">
      <c r="A890" s="25" t="n"/>
      <c r="B890" s="12" t="n"/>
      <c r="C890" s="12" t="n"/>
      <c r="D890" s="12"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2.75" customHeight="1" s="87">
      <c r="A891" s="25" t="n"/>
      <c r="B891" s="12" t="n"/>
      <c r="C891" s="12" t="n"/>
      <c r="D891" s="12"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2.75" customHeight="1" s="87">
      <c r="A892" s="25" t="n"/>
      <c r="B892" s="12" t="n"/>
      <c r="C892" s="12" t="n"/>
      <c r="D892" s="12"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2.75" customHeight="1" s="87">
      <c r="A893" s="25" t="n"/>
      <c r="B893" s="12" t="n"/>
      <c r="C893" s="12" t="n"/>
      <c r="D893" s="12"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2.75" customHeight="1" s="87">
      <c r="A894" s="25" t="n"/>
      <c r="B894" s="12" t="n"/>
      <c r="C894" s="12" t="n"/>
      <c r="D894" s="12"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2.75" customHeight="1" s="87">
      <c r="A895" s="25" t="n"/>
      <c r="B895" s="12" t="n"/>
      <c r="C895" s="12" t="n"/>
      <c r="D895" s="12"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2.75" customHeight="1" s="87">
      <c r="A896" s="25" t="n"/>
      <c r="B896" s="12" t="n"/>
      <c r="C896" s="12" t="n"/>
      <c r="D896" s="12"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2.75" customHeight="1" s="87">
      <c r="A897" s="25" t="n"/>
      <c r="B897" s="12" t="n"/>
      <c r="C897" s="12" t="n"/>
      <c r="D897" s="12"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2.75" customHeight="1" s="87">
      <c r="A898" s="25" t="n"/>
      <c r="B898" s="12" t="n"/>
      <c r="C898" s="12" t="n"/>
      <c r="D898" s="12"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2.75" customHeight="1" s="87">
      <c r="A899" s="25" t="n"/>
      <c r="B899" s="12" t="n"/>
      <c r="C899" s="12" t="n"/>
      <c r="D899" s="12"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2.75" customHeight="1" s="87">
      <c r="A900" s="25" t="n"/>
      <c r="B900" s="12" t="n"/>
      <c r="C900" s="12" t="n"/>
      <c r="D900" s="12"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2.75" customHeight="1" s="87">
      <c r="A901" s="25" t="n"/>
      <c r="B901" s="12" t="n"/>
      <c r="C901" s="12" t="n"/>
      <c r="D901" s="12"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2.75" customHeight="1" s="87">
      <c r="A902" s="25" t="n"/>
      <c r="B902" s="12" t="n"/>
      <c r="C902" s="12" t="n"/>
      <c r="D902" s="12"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2.75" customHeight="1" s="87">
      <c r="A903" s="25" t="n"/>
      <c r="B903" s="12" t="n"/>
      <c r="C903" s="12" t="n"/>
      <c r="D903" s="12"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2.75" customHeight="1" s="87">
      <c r="A904" s="25" t="n"/>
      <c r="B904" s="12" t="n"/>
      <c r="C904" s="12" t="n"/>
      <c r="D904" s="12"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2.75" customHeight="1" s="87">
      <c r="A905" s="25" t="n"/>
      <c r="B905" s="12" t="n"/>
      <c r="C905" s="12" t="n"/>
      <c r="D905" s="12"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2.75" customHeight="1" s="87">
      <c r="A906" s="25" t="n"/>
      <c r="B906" s="12" t="n"/>
      <c r="C906" s="12" t="n"/>
      <c r="D906" s="12"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2.75" customHeight="1" s="87">
      <c r="A907" s="25" t="n"/>
      <c r="B907" s="12" t="n"/>
      <c r="C907" s="12" t="n"/>
      <c r="D907" s="12"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2.75" customHeight="1" s="87">
      <c r="A908" s="25" t="n"/>
      <c r="B908" s="12" t="n"/>
      <c r="C908" s="12" t="n"/>
      <c r="D908" s="12"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2.75" customHeight="1" s="87">
      <c r="A909" s="25" t="n"/>
      <c r="B909" s="12" t="n"/>
      <c r="C909" s="12" t="n"/>
      <c r="D909" s="12"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2.75" customHeight="1" s="87">
      <c r="A910" s="25" t="n"/>
      <c r="B910" s="12" t="n"/>
      <c r="C910" s="12" t="n"/>
      <c r="D910" s="12"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2.75" customHeight="1" s="87">
      <c r="A911" s="25" t="n"/>
      <c r="B911" s="12" t="n"/>
      <c r="C911" s="12" t="n"/>
      <c r="D911" s="12"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2.75" customHeight="1" s="87">
      <c r="A912" s="25" t="n"/>
      <c r="B912" s="12" t="n"/>
      <c r="C912" s="12" t="n"/>
      <c r="D912" s="12"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2.75" customHeight="1" s="87">
      <c r="A913" s="25" t="n"/>
      <c r="B913" s="12" t="n"/>
      <c r="C913" s="12" t="n"/>
      <c r="D913" s="12"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2.75" customHeight="1" s="87">
      <c r="A914" s="25" t="n"/>
      <c r="B914" s="12" t="n"/>
      <c r="C914" s="12" t="n"/>
      <c r="D914" s="12"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2.75" customHeight="1" s="87">
      <c r="A915" s="25" t="n"/>
      <c r="B915" s="12" t="n"/>
      <c r="C915" s="12" t="n"/>
      <c r="D915" s="12"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2.75" customHeight="1" s="87">
      <c r="A916" s="25" t="n"/>
      <c r="B916" s="12" t="n"/>
      <c r="C916" s="12" t="n"/>
      <c r="D916" s="12"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2.75" customHeight="1" s="87">
      <c r="A917" s="25" t="n"/>
      <c r="B917" s="12" t="n"/>
      <c r="C917" s="12" t="n"/>
      <c r="D917" s="12"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2.75" customHeight="1" s="87">
      <c r="A918" s="25" t="n"/>
      <c r="B918" s="12" t="n"/>
      <c r="C918" s="12" t="n"/>
      <c r="D918" s="12"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2.75" customHeight="1" s="87">
      <c r="A919" s="25" t="n"/>
      <c r="B919" s="12" t="n"/>
      <c r="C919" s="12" t="n"/>
      <c r="D919" s="12"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2.75" customHeight="1" s="87">
      <c r="A920" s="25" t="n"/>
      <c r="B920" s="12" t="n"/>
      <c r="C920" s="12" t="n"/>
      <c r="D920" s="12"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2.75" customHeight="1" s="87">
      <c r="A921" s="25" t="n"/>
      <c r="B921" s="12" t="n"/>
      <c r="C921" s="12" t="n"/>
      <c r="D921" s="12"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2.75" customHeight="1" s="87">
      <c r="A922" s="25" t="n"/>
      <c r="B922" s="12" t="n"/>
      <c r="C922" s="12" t="n"/>
      <c r="D922" s="12"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2.75" customHeight="1" s="87">
      <c r="A923" s="25" t="n"/>
      <c r="B923" s="12" t="n"/>
      <c r="C923" s="12" t="n"/>
      <c r="D923" s="12"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2.75" customHeight="1" s="87">
      <c r="A924" s="25" t="n"/>
      <c r="B924" s="12" t="n"/>
      <c r="C924" s="12" t="n"/>
      <c r="D924" s="12"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2.75" customHeight="1" s="87">
      <c r="A925" s="25" t="n"/>
      <c r="B925" s="12" t="n"/>
      <c r="C925" s="12" t="n"/>
      <c r="D925" s="12"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2.75" customHeight="1" s="87">
      <c r="A926" s="25" t="n"/>
      <c r="B926" s="12" t="n"/>
      <c r="C926" s="12" t="n"/>
      <c r="D926" s="12"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2.75" customHeight="1" s="87">
      <c r="A927" s="25" t="n"/>
      <c r="B927" s="12" t="n"/>
      <c r="C927" s="12" t="n"/>
      <c r="D927" s="12"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2.75" customHeight="1" s="87">
      <c r="A928" s="25" t="n"/>
      <c r="B928" s="12" t="n"/>
      <c r="C928" s="12" t="n"/>
      <c r="D928" s="12"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2.75" customHeight="1" s="87">
      <c r="A929" s="25" t="n"/>
      <c r="B929" s="12" t="n"/>
      <c r="C929" s="12" t="n"/>
      <c r="D929" s="12"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2.75" customHeight="1" s="87">
      <c r="A930" s="25" t="n"/>
      <c r="B930" s="12" t="n"/>
      <c r="C930" s="12" t="n"/>
      <c r="D930" s="12"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2.75" customHeight="1" s="87">
      <c r="A931" s="25" t="n"/>
      <c r="B931" s="12" t="n"/>
      <c r="C931" s="12" t="n"/>
      <c r="D931" s="12"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2.75" customHeight="1" s="87">
      <c r="A932" s="25" t="n"/>
      <c r="B932" s="12" t="n"/>
      <c r="C932" s="12" t="n"/>
      <c r="D932" s="12"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2.75" customHeight="1" s="87">
      <c r="A933" s="25" t="n"/>
      <c r="B933" s="12" t="n"/>
      <c r="C933" s="12" t="n"/>
      <c r="D933" s="12"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2.75" customHeight="1" s="87">
      <c r="A934" s="25" t="n"/>
      <c r="B934" s="12" t="n"/>
      <c r="C934" s="12" t="n"/>
      <c r="D934" s="12"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2.75" customHeight="1" s="87">
      <c r="A935" s="25" t="n"/>
      <c r="B935" s="12" t="n"/>
      <c r="C935" s="12" t="n"/>
      <c r="D935" s="12"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2.75" customHeight="1" s="87">
      <c r="A936" s="25" t="n"/>
      <c r="B936" s="12" t="n"/>
      <c r="C936" s="12" t="n"/>
      <c r="D936" s="12"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2.75" customHeight="1" s="87">
      <c r="A937" s="25" t="n"/>
      <c r="B937" s="12" t="n"/>
      <c r="C937" s="12" t="n"/>
      <c r="D937" s="12"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2.75" customHeight="1" s="87">
      <c r="A938" s="25" t="n"/>
      <c r="B938" s="12" t="n"/>
      <c r="C938" s="12" t="n"/>
      <c r="D938" s="12"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2.75" customHeight="1" s="87">
      <c r="A939" s="25" t="n"/>
      <c r="B939" s="12" t="n"/>
      <c r="C939" s="12" t="n"/>
      <c r="D939" s="12"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2.75" customHeight="1" s="87">
      <c r="A940" s="25" t="n"/>
      <c r="B940" s="12" t="n"/>
      <c r="C940" s="12" t="n"/>
      <c r="D940" s="12"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2.75" customHeight="1" s="87">
      <c r="A941" s="25" t="n"/>
      <c r="B941" s="12" t="n"/>
      <c r="C941" s="12" t="n"/>
      <c r="D941" s="12"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2.75" customHeight="1" s="87">
      <c r="A942" s="25" t="n"/>
      <c r="B942" s="12" t="n"/>
      <c r="C942" s="12" t="n"/>
      <c r="D942" s="12"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2.75" customHeight="1" s="87">
      <c r="A943" s="25" t="n"/>
      <c r="B943" s="12" t="n"/>
      <c r="C943" s="12" t="n"/>
      <c r="D943" s="12"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2.75" customHeight="1" s="87">
      <c r="A944" s="25" t="n"/>
      <c r="B944" s="12" t="n"/>
      <c r="C944" s="12" t="n"/>
      <c r="D944" s="12"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2.75" customHeight="1" s="87">
      <c r="A945" s="25" t="n"/>
      <c r="B945" s="12" t="n"/>
      <c r="C945" s="12" t="n"/>
      <c r="D945" s="12"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2.75" customHeight="1" s="87">
      <c r="A946" s="25" t="n"/>
      <c r="B946" s="12" t="n"/>
      <c r="C946" s="12" t="n"/>
      <c r="D946" s="12"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2.75" customHeight="1" s="87">
      <c r="A947" s="25" t="n"/>
      <c r="B947" s="12" t="n"/>
      <c r="C947" s="12" t="n"/>
      <c r="D947" s="12"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2.75" customHeight="1" s="87">
      <c r="A948" s="25" t="n"/>
      <c r="B948" s="12" t="n"/>
      <c r="C948" s="12" t="n"/>
      <c r="D948" s="12"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2.75" customHeight="1" s="87">
      <c r="A949" s="25" t="n"/>
      <c r="B949" s="12" t="n"/>
      <c r="C949" s="12" t="n"/>
      <c r="D949" s="12"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2.75" customHeight="1" s="87">
      <c r="A950" s="25" t="n"/>
      <c r="B950" s="12" t="n"/>
      <c r="C950" s="12" t="n"/>
      <c r="D950" s="12"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2.75" customHeight="1" s="87">
      <c r="A951" s="25" t="n"/>
      <c r="B951" s="12" t="n"/>
      <c r="C951" s="12" t="n"/>
      <c r="D951" s="12"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2.75" customHeight="1" s="87">
      <c r="A952" s="25" t="n"/>
      <c r="B952" s="12" t="n"/>
      <c r="C952" s="12" t="n"/>
      <c r="D952" s="12"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2.75" customHeight="1" s="87">
      <c r="A953" s="25" t="n"/>
      <c r="B953" s="12" t="n"/>
      <c r="C953" s="12" t="n"/>
      <c r="D953" s="12"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2.75" customHeight="1" s="87">
      <c r="A954" s="25" t="n"/>
      <c r="B954" s="12" t="n"/>
      <c r="C954" s="12" t="n"/>
      <c r="D954" s="12"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2.75" customHeight="1" s="87">
      <c r="A955" s="25" t="n"/>
      <c r="B955" s="12" t="n"/>
      <c r="C955" s="12" t="n"/>
      <c r="D955" s="12"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2.75" customHeight="1" s="87">
      <c r="A956" s="25" t="n"/>
      <c r="B956" s="12" t="n"/>
      <c r="C956" s="12" t="n"/>
      <c r="D956" s="12"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2.75" customHeight="1" s="87">
      <c r="A957" s="25" t="n"/>
      <c r="B957" s="12" t="n"/>
      <c r="C957" s="12" t="n"/>
      <c r="D957" s="12"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2.75" customHeight="1" s="87">
      <c r="A958" s="25" t="n"/>
      <c r="B958" s="12" t="n"/>
      <c r="C958" s="12" t="n"/>
      <c r="D958" s="12"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2.75" customHeight="1" s="87">
      <c r="A959" s="25" t="n"/>
      <c r="B959" s="12" t="n"/>
      <c r="C959" s="12" t="n"/>
      <c r="D959" s="12"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2.75" customHeight="1" s="87">
      <c r="A960" s="25" t="n"/>
      <c r="B960" s="12" t="n"/>
      <c r="C960" s="12" t="n"/>
      <c r="D960" s="12"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2.75" customHeight="1" s="87">
      <c r="A961" s="25" t="n"/>
      <c r="B961" s="12" t="n"/>
      <c r="C961" s="12" t="n"/>
      <c r="D961" s="12"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2.75" customHeight="1" s="87">
      <c r="A962" s="25" t="n"/>
      <c r="B962" s="12" t="n"/>
      <c r="C962" s="12" t="n"/>
      <c r="D962" s="12"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2.75" customHeight="1" s="87">
      <c r="A963" s="25" t="n"/>
      <c r="B963" s="12" t="n"/>
      <c r="C963" s="12" t="n"/>
      <c r="D963" s="12"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2.75" customHeight="1" s="87">
      <c r="A964" s="25" t="n"/>
      <c r="B964" s="12" t="n"/>
      <c r="C964" s="12" t="n"/>
      <c r="D964" s="12"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2.75" customHeight="1" s="87">
      <c r="A965" s="25" t="n"/>
      <c r="B965" s="12" t="n"/>
      <c r="C965" s="12" t="n"/>
      <c r="D965" s="12"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2.75" customHeight="1" s="87">
      <c r="A966" s="25" t="n"/>
      <c r="B966" s="12" t="n"/>
      <c r="C966" s="12" t="n"/>
      <c r="D966" s="12"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2.75" customHeight="1" s="87">
      <c r="A967" s="25" t="n"/>
      <c r="B967" s="12" t="n"/>
      <c r="C967" s="12" t="n"/>
      <c r="D967" s="12"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2.75" customHeight="1" s="87">
      <c r="A968" s="25" t="n"/>
      <c r="B968" s="12" t="n"/>
      <c r="C968" s="12" t="n"/>
      <c r="D968" s="12"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2.75" customHeight="1" s="87">
      <c r="A969" s="25" t="n"/>
      <c r="B969" s="12" t="n"/>
      <c r="C969" s="12" t="n"/>
      <c r="D969" s="12"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2.75" customHeight="1" s="87">
      <c r="A970" s="25" t="n"/>
      <c r="B970" s="12" t="n"/>
      <c r="C970" s="12" t="n"/>
      <c r="D970" s="12"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2.75" customHeight="1" s="87">
      <c r="A971" s="25" t="n"/>
      <c r="B971" s="12" t="n"/>
      <c r="C971" s="12" t="n"/>
      <c r="D971" s="12"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2.75" customHeight="1" s="87">
      <c r="A972" s="25" t="n"/>
      <c r="B972" s="12" t="n"/>
      <c r="C972" s="12" t="n"/>
      <c r="D972" s="12"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2.75" customHeight="1" s="87">
      <c r="A973" s="25" t="n"/>
      <c r="B973" s="12" t="n"/>
      <c r="C973" s="12" t="n"/>
      <c r="D973" s="12"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2.75" customHeight="1" s="87">
      <c r="A974" s="25" t="n"/>
      <c r="B974" s="12" t="n"/>
      <c r="C974" s="12" t="n"/>
      <c r="D974" s="12"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2.75" customHeight="1" s="87">
      <c r="A975" s="25" t="n"/>
      <c r="B975" s="12" t="n"/>
      <c r="C975" s="12" t="n"/>
      <c r="D975" s="12"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2.75" customHeight="1" s="87">
      <c r="A976" s="25" t="n"/>
      <c r="B976" s="12" t="n"/>
      <c r="C976" s="12" t="n"/>
      <c r="D976" s="12"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2.75" customHeight="1" s="87">
      <c r="A977" s="25" t="n"/>
      <c r="B977" s="12" t="n"/>
      <c r="C977" s="12" t="n"/>
      <c r="D977" s="12"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2.75" customHeight="1" s="87">
      <c r="A978" s="25" t="n"/>
      <c r="B978" s="12" t="n"/>
      <c r="C978" s="12" t="n"/>
      <c r="D978" s="12"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2.75" customHeight="1" s="87">
      <c r="A979" s="25" t="n"/>
      <c r="B979" s="12" t="n"/>
      <c r="C979" s="12" t="n"/>
      <c r="D979" s="12"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2.75" customHeight="1" s="87">
      <c r="A980" s="25" t="n"/>
      <c r="B980" s="12" t="n"/>
      <c r="C980" s="12" t="n"/>
      <c r="D980" s="12"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2.75" customHeight="1" s="87">
      <c r="A981" s="25" t="n"/>
      <c r="B981" s="12" t="n"/>
      <c r="C981" s="12" t="n"/>
      <c r="D981" s="12"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2.75" customHeight="1" s="87">
      <c r="A982" s="25" t="n"/>
      <c r="B982" s="12" t="n"/>
      <c r="C982" s="12" t="n"/>
      <c r="D982" s="12"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2.75" customHeight="1" s="87">
      <c r="A983" s="25" t="n"/>
      <c r="B983" s="12" t="n"/>
      <c r="C983" s="12" t="n"/>
      <c r="D983" s="12"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2.75" customHeight="1" s="87">
      <c r="A984" s="25" t="n"/>
      <c r="B984" s="12" t="n"/>
      <c r="C984" s="12" t="n"/>
      <c r="D984" s="12"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2.75" customHeight="1" s="87">
      <c r="A985" s="25" t="n"/>
      <c r="B985" s="12" t="n"/>
      <c r="C985" s="12" t="n"/>
      <c r="D985" s="12"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2.75" customHeight="1" s="87">
      <c r="A986" s="25" t="n"/>
      <c r="B986" s="12" t="n"/>
      <c r="C986" s="12" t="n"/>
      <c r="D986" s="12"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2.75" customHeight="1" s="87">
      <c r="A987" s="25" t="n"/>
      <c r="B987" s="12" t="n"/>
      <c r="C987" s="12" t="n"/>
      <c r="D987" s="12"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2.75" customHeight="1" s="87">
      <c r="A988" s="25" t="n"/>
      <c r="B988" s="12" t="n"/>
      <c r="C988" s="12" t="n"/>
      <c r="D988" s="12"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2.75" customHeight="1" s="87">
      <c r="A989" s="25" t="n"/>
      <c r="B989" s="12" t="n"/>
      <c r="C989" s="12" t="n"/>
      <c r="D989" s="12"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2.75" customHeight="1" s="87">
      <c r="A990" s="25" t="n"/>
      <c r="B990" s="12" t="n"/>
      <c r="C990" s="12" t="n"/>
      <c r="D990" s="12"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2.75" customHeight="1" s="87">
      <c r="A991" s="25" t="n"/>
      <c r="B991" s="12" t="n"/>
      <c r="C991" s="12" t="n"/>
      <c r="D991" s="12"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2.75" customHeight="1" s="87">
      <c r="A992" s="25" t="n"/>
      <c r="B992" s="12" t="n"/>
      <c r="C992" s="12" t="n"/>
      <c r="D992" s="12"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2.75" customHeight="1" s="87">
      <c r="A993" s="25" t="n"/>
      <c r="B993" s="12" t="n"/>
      <c r="C993" s="12" t="n"/>
      <c r="D993" s="12"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2.75" customHeight="1" s="87">
      <c r="A994" s="25" t="n"/>
      <c r="B994" s="12" t="n"/>
      <c r="C994" s="12" t="n"/>
      <c r="D994" s="12"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2.75" customHeight="1" s="87">
      <c r="A995" s="25" t="n"/>
      <c r="B995" s="12" t="n"/>
      <c r="C995" s="12" t="n"/>
      <c r="D995" s="12"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2.75" customHeight="1" s="87">
      <c r="A996" s="25" t="n"/>
      <c r="B996" s="12" t="n"/>
      <c r="C996" s="12" t="n"/>
      <c r="D996" s="12"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2.75" customHeight="1" s="87">
      <c r="A997" s="25" t="n"/>
      <c r="B997" s="12" t="n"/>
      <c r="C997" s="12" t="n"/>
      <c r="D997" s="12"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2.75" customHeight="1" s="87">
      <c r="A998" s="25" t="n"/>
      <c r="B998" s="12" t="n"/>
      <c r="C998" s="12" t="n"/>
      <c r="D998" s="12"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2.75" customHeight="1" s="87">
      <c r="A999" s="25" t="n"/>
      <c r="B999" s="12" t="n"/>
      <c r="C999" s="12" t="n"/>
      <c r="D999" s="12"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row r="1000" ht="12.75" customHeight="1" s="87">
      <c r="A1000" s="25" t="n"/>
      <c r="B1000" s="12" t="n"/>
      <c r="C1000" s="12" t="n"/>
      <c r="D1000" s="12" t="n"/>
      <c r="E1000" s="12" t="n"/>
      <c r="F1000" s="12" t="n"/>
      <c r="G1000" s="12" t="n"/>
      <c r="H1000" s="12" t="n"/>
      <c r="I1000" s="12" t="n"/>
      <c r="J1000" s="12" t="n"/>
      <c r="K1000" s="12" t="n"/>
      <c r="L1000" s="12" t="n"/>
      <c r="M1000" s="12" t="n"/>
      <c r="N1000" s="12" t="n"/>
      <c r="O1000" s="12" t="n"/>
      <c r="P1000" s="12" t="n"/>
      <c r="Q1000" s="12" t="n"/>
      <c r="R1000" s="12" t="n"/>
      <c r="S1000" s="12" t="n"/>
      <c r="T1000" s="12" t="n"/>
      <c r="U1000" s="12" t="n"/>
      <c r="V1000" s="12" t="n"/>
      <c r="W1000" s="12" t="n"/>
      <c r="X1000" s="12" t="n"/>
      <c r="Y1000" s="12" t="n"/>
      <c r="Z1000" s="12" t="n"/>
    </row>
    <row r="1001" ht="12.75" customHeight="1" s="87">
      <c r="A1001" s="25" t="n"/>
      <c r="B1001" s="12" t="n"/>
      <c r="C1001" s="12" t="n"/>
      <c r="D1001" s="12" t="n"/>
      <c r="E1001" s="12" t="n"/>
      <c r="F1001" s="12" t="n"/>
      <c r="G1001" s="12" t="n"/>
      <c r="H1001" s="12" t="n"/>
      <c r="I1001" s="12" t="n"/>
      <c r="J1001" s="12" t="n"/>
      <c r="K1001" s="12" t="n"/>
      <c r="L1001" s="12" t="n"/>
      <c r="M1001" s="12" t="n"/>
      <c r="N1001" s="12" t="n"/>
      <c r="O1001" s="12" t="n"/>
      <c r="P1001" s="12" t="n"/>
      <c r="Q1001" s="12" t="n"/>
      <c r="R1001" s="12" t="n"/>
      <c r="S1001" s="12" t="n"/>
      <c r="T1001" s="12" t="n"/>
      <c r="U1001" s="12" t="n"/>
      <c r="V1001" s="12" t="n"/>
      <c r="W1001" s="12" t="n"/>
      <c r="X1001" s="12" t="n"/>
      <c r="Y1001" s="12" t="n"/>
      <c r="Z1001" s="12" t="n"/>
    </row>
    <row r="1002" ht="12.75" customHeight="1" s="87">
      <c r="A1002" s="25" t="n"/>
      <c r="B1002" s="12" t="n"/>
      <c r="C1002" s="12" t="n"/>
      <c r="D1002" s="12" t="n"/>
      <c r="E1002" s="12" t="n"/>
      <c r="F1002" s="12" t="n"/>
      <c r="G1002" s="12" t="n"/>
      <c r="H1002" s="12" t="n"/>
      <c r="I1002" s="12" t="n"/>
      <c r="J1002" s="12" t="n"/>
      <c r="K1002" s="12" t="n"/>
      <c r="L1002" s="12" t="n"/>
      <c r="M1002" s="12" t="n"/>
      <c r="N1002" s="12" t="n"/>
      <c r="O1002" s="12" t="n"/>
      <c r="P1002" s="12" t="n"/>
      <c r="Q1002" s="12" t="n"/>
      <c r="R1002" s="12" t="n"/>
      <c r="S1002" s="12" t="n"/>
      <c r="T1002" s="12" t="n"/>
      <c r="U1002" s="12" t="n"/>
      <c r="V1002" s="12" t="n"/>
      <c r="W1002" s="12" t="n"/>
      <c r="X1002" s="12" t="n"/>
      <c r="Y1002" s="12" t="n"/>
      <c r="Z1002" s="12" t="n"/>
    </row>
    <row r="1003" ht="12.75" customHeight="1" s="87">
      <c r="A1003" s="25" t="n"/>
      <c r="B1003" s="12" t="n"/>
      <c r="C1003" s="12" t="n"/>
      <c r="D1003" s="12" t="n"/>
      <c r="E1003" s="12" t="n"/>
      <c r="F1003" s="12" t="n"/>
      <c r="G1003" s="12" t="n"/>
      <c r="H1003" s="12" t="n"/>
      <c r="I1003" s="12" t="n"/>
      <c r="J1003" s="12" t="n"/>
      <c r="K1003" s="12" t="n"/>
      <c r="L1003" s="12" t="n"/>
      <c r="M1003" s="12" t="n"/>
      <c r="N1003" s="12" t="n"/>
      <c r="O1003" s="12" t="n"/>
      <c r="P1003" s="12" t="n"/>
      <c r="Q1003" s="12" t="n"/>
      <c r="R1003" s="12" t="n"/>
      <c r="S1003" s="12" t="n"/>
      <c r="T1003" s="12" t="n"/>
      <c r="U1003" s="12" t="n"/>
      <c r="V1003" s="12" t="n"/>
      <c r="W1003" s="12" t="n"/>
      <c r="X1003" s="12" t="n"/>
      <c r="Y1003" s="12" t="n"/>
      <c r="Z1003" s="12" t="n"/>
    </row>
    <row r="1004" ht="12.75" customHeight="1" s="87">
      <c r="A1004" s="25" t="n"/>
      <c r="B1004" s="12" t="n"/>
      <c r="C1004" s="12" t="n"/>
      <c r="D1004" s="12" t="n"/>
      <c r="E1004" s="12" t="n"/>
      <c r="F1004" s="12" t="n"/>
      <c r="G1004" s="12" t="n"/>
      <c r="H1004" s="12" t="n"/>
      <c r="I1004" s="12" t="n"/>
      <c r="J1004" s="12" t="n"/>
      <c r="K1004" s="12" t="n"/>
      <c r="L1004" s="12" t="n"/>
      <c r="M1004" s="12" t="n"/>
      <c r="N1004" s="12" t="n"/>
      <c r="O1004" s="12" t="n"/>
      <c r="P1004" s="12" t="n"/>
      <c r="Q1004" s="12" t="n"/>
      <c r="R1004" s="12" t="n"/>
      <c r="S1004" s="12" t="n"/>
      <c r="T1004" s="12" t="n"/>
      <c r="U1004" s="12" t="n"/>
      <c r="V1004" s="12" t="n"/>
      <c r="W1004" s="12" t="n"/>
      <c r="X1004" s="12" t="n"/>
      <c r="Y1004" s="12" t="n"/>
      <c r="Z1004" s="12" t="n"/>
    </row>
    <row r="1005" ht="12.75" customHeight="1" s="87">
      <c r="A1005" s="25" t="n"/>
      <c r="B1005" s="12" t="n"/>
      <c r="C1005" s="12" t="n"/>
      <c r="D1005" s="12" t="n"/>
      <c r="E1005" s="12" t="n"/>
      <c r="F1005" s="12" t="n"/>
      <c r="G1005" s="12" t="n"/>
      <c r="H1005" s="12" t="n"/>
      <c r="I1005" s="12" t="n"/>
      <c r="J1005" s="12" t="n"/>
      <c r="K1005" s="12" t="n"/>
      <c r="L1005" s="12" t="n"/>
      <c r="M1005" s="12" t="n"/>
      <c r="N1005" s="12" t="n"/>
      <c r="O1005" s="12" t="n"/>
      <c r="P1005" s="12" t="n"/>
      <c r="Q1005" s="12" t="n"/>
      <c r="R1005" s="12" t="n"/>
      <c r="S1005" s="12" t="n"/>
      <c r="T1005" s="12" t="n"/>
      <c r="U1005" s="12" t="n"/>
      <c r="V1005" s="12" t="n"/>
      <c r="W1005" s="12" t="n"/>
      <c r="X1005" s="12" t="n"/>
      <c r="Y1005" s="12" t="n"/>
      <c r="Z1005" s="12" t="n"/>
    </row>
    <row r="1006" ht="12.75" customHeight="1" s="87">
      <c r="A1006" s="25" t="n"/>
      <c r="B1006" s="12" t="n"/>
      <c r="C1006" s="12" t="n"/>
      <c r="D1006" s="12" t="n"/>
      <c r="E1006" s="12" t="n"/>
      <c r="F1006" s="12" t="n"/>
      <c r="G1006" s="12" t="n"/>
      <c r="H1006" s="12" t="n"/>
      <c r="I1006" s="12" t="n"/>
      <c r="J1006" s="12" t="n"/>
      <c r="K1006" s="12" t="n"/>
      <c r="L1006" s="12" t="n"/>
      <c r="M1006" s="12" t="n"/>
      <c r="N1006" s="12" t="n"/>
      <c r="O1006" s="12" t="n"/>
      <c r="P1006" s="12" t="n"/>
      <c r="Q1006" s="12" t="n"/>
      <c r="R1006" s="12" t="n"/>
      <c r="S1006" s="12" t="n"/>
      <c r="T1006" s="12" t="n"/>
      <c r="U1006" s="12" t="n"/>
      <c r="V1006" s="12" t="n"/>
      <c r="W1006" s="12" t="n"/>
      <c r="X1006" s="12" t="n"/>
      <c r="Y1006" s="12" t="n"/>
      <c r="Z1006" s="12" t="n"/>
    </row>
    <row r="1007" ht="12.75" customHeight="1" s="87">
      <c r="A1007" s="25" t="n"/>
      <c r="B1007" s="12" t="n"/>
      <c r="C1007" s="12" t="n"/>
      <c r="D1007" s="12" t="n"/>
      <c r="E1007" s="12" t="n"/>
      <c r="F1007" s="12" t="n"/>
      <c r="G1007" s="12" t="n"/>
      <c r="H1007" s="12" t="n"/>
      <c r="I1007" s="12" t="n"/>
      <c r="J1007" s="12" t="n"/>
      <c r="K1007" s="12" t="n"/>
      <c r="L1007" s="12" t="n"/>
      <c r="M1007" s="12" t="n"/>
      <c r="N1007" s="12" t="n"/>
      <c r="O1007" s="12" t="n"/>
      <c r="P1007" s="12" t="n"/>
      <c r="Q1007" s="12" t="n"/>
      <c r="R1007" s="12" t="n"/>
      <c r="S1007" s="12" t="n"/>
      <c r="T1007" s="12" t="n"/>
      <c r="U1007" s="12" t="n"/>
      <c r="V1007" s="12" t="n"/>
      <c r="W1007" s="12" t="n"/>
      <c r="X1007" s="12" t="n"/>
      <c r="Y1007" s="12" t="n"/>
      <c r="Z1007" s="12" t="n"/>
    </row>
  </sheetData>
  <hyperlinks>
    <hyperlink xmlns:r="http://schemas.openxmlformats.org/officeDocument/2006/relationships" ref="A6" r:id="rId1"/>
  </hyperlinks>
  <pageMargins left="0.75" right="0.75" top="1" bottom="1" header="0" footer="0"/>
  <pageSetup orientation="portrait" scale="75"/>
  <headerFooter>
    <oddHeader>&amp;CCommon Data Set 2023-2024</oddHeader>
    <oddFooter>&amp;C&amp;A&amp;RPage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Robinson-Spann, Ashley</dc:creator>
  <dcterms:created xsi:type="dcterms:W3CDTF">2024-07-17T17:07:09Z</dcterms:created>
  <dcterms:modified xsi:type="dcterms:W3CDTF">2025-11-27T12:44:14Z</dcterms:modified>
  <cp:lastModifiedBy>Emily Stuby</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0x0101007EEA4C051B01CF4F8946A474B5911967</vt:lpwstr>
  </property>
  <property name="DocumentType(Tags)" fmtid="{D5CDD505-2E9C-101B-9397-08002B2CF9AE}" pid="3">
    <vt:lpwstr>Team Resources</vt:lpwstr>
  </property>
  <property name="DocumentType(Tags)0" fmtid="{D5CDD505-2E9C-101B-9397-08002B2CF9AE}" pid="4">
    <vt:lpwstr>Analytics and Alignment</vt:lpwstr>
  </property>
</Properties>
</file>
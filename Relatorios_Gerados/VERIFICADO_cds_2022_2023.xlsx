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080" yWindow="-120" windowWidth="25440" windowHeight="15390" tabRatio="600" firstSheet="0" activeTab="0" autoFilterDateGrouping="1"/>
  </bookViews>
  <sheets>
    <sheet name="CDS-A" sheetId="1" state="visible" r:id="rId1"/>
    <sheet name="CDS-B" sheetId="2" state="visible" r:id="rId2"/>
    <sheet name="CDS-C" sheetId="3" state="visible" r:id="rId3"/>
    <sheet name="CDS-D" sheetId="4" state="visible" r:id="rId4"/>
    <sheet name="CDS-E" sheetId="5" state="visible" r:id="rId5"/>
    <sheet name="CDS-F" sheetId="6" state="visible" r:id="rId6"/>
    <sheet name="CDS-G" sheetId="7" state="visible" r:id="rId7"/>
    <sheet name="CDS-H" sheetId="8" state="visible" r:id="rId8"/>
    <sheet name="CDS-I" sheetId="9" state="visible" r:id="rId9"/>
    <sheet name="CDS-J" sheetId="10" state="visible" r:id="rId10"/>
    <sheet name="CDS Definitions" sheetId="11" state="visible" r:id="rId11"/>
  </sheets>
  <definedNames>
    <definedName name="_Hlk22631867" localSheetId="10">'CDS Definitions'!$A$100</definedName>
  </definedNames>
  <calcPr calcId="191029" fullCalcOnLoad="1"/>
</workbook>
</file>

<file path=xl/styles.xml><?xml version="1.0" encoding="utf-8"?>
<styleSheet xmlns="http://schemas.openxmlformats.org/spreadsheetml/2006/main">
  <numFmts count="10">
    <numFmt numFmtId="164" formatCode="0.0%"/>
    <numFmt numFmtId="165" formatCode="m/d"/>
    <numFmt numFmtId="166" formatCode="&quot;$&quot;#,##0"/>
    <numFmt numFmtId="167" formatCode="&quot;$&quot;#,##0.00"/>
    <numFmt numFmtId="168" formatCode="&quot;$&quot;#,##0_);\(&quot;$&quot;#,##0\)"/>
    <numFmt numFmtId="169" formatCode="&quot;$&quot;#,##0;[Red]&quot;$&quot;#,##0"/>
    <numFmt numFmtId="170" formatCode="_(&quot;$&quot;\ \ \ #,##0_);_(&quot;$&quot;* \(#,##0\);_(&quot;$&quot;* &quot;-&quot;??_);_(@_)"/>
    <numFmt numFmtId="171" formatCode="_(&quot;$&quot;\ \ \ #,##0_);_(&quot;$&quot;* \(#,##0\);_(&quot;$&quot;\ \ &quot;0&quot;??_);_(@_)"/>
    <numFmt numFmtId="172" formatCode="#,##0.0_);\(#,##0.0\)"/>
    <numFmt numFmtId="173" formatCode="mmmm\ d\,\ yyyy"/>
  </numFmts>
  <fonts count="68">
    <font>
      <name val="Arial"/>
      <color rgb="FF000000"/>
      <sz val="10"/>
      <scheme val="minor"/>
    </font>
    <font>
      <name val="Arial"/>
      <family val="2"/>
      <color theme="1"/>
      <sz val="11"/>
      <scheme val="minor"/>
    </font>
    <font>
      <name val="Arial"/>
      <family val="2"/>
      <b val="1"/>
      <color theme="1"/>
      <sz val="14"/>
    </font>
    <font>
      <name val="Arial"/>
      <family val="2"/>
      <sz val="10"/>
    </font>
    <font>
      <name val="Arial"/>
      <family val="2"/>
      <color theme="1"/>
      <sz val="10"/>
    </font>
    <font>
      <name val="Arial"/>
      <family val="2"/>
      <b val="1"/>
      <color theme="1"/>
      <sz val="10"/>
    </font>
    <font>
      <name val="Arial"/>
      <family val="2"/>
      <color rgb="FF0000FF"/>
      <sz val="10"/>
      <u val="single"/>
    </font>
    <font>
      <name val="Arial"/>
      <family val="2"/>
      <color rgb="FF000000"/>
      <sz val="10"/>
    </font>
    <font>
      <name val="Arial"/>
      <family val="2"/>
      <b val="1"/>
      <color rgb="FFFF0000"/>
      <sz val="10"/>
    </font>
    <font>
      <name val="Arial"/>
      <family val="2"/>
      <b val="1"/>
      <color theme="0"/>
      <sz val="10"/>
    </font>
    <font>
      <name val="Arial"/>
      <family val="2"/>
      <color theme="0"/>
      <sz val="10"/>
    </font>
    <font>
      <name val="Arial"/>
      <family val="2"/>
      <b val="1"/>
      <i val="1"/>
      <color theme="1"/>
      <sz val="10"/>
    </font>
    <font>
      <name val="Arial"/>
      <family val="2"/>
      <i val="1"/>
      <color theme="1"/>
      <sz val="10"/>
    </font>
    <font>
      <name val="Arial"/>
      <family val="2"/>
      <color theme="1"/>
      <sz val="10"/>
      <scheme val="minor"/>
    </font>
    <font>
      <name val="Arial"/>
      <family val="2"/>
      <b val="1"/>
      <color theme="1"/>
      <sz val="9"/>
    </font>
    <font>
      <name val="Arial"/>
      <family val="2"/>
      <b val="1"/>
      <color theme="1"/>
      <sz val="12"/>
    </font>
    <font>
      <name val="Arial"/>
      <family val="2"/>
      <b val="1"/>
      <color theme="1"/>
      <sz val="11"/>
    </font>
    <font>
      <name val="Arial"/>
      <family val="2"/>
      <color theme="1"/>
      <sz val="9"/>
    </font>
    <font>
      <name val="Arial"/>
      <family val="2"/>
      <color theme="1"/>
      <sz val="8"/>
    </font>
    <font>
      <name val="Arial"/>
      <family val="2"/>
      <color rgb="FF222222"/>
      <sz val="9"/>
    </font>
    <font>
      <name val="Arial"/>
      <family val="2"/>
      <b val="1"/>
      <i val="1"/>
      <color rgb="FF222222"/>
      <sz val="10"/>
    </font>
    <font>
      <name val="Arial"/>
      <family val="2"/>
      <color rgb="FF222222"/>
      <sz val="8"/>
    </font>
    <font>
      <name val="Arial"/>
      <family val="2"/>
      <color rgb="FF222222"/>
      <sz val="7"/>
    </font>
    <font>
      <name val="Calibri"/>
      <family val="2"/>
      <color theme="1"/>
      <sz val="10"/>
    </font>
    <font>
      <name val="Arial"/>
      <family val="2"/>
      <b val="1"/>
      <color rgb="FF000000"/>
      <sz val="10"/>
    </font>
    <font>
      <name val="Arial"/>
      <family val="2"/>
      <color rgb="FF000000"/>
      <sz val="9"/>
    </font>
    <font>
      <name val="Arial"/>
      <family val="2"/>
      <b val="1"/>
      <i val="1"/>
      <color theme="1"/>
      <sz val="11"/>
    </font>
    <font>
      <name val="Arial"/>
      <family val="2"/>
      <b val="1"/>
      <color rgb="FF000000"/>
      <sz val="9"/>
    </font>
    <font>
      <name val="Arial"/>
      <family val="2"/>
      <color theme="1"/>
      <sz val="12"/>
    </font>
    <font>
      <name val="Arial"/>
      <family val="2"/>
      <b val="1"/>
      <color theme="1"/>
      <sz val="8"/>
    </font>
    <font>
      <name val="Arial"/>
      <family val="2"/>
      <b val="1"/>
      <color rgb="FF000000"/>
      <sz val="12"/>
    </font>
    <font>
      <name val="Arial"/>
      <family val="2"/>
      <color theme="1"/>
      <sz val="10"/>
      <u val="single"/>
    </font>
    <font>
      <name val="Arial"/>
      <family val="2"/>
      <color theme="1"/>
      <sz val="7"/>
    </font>
    <font>
      <name val="Arial"/>
      <family val="2"/>
      <i val="1"/>
      <color theme="1"/>
      <sz val="9"/>
    </font>
    <font>
      <name val="Noto Sans Symbols"/>
      <color rgb="FF000000"/>
      <sz val="9"/>
    </font>
    <font>
      <name val="Times New Roman"/>
      <family val="1"/>
      <color rgb="FF000000"/>
      <sz val="9"/>
    </font>
    <font>
      <name val="Noto Sans Symbols"/>
      <color rgb="FF000000"/>
      <sz val="9"/>
      <u val="single"/>
    </font>
    <font>
      <name val="Times New Roman"/>
      <family val="1"/>
      <b val="1"/>
      <color rgb="FF000000"/>
      <sz val="9"/>
    </font>
    <font>
      <name val="Times New Roman"/>
      <family val="1"/>
      <b val="1"/>
      <color theme="1"/>
      <sz val="9"/>
    </font>
    <font>
      <name val="Times New Roman"/>
      <family val="1"/>
      <color theme="1"/>
      <sz val="9"/>
    </font>
    <font>
      <name val="EB Garamond"/>
      <b val="1"/>
      <color rgb="FF000000"/>
      <sz val="9"/>
    </font>
    <font>
      <name val="Times New Roman"/>
      <family val="1"/>
      <b val="1"/>
      <i val="1"/>
      <color rgb="FF000000"/>
      <sz val="9"/>
    </font>
    <font>
      <name val="Times New Roman"/>
      <family val="1"/>
      <i val="1"/>
      <color rgb="FF000000"/>
      <sz val="9"/>
    </font>
    <font>
      <name val="Times New Roman"/>
      <family val="1"/>
      <color rgb="FF000000"/>
      <sz val="10"/>
    </font>
    <font>
      <name val="Times New Roman"/>
      <family val="1"/>
      <b val="1"/>
      <color theme="1"/>
      <sz val="11"/>
    </font>
    <font>
      <name val="Arial"/>
      <family val="2"/>
      <b val="1"/>
      <color theme="1"/>
      <sz val="10"/>
      <u val="single"/>
    </font>
    <font>
      <name val="Arial"/>
      <family val="2"/>
      <b val="1"/>
      <color rgb="FF00B050"/>
      <sz val="10"/>
      <u val="single"/>
    </font>
    <font>
      <name val="Arial"/>
      <family val="2"/>
      <color rgb="FF1155CC"/>
      <sz val="10"/>
      <u val="single"/>
    </font>
    <font>
      <name val="Arial"/>
      <family val="2"/>
      <color rgb="FF00B050"/>
      <sz val="10"/>
    </font>
    <font>
      <name val="Arial"/>
      <family val="2"/>
      <b val="1"/>
      <color rgb="FF00B050"/>
      <sz val="10"/>
    </font>
    <font>
      <name val="Arial"/>
      <family val="2"/>
      <i val="1"/>
      <color rgb="FF000000"/>
      <sz val="10"/>
    </font>
    <font>
      <name val="Arial"/>
      <family val="2"/>
      <b val="1"/>
      <i val="1"/>
      <color rgb="FF000000"/>
      <sz val="10"/>
    </font>
    <font>
      <name val="Arial"/>
      <family val="2"/>
      <color rgb="FFFF0000"/>
      <sz val="10"/>
    </font>
    <font>
      <name val="Arial"/>
      <family val="2"/>
      <color rgb="FF00B050"/>
      <sz val="9"/>
    </font>
    <font>
      <name val="Arial"/>
      <family val="2"/>
      <color theme="1"/>
      <sz val="9"/>
      <u val="single"/>
    </font>
    <font>
      <name val="Arial"/>
      <family val="2"/>
      <b val="1"/>
      <i val="1"/>
      <color theme="1"/>
      <sz val="9"/>
    </font>
    <font>
      <name val="Times New Roman"/>
      <family val="1"/>
      <color rgb="FF000000"/>
      <sz val="7"/>
    </font>
    <font>
      <name val="Times New Roman"/>
      <family val="1"/>
      <color rgb="FF1155CC"/>
      <sz val="9"/>
      <u val="single"/>
    </font>
    <font>
      <name val="Arial"/>
      <family val="2"/>
      <color rgb="FF0000FF"/>
      <sz val="9"/>
    </font>
    <font>
      <name val="Adobe Garamond Pro"/>
      <i val="1"/>
      <color rgb="FF000000"/>
      <sz val="9"/>
    </font>
    <font>
      <name val="Adobe Garamond Pro"/>
      <color rgb="FF000000"/>
      <sz val="9"/>
    </font>
    <font>
      <name val="Arial"/>
      <family val="2"/>
      <b val="1"/>
      <color theme="1"/>
      <sz val="7"/>
    </font>
    <font>
      <name val="Arial"/>
      <color theme="10"/>
      <sz val="10"/>
      <u val="single"/>
      <scheme val="minor"/>
    </font>
    <font>
      <name val="Arial"/>
      <color rgb="FF000000"/>
      <sz val="10"/>
      <scheme val="minor"/>
    </font>
    <font>
      <name val="Arial"/>
      <family val="2"/>
      <color indexed="12"/>
      <sz val="10"/>
      <u val="single"/>
    </font>
    <font>
      <name val="Arial"/>
      <family val="2"/>
      <color indexed="8"/>
      <sz val="10"/>
    </font>
    <font>
      <name val="Arial"/>
      <family val="2"/>
      <color theme="10"/>
      <sz val="10"/>
      <u val="single"/>
      <scheme val="minor"/>
    </font>
    <font>
      <name val="Arial"/>
      <family val="2"/>
      <sz val="11"/>
      <scheme val="minor"/>
    </font>
  </fonts>
  <fills count="9">
    <fill>
      <patternFill/>
    </fill>
    <fill>
      <patternFill patternType="gray125"/>
    </fill>
    <fill>
      <patternFill patternType="solid">
        <fgColor rgb="FFC0C0C0"/>
        <bgColor rgb="FFC0C0C0"/>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
      <patternFill patternType="solid">
        <fgColor theme="0" tint="-0.1499984740745262"/>
        <bgColor indexed="64"/>
      </patternFill>
    </fill>
  </fills>
  <borders count="4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diagonal/>
    </border>
    <border>
      <left style="medium">
        <color rgb="FF000000"/>
      </left>
      <right/>
      <top/>
      <bottom/>
      <diagonal/>
    </border>
    <border>
      <left style="medium">
        <color rgb="FF000000"/>
      </left>
      <right style="medium">
        <color rgb="FF000000"/>
      </right>
      <top/>
      <bottom/>
      <diagonal/>
    </border>
  </borders>
  <cellStyleXfs count="9">
    <xf numFmtId="0" fontId="63" fillId="0" borderId="27"/>
    <xf numFmtId="0" fontId="62" fillId="0" borderId="27"/>
    <xf numFmtId="0" fontId="64" fillId="0" borderId="27" applyAlignment="1" applyProtection="1">
      <alignment vertical="top"/>
      <protection locked="0" hidden="0"/>
    </xf>
    <xf numFmtId="0" fontId="63" fillId="0" borderId="27"/>
    <xf numFmtId="9" fontId="63" fillId="0" borderId="27"/>
    <xf numFmtId="0" fontId="66" fillId="0" borderId="27"/>
    <xf numFmtId="0" fontId="62" fillId="0" borderId="27"/>
    <xf numFmtId="44" fontId="63" fillId="0" borderId="27"/>
    <xf numFmtId="9" fontId="1" fillId="0" borderId="27"/>
  </cellStyleXfs>
  <cellXfs count="572">
    <xf numFmtId="0" fontId="0" fillId="0" borderId="0" pivotButton="0" quotePrefix="0" xfId="0"/>
    <xf numFmtId="0" fontId="4" fillId="0" borderId="0" pivotButton="0" quotePrefix="0" xfId="0"/>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pivotButton="0" quotePrefix="0" xfId="0"/>
    <xf numFmtId="0" fontId="6" fillId="0" borderId="0" applyAlignment="1" pivotButton="0" quotePrefix="0" xfId="0">
      <alignment horizontal="left" vertical="top" wrapText="1"/>
    </xf>
    <xf numFmtId="0" fontId="4" fillId="0" borderId="0" applyAlignment="1" pivotButton="0" quotePrefix="0" xfId="0">
      <alignment horizontal="left" wrapText="1"/>
    </xf>
    <xf numFmtId="0" fontId="4" fillId="0" borderId="5" applyAlignment="1" pivotButton="0" quotePrefix="0" xfId="0">
      <alignment horizontal="center" vertical="center" wrapText="1"/>
    </xf>
    <xf numFmtId="0" fontId="4" fillId="0" borderId="0" applyAlignment="1" pivotButton="0" quotePrefix="0" xfId="0">
      <alignment horizontal="center"/>
    </xf>
    <xf numFmtId="0" fontId="4" fillId="0" borderId="4" applyAlignment="1" pivotButton="0" quotePrefix="0" xfId="0">
      <alignment horizontal="center" vertical="center" wrapText="1"/>
    </xf>
    <xf numFmtId="0" fontId="4" fillId="0" borderId="0" applyAlignment="1" pivotButton="0" quotePrefix="0" xfId="0">
      <alignment horizontal="right"/>
    </xf>
    <xf numFmtId="0" fontId="4" fillId="0" borderId="0" applyAlignment="1" pivotButton="0" quotePrefix="0" xfId="0">
      <alignment vertical="top" wrapText="1"/>
    </xf>
    <xf numFmtId="0" fontId="4" fillId="0" borderId="9"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horizontal="left" vertical="center" wrapText="1"/>
    </xf>
    <xf numFmtId="0" fontId="4" fillId="0" borderId="4" applyAlignment="1" pivotButton="0" quotePrefix="0" xfId="0">
      <alignment horizontal="center" vertical="center"/>
    </xf>
    <xf numFmtId="0" fontId="4" fillId="0" borderId="0" applyAlignment="1" pivotButton="0" quotePrefix="0" xfId="0">
      <alignment horizontal="left"/>
    </xf>
    <xf numFmtId="49" fontId="4" fillId="0" borderId="0" applyAlignment="1" pivotButton="0" quotePrefix="0" xfId="0">
      <alignment horizontal="center" vertical="center"/>
    </xf>
    <xf numFmtId="14" fontId="4" fillId="0" borderId="0" pivotButton="0" quotePrefix="0" xfId="0"/>
    <xf numFmtId="49" fontId="4" fillId="0" borderId="0" applyAlignment="1" pivotButton="0" quotePrefix="0" xfId="0">
      <alignment horizontal="left"/>
    </xf>
    <xf numFmtId="49" fontId="4" fillId="0" borderId="0" applyAlignment="1" pivotButton="0" quotePrefix="0" xfId="0">
      <alignment vertical="center"/>
    </xf>
    <xf numFmtId="0" fontId="9" fillId="0" borderId="0" applyAlignment="1" pivotButton="0" quotePrefix="0" xfId="0">
      <alignment horizontal="left" vertical="top"/>
    </xf>
    <xf numFmtId="0" fontId="10" fillId="0" borderId="0" pivotButton="0" quotePrefix="0" xfId="0"/>
    <xf numFmtId="49" fontId="10" fillId="0" borderId="0" applyAlignment="1" pivotButton="0" quotePrefix="0" xfId="0">
      <alignment horizontal="center" vertical="center"/>
    </xf>
    <xf numFmtId="0" fontId="10" fillId="0" borderId="0" applyAlignment="1" pivotButton="0" quotePrefix="0" xfId="0">
      <alignment horizontal="left" vertical="top"/>
    </xf>
    <xf numFmtId="0" fontId="4" fillId="0" borderId="0" applyAlignment="1" pivotButton="0" quotePrefix="0" xfId="0">
      <alignment vertical="top"/>
    </xf>
    <xf numFmtId="0" fontId="4" fillId="0" borderId="0" applyAlignment="1" pivotButton="0" quotePrefix="0" xfId="0">
      <alignment horizontal="left" vertical="center" wrapText="1"/>
    </xf>
    <xf numFmtId="0" fontId="5" fillId="0" borderId="0" applyAlignment="1" pivotButton="0" quotePrefix="0" xfId="0">
      <alignment horizontal="left" vertical="top" wrapText="1"/>
    </xf>
    <xf numFmtId="0" fontId="5" fillId="0" borderId="0" applyAlignment="1" pivotButton="0" quotePrefix="0" xfId="0">
      <alignment vertical="top" wrapText="1"/>
    </xf>
    <xf numFmtId="0" fontId="7" fillId="0" borderId="4" pivotButton="0" quotePrefix="0" xfId="0"/>
    <xf numFmtId="0" fontId="7" fillId="0" borderId="0" applyAlignment="1" pivotButton="0" quotePrefix="0" xfId="0">
      <alignment horizontal="left"/>
    </xf>
    <xf numFmtId="0" fontId="4" fillId="0" borderId="0" applyAlignment="1" pivotButton="0" quotePrefix="0" xfId="0">
      <alignment horizontal="center" vertical="center" wrapText="1"/>
    </xf>
    <xf numFmtId="9" fontId="4" fillId="0" borderId="4" applyAlignment="1" pivotButton="0" quotePrefix="0" xfId="0">
      <alignment horizontal="center" vertical="center" wrapText="1"/>
    </xf>
    <xf numFmtId="0" fontId="5" fillId="3" borderId="4" applyAlignment="1" pivotButton="0" quotePrefix="0" xfId="0">
      <alignment horizontal="center" vertical="center" wrapText="1"/>
    </xf>
    <xf numFmtId="49" fontId="4" fillId="0" borderId="4" applyAlignment="1" pivotButton="0" quotePrefix="0" xfId="0">
      <alignment horizontal="center" vertical="center"/>
    </xf>
    <xf numFmtId="0" fontId="2" fillId="0" borderId="0" applyAlignment="1" pivotButton="0" quotePrefix="0" xfId="0">
      <alignment horizontal="center" vertical="center"/>
    </xf>
    <xf numFmtId="49" fontId="4" fillId="0" borderId="0" applyAlignment="1" pivotButton="0" quotePrefix="0" xfId="0">
      <alignment horizontal="center"/>
    </xf>
    <xf numFmtId="0" fontId="15" fillId="0" borderId="0" applyAlignment="1" pivotButton="0" quotePrefix="0" xfId="0">
      <alignment vertical="top" wrapText="1"/>
    </xf>
    <xf numFmtId="9" fontId="5" fillId="3" borderId="4" applyAlignment="1" pivotButton="0" quotePrefix="0" xfId="0">
      <alignment horizontal="center" vertical="center" wrapText="1"/>
    </xf>
    <xf numFmtId="9" fontId="24" fillId="3" borderId="4" applyAlignment="1" pivotButton="0" quotePrefix="0" xfId="0">
      <alignment horizontal="center" vertical="center" wrapText="1"/>
    </xf>
    <xf numFmtId="9" fontId="4" fillId="0" borderId="4" applyAlignment="1" pivotButton="0" quotePrefix="0" xfId="0">
      <alignment horizontal="center" vertical="center"/>
    </xf>
    <xf numFmtId="1" fontId="4" fillId="0" borderId="4" applyAlignment="1" pivotButton="0" quotePrefix="0" xfId="0">
      <alignment horizontal="center" vertical="center"/>
    </xf>
    <xf numFmtId="0" fontId="24" fillId="3" borderId="4" applyAlignment="1" pivotButton="0" quotePrefix="0" xfId="0">
      <alignment horizontal="center" vertical="center" wrapText="1"/>
    </xf>
    <xf numFmtId="49" fontId="4" fillId="0" borderId="0" applyAlignment="1" pivotButton="0" quotePrefix="0" xfId="0">
      <alignment horizontal="left" vertical="center"/>
    </xf>
    <xf numFmtId="0" fontId="2" fillId="2" borderId="32" applyAlignment="1" pivotButton="0" quotePrefix="0" xfId="0">
      <alignment horizontal="center" vertical="center" wrapText="1"/>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9" fillId="0" borderId="0" applyAlignment="1" pivotButton="0" quotePrefix="0" xfId="0">
      <alignment horizontal="left" vertical="center"/>
    </xf>
    <xf numFmtId="0" fontId="40" fillId="0" borderId="0" applyAlignment="1" pivotButton="0" quotePrefix="0" xfId="0">
      <alignment horizontal="left" vertical="center"/>
    </xf>
    <xf numFmtId="0" fontId="41" fillId="0" borderId="0" applyAlignment="1" pivotButton="0" quotePrefix="0" xfId="0">
      <alignment horizontal="left" vertical="center"/>
    </xf>
    <xf numFmtId="0" fontId="42" fillId="0" borderId="0" applyAlignment="1" pivotButton="0" quotePrefix="0" xfId="0">
      <alignment horizontal="left" vertical="center"/>
    </xf>
    <xf numFmtId="0" fontId="43" fillId="0" borderId="0" applyAlignment="1" pivotButton="0" quotePrefix="0" xfId="0">
      <alignment horizontal="left" vertical="center"/>
    </xf>
    <xf numFmtId="0" fontId="44" fillId="0" borderId="0" applyAlignment="1" pivotButton="0" quotePrefix="0" xfId="0">
      <alignment horizontal="center" vertical="center"/>
    </xf>
    <xf numFmtId="0" fontId="4" fillId="0" borderId="32" applyAlignment="1" pivotButton="0" quotePrefix="0" xfId="0">
      <alignment horizontal="left" vertical="top" wrapText="1"/>
    </xf>
    <xf numFmtId="0" fontId="0" fillId="0" borderId="33" applyAlignment="1" pivotButton="0" quotePrefix="0" xfId="0">
      <alignment horizontal="left" vertical="top" wrapText="1"/>
    </xf>
    <xf numFmtId="0" fontId="62" fillId="0" borderId="33" applyAlignment="1" pivotButton="0" quotePrefix="0" xfId="1">
      <alignment horizontal="left" vertical="top" wrapText="1"/>
    </xf>
    <xf numFmtId="0" fontId="63" fillId="0" borderId="27" pivotButton="0" quotePrefix="0" xfId="3"/>
    <xf numFmtId="0" fontId="4" fillId="0" borderId="27" applyAlignment="1" pivotButton="0" quotePrefix="0" xfId="3">
      <alignment horizontal="left" vertical="top"/>
    </xf>
    <xf numFmtId="10" fontId="4" fillId="0" borderId="4" applyAlignment="1" pivotButton="0" quotePrefix="0" xfId="3">
      <alignment horizontal="center" vertical="center"/>
    </xf>
    <xf numFmtId="0" fontId="4" fillId="0" borderId="27" applyAlignment="1" pivotButton="0" quotePrefix="0" xfId="3">
      <alignment horizontal="left" vertical="top" wrapText="1"/>
    </xf>
    <xf numFmtId="0" fontId="5" fillId="0" borderId="27" applyAlignment="1" pivotButton="0" quotePrefix="0" xfId="3">
      <alignment horizontal="left" vertical="top"/>
    </xf>
    <xf numFmtId="0" fontId="5" fillId="0" borderId="27" pivotButton="0" quotePrefix="0" xfId="3"/>
    <xf numFmtId="0" fontId="4" fillId="0" borderId="27" pivotButton="0" quotePrefix="0" xfId="3"/>
    <xf numFmtId="0" fontId="4" fillId="0" borderId="4" applyAlignment="1" pivotButton="0" quotePrefix="0" xfId="3">
      <alignment horizontal="right"/>
    </xf>
    <xf numFmtId="0" fontId="4" fillId="0" borderId="4" applyAlignment="1" pivotButton="0" quotePrefix="0" xfId="3">
      <alignment horizontal="right" wrapText="1"/>
    </xf>
    <xf numFmtId="0" fontId="3" fillId="0" borderId="15" pivotButton="0" quotePrefix="0" xfId="3"/>
    <xf numFmtId="0" fontId="5" fillId="3" borderId="4" applyAlignment="1" pivotButton="0" quotePrefix="0" xfId="3">
      <alignment horizontal="center"/>
    </xf>
    <xf numFmtId="0" fontId="4" fillId="0" borderId="27" applyAlignment="1" pivotButton="0" quotePrefix="0" xfId="3">
      <alignment horizontal="left" vertical="center" wrapText="1"/>
    </xf>
    <xf numFmtId="0" fontId="4" fillId="0" borderId="27" applyAlignment="1" pivotButton="0" quotePrefix="0" xfId="3">
      <alignment horizontal="right"/>
    </xf>
    <xf numFmtId="0" fontId="4" fillId="0" borderId="4" applyAlignment="1" pivotButton="0" quotePrefix="0" xfId="3">
      <alignment horizontal="center" vertical="center" wrapText="1"/>
    </xf>
    <xf numFmtId="0" fontId="19" fillId="0" borderId="4" applyAlignment="1" pivotButton="0" quotePrefix="0" xfId="3">
      <alignment vertical="center" wrapText="1"/>
    </xf>
    <xf numFmtId="0" fontId="14" fillId="0" borderId="27" applyAlignment="1" pivotButton="0" quotePrefix="0" xfId="3">
      <alignment horizontal="left" vertical="center" wrapText="1"/>
    </xf>
    <xf numFmtId="0" fontId="19" fillId="0" borderId="4" applyAlignment="1" pivotButton="0" quotePrefix="0" xfId="3">
      <alignment horizontal="left" vertical="center" wrapText="1"/>
    </xf>
    <xf numFmtId="0" fontId="22" fillId="0" borderId="4" applyAlignment="1" pivotButton="0" quotePrefix="0" xfId="3">
      <alignment horizontal="left" vertical="center" wrapText="1"/>
    </xf>
    <xf numFmtId="0" fontId="20" fillId="0" borderId="27" applyAlignment="1" pivotButton="0" quotePrefix="0" xfId="3">
      <alignment horizontal="center" vertical="center" wrapText="1"/>
    </xf>
    <xf numFmtId="0" fontId="19" fillId="0" borderId="27" applyAlignment="1" pivotButton="0" quotePrefix="0" xfId="3">
      <alignment vertical="center" wrapText="1"/>
    </xf>
    <xf numFmtId="0" fontId="14" fillId="0" borderId="27" applyAlignment="1" pivotButton="0" quotePrefix="0" xfId="3">
      <alignment horizontal="left" vertical="top" wrapText="1"/>
    </xf>
    <xf numFmtId="0" fontId="4" fillId="0" borderId="4" applyAlignment="1" pivotButton="0" quotePrefix="0" xfId="3">
      <alignment horizontal="left" vertical="center" wrapText="1"/>
    </xf>
    <xf numFmtId="0" fontId="17" fillId="0" borderId="4" applyAlignment="1" pivotButton="0" quotePrefix="0" xfId="3">
      <alignment horizontal="left" vertical="center" wrapText="1"/>
    </xf>
    <xf numFmtId="0" fontId="18" fillId="0" borderId="4" applyAlignment="1" pivotButton="0" quotePrefix="0" xfId="3">
      <alignment horizontal="left" vertical="center" wrapText="1"/>
    </xf>
    <xf numFmtId="0" fontId="5" fillId="0" borderId="27" applyAlignment="1" pivotButton="0" quotePrefix="0" xfId="3">
      <alignment horizontal="center" vertical="center" wrapText="1"/>
    </xf>
    <xf numFmtId="0" fontId="16" fillId="0" borderId="27" applyAlignment="1" pivotButton="0" quotePrefix="0" xfId="3">
      <alignment horizontal="left" vertical="center" wrapText="1"/>
    </xf>
    <xf numFmtId="37" fontId="4" fillId="0" borderId="27" pivotButton="0" quotePrefix="0" xfId="3"/>
    <xf numFmtId="0" fontId="4" fillId="0" borderId="9" applyAlignment="1" pivotButton="0" quotePrefix="0" xfId="3">
      <alignment horizontal="center"/>
    </xf>
    <xf numFmtId="0" fontId="4" fillId="0" borderId="27" applyAlignment="1" pivotButton="0" quotePrefix="0" xfId="3">
      <alignment wrapText="1"/>
    </xf>
    <xf numFmtId="0" fontId="15" fillId="0" borderId="27" pivotButton="0" quotePrefix="0" xfId="3"/>
    <xf numFmtId="37" fontId="5" fillId="0" borderId="16" applyAlignment="1" pivotButton="0" quotePrefix="0" xfId="3">
      <alignment horizontal="right"/>
    </xf>
    <xf numFmtId="0" fontId="5" fillId="0" borderId="14" pivotButton="0" quotePrefix="0" xfId="3"/>
    <xf numFmtId="37" fontId="4" fillId="0" borderId="16" applyAlignment="1" pivotButton="0" quotePrefix="0" xfId="3">
      <alignment horizontal="right"/>
    </xf>
    <xf numFmtId="0" fontId="29" fillId="4" borderId="18" applyAlignment="1" pivotButton="0" quotePrefix="0" xfId="3">
      <alignment horizontal="center" vertical="center" wrapText="1"/>
    </xf>
    <xf numFmtId="0" fontId="5" fillId="0" borderId="27" applyAlignment="1" pivotButton="0" quotePrefix="0" xfId="3">
      <alignment horizontal="left"/>
    </xf>
    <xf numFmtId="37" fontId="5" fillId="0" borderId="27" applyAlignment="1" pivotButton="0" quotePrefix="0" xfId="3">
      <alignment horizontal="right"/>
    </xf>
    <xf numFmtId="37" fontId="5" fillId="0" borderId="15" pivotButton="0" quotePrefix="0" xfId="3"/>
    <xf numFmtId="37" fontId="4" fillId="0" borderId="27" applyAlignment="1" pivotButton="0" quotePrefix="0" xfId="3">
      <alignment horizontal="right"/>
    </xf>
    <xf numFmtId="0" fontId="4" fillId="0" borderId="15" pivotButton="0" quotePrefix="0" xfId="3"/>
    <xf numFmtId="0" fontId="13" fillId="0" borderId="27" pivotButton="0" quotePrefix="0" xfId="3"/>
    <xf numFmtId="37" fontId="4" fillId="0" borderId="9" pivotButton="0" quotePrefix="0" xfId="3"/>
    <xf numFmtId="0" fontId="5" fillId="0" borderId="27" applyAlignment="1" pivotButton="0" quotePrefix="0" xfId="3">
      <alignment horizontal="right"/>
    </xf>
    <xf numFmtId="0" fontId="5" fillId="0" borderId="10" applyAlignment="1" pivotButton="0" quotePrefix="0" xfId="3">
      <alignment horizontal="right"/>
    </xf>
    <xf numFmtId="0" fontId="12" fillId="0" borderId="27" applyAlignment="1" pivotButton="0" quotePrefix="0" xfId="3">
      <alignment vertical="center"/>
    </xf>
    <xf numFmtId="37" fontId="5" fillId="0" borderId="4" applyAlignment="1" pivotButton="0" quotePrefix="0" xfId="3">
      <alignment horizontal="right"/>
    </xf>
    <xf numFmtId="0" fontId="11" fillId="0" borderId="4" applyAlignment="1" pivotButton="0" quotePrefix="0" xfId="3">
      <alignment vertical="center"/>
    </xf>
    <xf numFmtId="0" fontId="5" fillId="0" borderId="4" applyAlignment="1" pivotButton="0" quotePrefix="0" xfId="3">
      <alignment horizontal="right"/>
    </xf>
    <xf numFmtId="3" fontId="4" fillId="0" borderId="4" applyAlignment="1" pivotButton="0" quotePrefix="0" xfId="3">
      <alignment horizontal="right"/>
    </xf>
    <xf numFmtId="0" fontId="4" fillId="0" borderId="4" applyAlignment="1" pivotButton="0" quotePrefix="0" xfId="3">
      <alignment horizontal="left" vertical="center"/>
    </xf>
    <xf numFmtId="0" fontId="12" fillId="3" borderId="15" applyAlignment="1" pivotButton="0" quotePrefix="0" xfId="3">
      <alignment horizontal="right"/>
    </xf>
    <xf numFmtId="0" fontId="5" fillId="3" borderId="14" applyAlignment="1" pivotButton="0" quotePrefix="0" xfId="3">
      <alignment vertical="center"/>
    </xf>
    <xf numFmtId="3" fontId="4" fillId="0" borderId="14" applyAlignment="1" pivotButton="0" quotePrefix="0" xfId="3">
      <alignment horizontal="right"/>
    </xf>
    <xf numFmtId="0" fontId="5" fillId="3" borderId="15" applyAlignment="1" pivotButton="0" quotePrefix="0" xfId="3">
      <alignment horizontal="center" vertical="center"/>
    </xf>
    <xf numFmtId="0" fontId="5" fillId="0" borderId="13" applyAlignment="1" pivotButton="0" quotePrefix="0" xfId="3">
      <alignment horizontal="center" vertical="center"/>
    </xf>
    <xf numFmtId="0" fontId="5" fillId="0" borderId="5" applyAlignment="1" pivotButton="0" quotePrefix="0" xfId="3">
      <alignment horizontal="center" vertical="center"/>
    </xf>
    <xf numFmtId="0" fontId="5" fillId="0" borderId="12" applyAlignment="1" pivotButton="0" quotePrefix="0" xfId="3">
      <alignment horizontal="center" vertical="center"/>
    </xf>
    <xf numFmtId="0" fontId="4" fillId="0" borderId="27" applyAlignment="1" pivotButton="0" quotePrefix="0" xfId="3">
      <alignment vertical="top" wrapText="1"/>
    </xf>
    <xf numFmtId="0" fontId="3" fillId="0" borderId="27" pivotButton="0" quotePrefix="0" xfId="3"/>
    <xf numFmtId="0" fontId="4" fillId="0" borderId="4" applyAlignment="1" pivotButton="0" quotePrefix="0" xfId="3">
      <alignment horizontal="center" vertical="center"/>
    </xf>
    <xf numFmtId="49" fontId="5" fillId="0" borderId="4" applyAlignment="1" pivotButton="0" quotePrefix="0" xfId="3">
      <alignment horizontal="center"/>
    </xf>
    <xf numFmtId="0" fontId="5" fillId="0" borderId="27" applyAlignment="1" pivotButton="0" quotePrefix="0" xfId="3">
      <alignment horizontal="left" vertical="center"/>
    </xf>
    <xf numFmtId="0" fontId="18" fillId="0" borderId="27" applyAlignment="1" pivotButton="0" quotePrefix="0" xfId="3">
      <alignment wrapText="1"/>
    </xf>
    <xf numFmtId="0" fontId="8" fillId="0" borderId="27" applyAlignment="1" pivotButton="0" quotePrefix="0" xfId="3">
      <alignment horizontal="left" vertical="top" wrapText="1"/>
    </xf>
    <xf numFmtId="0" fontId="5" fillId="0" borderId="27" applyAlignment="1" pivotButton="0" quotePrefix="0" xfId="3">
      <alignment vertical="top"/>
    </xf>
    <xf numFmtId="0" fontId="4" fillId="0" borderId="27" applyAlignment="1" pivotButton="0" quotePrefix="0" xfId="3">
      <alignment vertical="top"/>
    </xf>
    <xf numFmtId="0" fontId="4" fillId="0" borderId="27" applyAlignment="1" pivotButton="0" quotePrefix="0" xfId="3">
      <alignment horizontal="right" vertical="top"/>
    </xf>
    <xf numFmtId="0" fontId="7" fillId="0" borderId="4" applyAlignment="1" pivotButton="0" quotePrefix="0" xfId="3">
      <alignment vertical="top"/>
    </xf>
    <xf numFmtId="1" fontId="4" fillId="0" borderId="4" applyAlignment="1" pivotButton="0" quotePrefix="0" xfId="3">
      <alignment horizontal="center" vertical="center"/>
    </xf>
    <xf numFmtId="0" fontId="14" fillId="3" borderId="4" applyAlignment="1" pivotButton="0" quotePrefix="0" xfId="3">
      <alignment horizontal="center"/>
    </xf>
    <xf numFmtId="0" fontId="4" fillId="3" borderId="14" pivotButton="0" quotePrefix="0" xfId="3"/>
    <xf numFmtId="0" fontId="12" fillId="0" borderId="27" pivotButton="0" quotePrefix="0" xfId="3"/>
    <xf numFmtId="0" fontId="17" fillId="0" borderId="27" applyAlignment="1" pivotButton="0" quotePrefix="0" xfId="3">
      <alignment wrapText="1"/>
    </xf>
    <xf numFmtId="0" fontId="32" fillId="0" borderId="4" applyAlignment="1" pivotButton="0" quotePrefix="0" xfId="3">
      <alignment horizontal="center" vertical="center" wrapText="1"/>
    </xf>
    <xf numFmtId="0" fontId="17" fillId="0" borderId="4" applyAlignment="1" pivotButton="0" quotePrefix="0" xfId="3">
      <alignment horizontal="center" vertical="center" wrapText="1"/>
    </xf>
    <xf numFmtId="0" fontId="4" fillId="0" borderId="27" applyAlignment="1" pivotButton="0" quotePrefix="0" xfId="3">
      <alignment horizontal="center" vertical="top" wrapText="1"/>
    </xf>
    <xf numFmtId="0" fontId="17" fillId="0" borderId="4" applyAlignment="1" pivotButton="0" quotePrefix="0" xfId="3">
      <alignment horizontal="center" vertical="top" wrapText="1"/>
    </xf>
    <xf numFmtId="0" fontId="17" fillId="0" borderId="18" applyAlignment="1" pivotButton="0" quotePrefix="0" xfId="3">
      <alignment horizontal="center" vertical="top" wrapText="1"/>
    </xf>
    <xf numFmtId="0" fontId="17" fillId="0" borderId="15" applyAlignment="1" pivotButton="0" quotePrefix="0" xfId="3">
      <alignment horizontal="center" vertical="top" wrapText="1"/>
    </xf>
    <xf numFmtId="0" fontId="17" fillId="0" borderId="14" applyAlignment="1" pivotButton="0" quotePrefix="0" xfId="3">
      <alignment horizontal="center" vertical="top" wrapText="1"/>
    </xf>
    <xf numFmtId="0" fontId="5" fillId="0" borderId="27" applyAlignment="1" pivotButton="0" quotePrefix="0" xfId="3">
      <alignment vertical="top" wrapText="1"/>
    </xf>
    <xf numFmtId="0" fontId="5" fillId="0" borderId="27" applyAlignment="1" pivotButton="0" quotePrefix="0" xfId="3">
      <alignment horizontal="left" vertical="top" wrapText="1"/>
    </xf>
    <xf numFmtId="0" fontId="5" fillId="3" borderId="4" applyAlignment="1" pivotButton="0" quotePrefix="0" xfId="3">
      <alignment horizontal="center" vertical="center" wrapText="1"/>
    </xf>
    <xf numFmtId="0" fontId="7" fillId="0" borderId="28" applyAlignment="1" pivotButton="0" quotePrefix="0" xfId="3">
      <alignment vertical="top" wrapText="1"/>
    </xf>
    <xf numFmtId="0" fontId="7" fillId="0" borderId="29" applyAlignment="1" pivotButton="0" quotePrefix="0" xfId="3">
      <alignment vertical="top" wrapText="1"/>
    </xf>
    <xf numFmtId="164" fontId="7" fillId="0" borderId="29" applyAlignment="1" pivotButton="0" quotePrefix="0" xfId="4">
      <alignment vertical="top" wrapText="1"/>
    </xf>
    <xf numFmtId="0" fontId="7" fillId="0" borderId="29" applyAlignment="1" pivotButton="0" quotePrefix="1" xfId="3">
      <alignment horizontal="center" vertical="top" wrapText="1"/>
    </xf>
    <xf numFmtId="0" fontId="7" fillId="7" borderId="30" applyAlignment="1" pivotButton="0" quotePrefix="0" xfId="3">
      <alignment vertical="top" wrapText="1"/>
    </xf>
    <xf numFmtId="0" fontId="7" fillId="0" borderId="31" applyAlignment="1" pivotButton="0" quotePrefix="0" xfId="3">
      <alignment vertical="top" wrapText="1"/>
    </xf>
    <xf numFmtId="164" fontId="7" fillId="0" borderId="31" applyAlignment="1" pivotButton="0" quotePrefix="0" xfId="4">
      <alignment vertical="top" wrapText="1"/>
    </xf>
    <xf numFmtId="0" fontId="7" fillId="0" borderId="31" applyAlignment="1" pivotButton="0" quotePrefix="1" xfId="3">
      <alignment horizontal="center" vertical="top" wrapText="1"/>
    </xf>
    <xf numFmtId="0" fontId="7" fillId="0" borderId="30" applyAlignment="1" pivotButton="0" quotePrefix="0" xfId="3">
      <alignment vertical="top" wrapText="1"/>
    </xf>
    <xf numFmtId="0" fontId="7" fillId="0" borderId="31" applyAlignment="1" pivotButton="0" quotePrefix="0" xfId="3">
      <alignment horizontal="center" vertical="top" wrapText="1"/>
    </xf>
    <xf numFmtId="0" fontId="4" fillId="0" borderId="30" applyAlignment="1" pivotButton="0" quotePrefix="0" xfId="3">
      <alignment vertical="top" wrapText="1"/>
    </xf>
    <xf numFmtId="0" fontId="5" fillId="0" borderId="4" applyAlignment="1" pivotButton="0" quotePrefix="0" xfId="3">
      <alignment vertical="center"/>
    </xf>
    <xf numFmtId="49" fontId="4" fillId="0" borderId="4" applyAlignment="1" pivotButton="0" quotePrefix="0" xfId="3">
      <alignment horizontal="left" vertical="center"/>
    </xf>
    <xf numFmtId="10" fontId="5" fillId="0" borderId="4" applyAlignment="1" pivotButton="0" quotePrefix="0" xfId="3">
      <alignment horizontal="center" vertical="center"/>
    </xf>
    <xf numFmtId="9" fontId="5" fillId="0" borderId="4" applyAlignment="1" pivotButton="0" quotePrefix="0" xfId="3">
      <alignment horizontal="center" vertical="center"/>
    </xf>
    <xf numFmtId="0" fontId="4" fillId="2" borderId="4" applyAlignment="1" pivotButton="0" quotePrefix="0" xfId="3">
      <alignment vertical="center"/>
    </xf>
    <xf numFmtId="0" fontId="24" fillId="0" borderId="27" pivotButton="0" quotePrefix="0" xfId="3"/>
    <xf numFmtId="0" fontId="4" fillId="0" borderId="27" applyAlignment="1" pivotButton="0" quotePrefix="0" xfId="3">
      <alignment horizontal="center" vertical="center"/>
    </xf>
    <xf numFmtId="0" fontId="4" fillId="0" borderId="27" applyAlignment="1" pivotButton="0" quotePrefix="0" xfId="3">
      <alignment horizontal="center"/>
    </xf>
    <xf numFmtId="0" fontId="4" fillId="0" borderId="17" pivotButton="0" quotePrefix="0" xfId="3"/>
    <xf numFmtId="0" fontId="5" fillId="3" borderId="4" applyAlignment="1" pivotButton="0" quotePrefix="0" xfId="3">
      <alignment vertical="center"/>
    </xf>
    <xf numFmtId="0" fontId="5" fillId="0" borderId="27" applyAlignment="1" pivotButton="0" quotePrefix="0" xfId="3">
      <alignment horizontal="center" vertical="center"/>
    </xf>
    <xf numFmtId="0" fontId="4" fillId="0" borderId="4" applyAlignment="1" pivotButton="0" quotePrefix="0" xfId="3">
      <alignment vertical="center"/>
    </xf>
    <xf numFmtId="37" fontId="4" fillId="0" borderId="4" applyAlignment="1" pivotButton="0" quotePrefix="0" xfId="3">
      <alignment horizontal="center" vertical="center"/>
    </xf>
    <xf numFmtId="37" fontId="4" fillId="0" borderId="27" applyAlignment="1" pivotButton="0" quotePrefix="0" xfId="3">
      <alignment vertical="center"/>
    </xf>
    <xf numFmtId="37" fontId="5" fillId="0" borderId="4" applyAlignment="1" pivotButton="0" quotePrefix="0" xfId="3">
      <alignment horizontal="center" vertical="center"/>
    </xf>
    <xf numFmtId="0" fontId="15" fillId="0" borderId="27" applyAlignment="1" pivotButton="0" quotePrefix="0" xfId="3">
      <alignment horizontal="left" vertical="top"/>
    </xf>
    <xf numFmtId="0" fontId="4" fillId="0" borderId="27" applyAlignment="1" pivotButton="0" quotePrefix="0" xfId="3">
      <alignment horizontal="left"/>
    </xf>
    <xf numFmtId="0" fontId="4" fillId="0" borderId="27" applyAlignment="1" pivotButton="0" quotePrefix="0" xfId="3">
      <alignment horizontal="left" vertical="center"/>
    </xf>
    <xf numFmtId="49" fontId="28" fillId="0" borderId="27" applyAlignment="1" pivotButton="0" quotePrefix="0" xfId="3">
      <alignment horizontal="center" vertical="center"/>
    </xf>
    <xf numFmtId="0" fontId="4" fillId="0" borderId="15" applyAlignment="1" pivotButton="0" quotePrefix="0" xfId="3">
      <alignment horizontal="center"/>
    </xf>
    <xf numFmtId="0" fontId="4" fillId="0" borderId="9" applyAlignment="1" pivotButton="0" quotePrefix="0" xfId="3">
      <alignment horizontal="left" vertical="top"/>
    </xf>
    <xf numFmtId="0" fontId="4" fillId="0" borderId="9" pivotButton="0" quotePrefix="0" xfId="3"/>
    <xf numFmtId="0" fontId="5" fillId="3" borderId="4" pivotButton="0" quotePrefix="0" xfId="3"/>
    <xf numFmtId="0" fontId="61" fillId="3" borderId="4" applyAlignment="1" pivotButton="0" quotePrefix="0" xfId="3">
      <alignment horizontal="center" vertical="center" wrapText="1"/>
    </xf>
    <xf numFmtId="0" fontId="4" fillId="0" borderId="4" applyAlignment="1" pivotButton="0" quotePrefix="0" xfId="3">
      <alignment horizontal="left" vertical="top" wrapText="1"/>
    </xf>
    <xf numFmtId="0" fontId="4" fillId="0" borderId="9" applyAlignment="1" pivotButton="0" quotePrefix="0" xfId="3">
      <alignment horizontal="center" wrapText="1"/>
    </xf>
    <xf numFmtId="0" fontId="4" fillId="3" borderId="4" pivotButton="0" quotePrefix="0" xfId="3"/>
    <xf numFmtId="0" fontId="29" fillId="3" borderId="4" applyAlignment="1" pivotButton="0" quotePrefix="0" xfId="3">
      <alignment horizontal="center" vertical="center" wrapText="1"/>
    </xf>
    <xf numFmtId="0" fontId="4" fillId="0" borderId="4" pivotButton="0" quotePrefix="0" xfId="3"/>
    <xf numFmtId="165" fontId="4" fillId="0" borderId="4" applyAlignment="1" pivotButton="0" quotePrefix="0" xfId="3">
      <alignment horizontal="center" vertical="center"/>
    </xf>
    <xf numFmtId="49" fontId="4" fillId="0" borderId="4" applyAlignment="1" pivotButton="0" quotePrefix="0" xfId="3">
      <alignment horizontal="center" vertical="center"/>
    </xf>
    <xf numFmtId="165" fontId="4" fillId="0" borderId="27" applyAlignment="1" pivotButton="0" quotePrefix="0" xfId="3">
      <alignment horizontal="right"/>
    </xf>
    <xf numFmtId="49" fontId="4" fillId="0" borderId="27" applyAlignment="1" pivotButton="0" quotePrefix="0" xfId="3">
      <alignment horizontal="center" vertical="center"/>
    </xf>
    <xf numFmtId="0" fontId="4" fillId="0" borderId="9" applyAlignment="1" pivotButton="0" quotePrefix="0" xfId="3">
      <alignment horizontal="center" vertical="center"/>
    </xf>
    <xf numFmtId="2" fontId="4" fillId="0" borderId="9" applyAlignment="1" pivotButton="0" quotePrefix="0" xfId="3">
      <alignment horizontal="center" wrapText="1"/>
    </xf>
    <xf numFmtId="0" fontId="3" fillId="0" borderId="36" applyAlignment="1" pivotButton="0" quotePrefix="0" xfId="3">
      <alignment horizontal="left"/>
    </xf>
    <xf numFmtId="0" fontId="4" fillId="0" borderId="9" applyAlignment="1" pivotButton="0" quotePrefix="0" xfId="3">
      <alignment horizontal="center" vertical="top" wrapText="1"/>
    </xf>
    <xf numFmtId="0" fontId="7" fillId="0" borderId="27" applyAlignment="1" pivotButton="0" quotePrefix="0" xfId="3">
      <alignment wrapText="1"/>
    </xf>
    <xf numFmtId="0" fontId="2" fillId="0" borderId="27" applyAlignment="1" pivotButton="0" quotePrefix="0" xfId="3">
      <alignment horizontal="center" vertical="center"/>
    </xf>
    <xf numFmtId="0" fontId="24" fillId="0" borderId="27" applyAlignment="1" pivotButton="0" quotePrefix="0" xfId="3">
      <alignment horizontal="left" vertical="top" wrapText="1"/>
    </xf>
    <xf numFmtId="0" fontId="7" fillId="0" borderId="27" applyAlignment="1" pivotButton="0" quotePrefix="0" xfId="3">
      <alignment horizontal="left" vertical="top" wrapText="1"/>
    </xf>
    <xf numFmtId="0" fontId="7" fillId="0" borderId="27" pivotButton="0" quotePrefix="0" xfId="3"/>
    <xf numFmtId="0" fontId="5" fillId="0" borderId="4" applyAlignment="1" pivotButton="0" quotePrefix="0" xfId="3">
      <alignment horizontal="center"/>
    </xf>
    <xf numFmtId="0" fontId="4" fillId="3" borderId="4" applyAlignment="1" pivotButton="0" quotePrefix="0" xfId="3">
      <alignment horizontal="center"/>
    </xf>
    <xf numFmtId="0" fontId="7" fillId="0" borderId="4" applyAlignment="1" pivotButton="0" quotePrefix="0" xfId="3">
      <alignment horizontal="left" vertical="top" wrapText="1"/>
    </xf>
    <xf numFmtId="166" fontId="4" fillId="0" borderId="4" applyAlignment="1" pivotButton="0" quotePrefix="0" xfId="3">
      <alignment horizontal="center" vertical="center"/>
    </xf>
    <xf numFmtId="166" fontId="3" fillId="0" borderId="34" applyAlignment="1" pivotButton="0" quotePrefix="0" xfId="7">
      <alignment horizontal="center" vertical="center"/>
    </xf>
    <xf numFmtId="0" fontId="24" fillId="3" borderId="4" applyAlignment="1" pivotButton="0" quotePrefix="0" xfId="3">
      <alignment horizontal="left" vertical="top" wrapText="1"/>
    </xf>
    <xf numFmtId="166" fontId="4" fillId="3" borderId="4" applyAlignment="1" pivotButton="0" quotePrefix="0" xfId="3">
      <alignment horizontal="right"/>
    </xf>
    <xf numFmtId="166" fontId="3" fillId="8" borderId="34" applyAlignment="1" pivotButton="0" quotePrefix="0" xfId="7">
      <alignment horizontal="right"/>
    </xf>
    <xf numFmtId="0" fontId="5" fillId="3" borderId="14" applyAlignment="1" pivotButton="0" quotePrefix="0" xfId="3">
      <alignment horizontal="left" vertical="top" wrapText="1"/>
    </xf>
    <xf numFmtId="166" fontId="4" fillId="3" borderId="15" applyAlignment="1" pivotButton="0" quotePrefix="0" xfId="3">
      <alignment horizontal="right"/>
    </xf>
    <xf numFmtId="166" fontId="3" fillId="8" borderId="40" applyAlignment="1" pivotButton="0" quotePrefix="0" xfId="7">
      <alignment horizontal="right"/>
    </xf>
    <xf numFmtId="166" fontId="4" fillId="0" borderId="27" applyAlignment="1" pivotButton="0" quotePrefix="0" xfId="3">
      <alignment horizontal="right"/>
    </xf>
    <xf numFmtId="49" fontId="4" fillId="0" borderId="18" applyAlignment="1" pivotButton="0" quotePrefix="0" xfId="3">
      <alignment horizontal="center" vertical="center"/>
    </xf>
    <xf numFmtId="10" fontId="67" fillId="0" borderId="27" pivotButton="0" quotePrefix="0" xfId="8"/>
    <xf numFmtId="166" fontId="4" fillId="2" borderId="4" applyAlignment="1" pivotButton="0" quotePrefix="0" xfId="3">
      <alignment horizontal="right"/>
    </xf>
    <xf numFmtId="167" fontId="4" fillId="0" borderId="4" applyAlignment="1" pivotButton="0" quotePrefix="0" xfId="3">
      <alignment horizontal="center" vertical="center" wrapText="1"/>
    </xf>
    <xf numFmtId="0" fontId="4" fillId="0" borderId="4" applyAlignment="1" pivotButton="0" quotePrefix="0" xfId="3">
      <alignment wrapText="1"/>
    </xf>
    <xf numFmtId="0" fontId="5" fillId="0" borderId="9" applyAlignment="1" pivotButton="0" quotePrefix="0" xfId="3">
      <alignment horizontal="center" vertical="center" wrapText="1"/>
    </xf>
    <xf numFmtId="0" fontId="24" fillId="0" borderId="9" applyAlignment="1" pivotButton="0" quotePrefix="0" xfId="3">
      <alignment horizontal="center" vertical="center" wrapText="1"/>
    </xf>
    <xf numFmtId="49" fontId="4" fillId="0" borderId="4" applyAlignment="1" pivotButton="0" quotePrefix="0" xfId="3">
      <alignment horizontal="center" vertical="center" wrapText="1"/>
    </xf>
    <xf numFmtId="0" fontId="5" fillId="3" borderId="4" applyAlignment="1" pivotButton="0" quotePrefix="0" xfId="3">
      <alignment horizontal="center" wrapText="1"/>
    </xf>
    <xf numFmtId="0" fontId="5" fillId="0" borderId="15" pivotButton="0" quotePrefix="0" xfId="3"/>
    <xf numFmtId="0" fontId="5" fillId="3" borderId="18" pivotButton="0" quotePrefix="0" xfId="3"/>
    <xf numFmtId="168" fontId="4" fillId="0" borderId="4" applyAlignment="1" pivotButton="0" quotePrefix="0" xfId="3">
      <alignment horizontal="right"/>
    </xf>
    <xf numFmtId="169" fontId="5" fillId="0" borderId="4" pivotButton="0" quotePrefix="0" xfId="3"/>
    <xf numFmtId="169" fontId="4" fillId="0" borderId="4" applyAlignment="1" pivotButton="0" quotePrefix="0" xfId="3">
      <alignment horizontal="right"/>
    </xf>
    <xf numFmtId="169" fontId="4" fillId="0" borderId="18" applyAlignment="1" pivotButton="0" quotePrefix="0" xfId="3">
      <alignment horizontal="right"/>
    </xf>
    <xf numFmtId="0" fontId="17" fillId="3" borderId="4" pivotButton="0" quotePrefix="0" xfId="3"/>
    <xf numFmtId="0" fontId="17" fillId="3" borderId="18" pivotButton="0" quotePrefix="0" xfId="3"/>
    <xf numFmtId="0" fontId="14" fillId="3" borderId="4" applyAlignment="1" pivotButton="0" quotePrefix="0" xfId="3">
      <alignment horizontal="center" vertical="center" wrapText="1"/>
    </xf>
    <xf numFmtId="0" fontId="14" fillId="3" borderId="4" applyAlignment="1" pivotButton="0" quotePrefix="0" xfId="3">
      <alignment horizontal="center" wrapText="1"/>
    </xf>
    <xf numFmtId="0" fontId="14" fillId="0" borderId="4" applyAlignment="1" pivotButton="0" quotePrefix="0" xfId="3">
      <alignment vertical="top"/>
    </xf>
    <xf numFmtId="0" fontId="17" fillId="0" borderId="18" applyAlignment="1" pivotButton="0" quotePrefix="0" xfId="3">
      <alignment vertical="top" wrapText="1"/>
    </xf>
    <xf numFmtId="0" fontId="17" fillId="0" borderId="4" applyAlignment="1" pivotButton="0" quotePrefix="0" xfId="3">
      <alignment horizontal="center" vertical="center"/>
    </xf>
    <xf numFmtId="170" fontId="17" fillId="0" borderId="4" applyAlignment="1" pivotButton="0" quotePrefix="0" xfId="3">
      <alignment horizontal="center" vertical="center"/>
    </xf>
    <xf numFmtId="0" fontId="14" fillId="0" borderId="4" applyAlignment="1" pivotButton="0" quotePrefix="0" xfId="3">
      <alignment vertical="center"/>
    </xf>
    <xf numFmtId="0" fontId="17" fillId="0" borderId="18" applyAlignment="1" pivotButton="0" quotePrefix="0" xfId="3">
      <alignment vertical="center" wrapText="1"/>
    </xf>
    <xf numFmtId="0" fontId="17" fillId="0" borderId="4" applyAlignment="1" pivotButton="0" quotePrefix="0" xfId="3">
      <alignment vertical="top"/>
    </xf>
    <xf numFmtId="171" fontId="17" fillId="0" borderId="4" applyAlignment="1" pivotButton="0" quotePrefix="0" xfId="3">
      <alignment horizontal="center" vertical="center"/>
    </xf>
    <xf numFmtId="0" fontId="17" fillId="0" borderId="27" applyAlignment="1" pivotButton="0" quotePrefix="0" xfId="3">
      <alignment vertical="top"/>
    </xf>
    <xf numFmtId="0" fontId="24" fillId="0" borderId="27" applyAlignment="1" pivotButton="0" quotePrefix="0" xfId="3">
      <alignment wrapText="1"/>
    </xf>
    <xf numFmtId="0" fontId="7" fillId="0" borderId="27" applyAlignment="1" pivotButton="0" quotePrefix="0" xfId="3">
      <alignment horizontal="left" wrapText="1"/>
    </xf>
    <xf numFmtId="0" fontId="4" fillId="0" borderId="27" applyAlignment="1" pivotButton="0" quotePrefix="0" xfId="3">
      <alignment horizontal="left" wrapText="1"/>
    </xf>
    <xf numFmtId="1" fontId="5" fillId="0" borderId="4" applyAlignment="1" pivotButton="0" quotePrefix="0" xfId="3">
      <alignment horizontal="center" vertical="center" wrapText="1"/>
    </xf>
    <xf numFmtId="0" fontId="17" fillId="0" borderId="11" applyAlignment="1" pivotButton="0" quotePrefix="0" xfId="3">
      <alignment vertical="center" wrapText="1"/>
    </xf>
    <xf numFmtId="3" fontId="4" fillId="0" borderId="11" applyAlignment="1" pivotButton="0" quotePrefix="0" xfId="3">
      <alignment horizontal="center" vertical="center" wrapText="1"/>
    </xf>
    <xf numFmtId="10" fontId="4" fillId="0" borderId="11" applyAlignment="1" pivotButton="0" quotePrefix="0" xfId="3">
      <alignment horizontal="center" vertical="center" wrapText="1"/>
    </xf>
    <xf numFmtId="166" fontId="4" fillId="0" borderId="11" applyAlignment="1" pivotButton="0" quotePrefix="0" xfId="3">
      <alignment horizontal="center" vertical="center" wrapText="1"/>
    </xf>
    <xf numFmtId="0" fontId="17" fillId="0" borderId="4" applyAlignment="1" pivotButton="0" quotePrefix="0" xfId="3">
      <alignment vertical="center" wrapText="1"/>
    </xf>
    <xf numFmtId="3" fontId="4" fillId="0" borderId="4" applyAlignment="1" pivotButton="0" quotePrefix="0" xfId="3">
      <alignment horizontal="center" vertical="center" wrapText="1"/>
    </xf>
    <xf numFmtId="10" fontId="4" fillId="0" borderId="4" applyAlignment="1" pivotButton="0" quotePrefix="0" xfId="3">
      <alignment horizontal="center" vertical="center" wrapText="1"/>
    </xf>
    <xf numFmtId="166" fontId="4" fillId="0" borderId="17" applyAlignment="1" pivotButton="0" quotePrefix="0" xfId="3">
      <alignment horizontal="center" vertical="center"/>
    </xf>
    <xf numFmtId="166" fontId="4" fillId="0" borderId="18" applyAlignment="1" pivotButton="0" quotePrefix="0" xfId="3">
      <alignment horizontal="center" vertical="center"/>
    </xf>
    <xf numFmtId="0" fontId="15" fillId="0" borderId="27" applyAlignment="1" pivotButton="0" quotePrefix="0" xfId="3">
      <alignment horizontal="left" vertical="top" wrapText="1"/>
    </xf>
    <xf numFmtId="1" fontId="4" fillId="0" borderId="9" applyAlignment="1" pivotButton="0" quotePrefix="0" xfId="3">
      <alignment horizontal="center"/>
    </xf>
    <xf numFmtId="166" fontId="4" fillId="0" borderId="9" applyAlignment="1" pivotButton="0" quotePrefix="0" xfId="3">
      <alignment horizontal="center"/>
    </xf>
    <xf numFmtId="171" fontId="4" fillId="0" borderId="27" applyAlignment="1" pivotButton="0" quotePrefix="0" xfId="3">
      <alignment horizontal="center"/>
    </xf>
    <xf numFmtId="0" fontId="15" fillId="0" borderId="27" applyAlignment="1" pivotButton="0" quotePrefix="0" xfId="3">
      <alignment vertical="top"/>
    </xf>
    <xf numFmtId="16" fontId="4" fillId="0" borderId="9" applyAlignment="1" pivotButton="0" quotePrefix="0" xfId="3">
      <alignment horizontal="center"/>
    </xf>
    <xf numFmtId="165" fontId="4" fillId="0" borderId="27" pivotButton="0" quotePrefix="0" xfId="3"/>
    <xf numFmtId="0" fontId="4" fillId="0" borderId="9" applyAlignment="1" pivotButton="0" quotePrefix="0" xfId="3">
      <alignment horizontal="left"/>
    </xf>
    <xf numFmtId="165" fontId="4" fillId="0" borderId="27" applyAlignment="1" pivotButton="0" quotePrefix="0" xfId="3">
      <alignment horizontal="center" vertical="center"/>
    </xf>
    <xf numFmtId="0" fontId="4" fillId="5" borderId="27" pivotButton="0" quotePrefix="0" xfId="3"/>
    <xf numFmtId="0" fontId="7" fillId="0" borderId="27" applyAlignment="1" pivotButton="0" quotePrefix="0" xfId="3">
      <alignment horizontal="left"/>
    </xf>
    <xf numFmtId="16" fontId="4" fillId="0" borderId="9" applyAlignment="1" pivotButton="0" quotePrefix="0" xfId="3">
      <alignment horizontal="left"/>
    </xf>
    <xf numFmtId="2" fontId="4" fillId="0" borderId="4" applyAlignment="1" pivotButton="0" quotePrefix="0" xfId="3">
      <alignment horizontal="center" vertical="center"/>
    </xf>
    <xf numFmtId="0" fontId="4" fillId="2" borderId="4" applyAlignment="1" pivotButton="0" quotePrefix="0" xfId="3">
      <alignment horizontal="center"/>
    </xf>
    <xf numFmtId="165" fontId="4" fillId="0" borderId="27" applyAlignment="1" pivotButton="0" quotePrefix="0" xfId="3">
      <alignment horizontal="right" vertical="top"/>
    </xf>
    <xf numFmtId="165" fontId="4" fillId="0" borderId="9" applyAlignment="1" pivotButton="0" quotePrefix="0" xfId="3">
      <alignment horizontal="center"/>
    </xf>
    <xf numFmtId="165" fontId="4" fillId="0" borderId="27" applyAlignment="1" pivotButton="0" quotePrefix="0" xfId="3">
      <alignment horizontal="center" vertical="top"/>
    </xf>
    <xf numFmtId="4" fontId="4" fillId="0" borderId="27" applyAlignment="1" pivotButton="0" quotePrefix="0" xfId="3">
      <alignment horizontal="right" vertical="top"/>
    </xf>
    <xf numFmtId="16" fontId="4" fillId="0" borderId="15" applyAlignment="1" pivotButton="0" quotePrefix="0" xfId="3">
      <alignment horizontal="center"/>
    </xf>
    <xf numFmtId="0" fontId="3" fillId="0" borderId="40" applyAlignment="1" pivotButton="0" quotePrefix="0" xfId="3">
      <alignment horizontal="left"/>
    </xf>
    <xf numFmtId="0" fontId="25" fillId="0" borderId="27" applyAlignment="1" pivotButton="0" quotePrefix="0" xfId="3">
      <alignment vertical="top" wrapText="1"/>
    </xf>
    <xf numFmtId="0" fontId="7" fillId="0" borderId="4" pivotButton="0" quotePrefix="0" xfId="3"/>
    <xf numFmtId="165" fontId="5" fillId="3" borderId="4" applyAlignment="1" pivotButton="0" quotePrefix="0" xfId="3">
      <alignment horizontal="center" vertical="top"/>
    </xf>
    <xf numFmtId="0" fontId="7" fillId="3" borderId="4" pivotButton="0" quotePrefix="0" xfId="3"/>
    <xf numFmtId="0" fontId="7" fillId="0" borderId="4" applyAlignment="1" pivotButton="0" quotePrefix="0" xfId="3">
      <alignment horizontal="center" vertical="center"/>
    </xf>
    <xf numFmtId="0" fontId="4" fillId="0" borderId="27" applyAlignment="1" pivotButton="0" quotePrefix="0" xfId="3">
      <alignment horizontal="center" wrapText="1"/>
    </xf>
    <xf numFmtId="0" fontId="4" fillId="0" borderId="27" applyAlignment="1" pivotButton="0" quotePrefix="0" xfId="3">
      <alignment vertical="center"/>
    </xf>
    <xf numFmtId="9" fontId="4" fillId="0" borderId="27" applyAlignment="1" pivotButton="0" quotePrefix="0" xfId="3">
      <alignment horizontal="center"/>
    </xf>
    <xf numFmtId="172" fontId="4" fillId="0" borderId="27" applyAlignment="1" pivotButton="0" quotePrefix="0" xfId="3">
      <alignment horizontal="center"/>
    </xf>
    <xf numFmtId="10" fontId="4" fillId="0" borderId="5" applyAlignment="1" pivotButton="0" quotePrefix="0" xfId="3">
      <alignment horizontal="center" vertical="center"/>
    </xf>
    <xf numFmtId="10" fontId="4" fillId="0" borderId="10" pivotButton="0" quotePrefix="0" xfId="3"/>
    <xf numFmtId="0" fontId="4" fillId="0" borderId="10" applyAlignment="1" pivotButton="0" quotePrefix="0" xfId="3">
      <alignment horizontal="left"/>
    </xf>
    <xf numFmtId="10" fontId="4" fillId="0" borderId="5" pivotButton="0" quotePrefix="0" xfId="3"/>
    <xf numFmtId="10" fontId="4" fillId="0" borderId="4" applyAlignment="1" pivotButton="0" quotePrefix="0" xfId="3">
      <alignment horizontal="right"/>
    </xf>
    <xf numFmtId="0" fontId="24" fillId="3" borderId="4" applyAlignment="1" pivotButton="0" quotePrefix="0" xfId="3">
      <alignment horizontal="center" vertical="top" wrapText="1"/>
    </xf>
    <xf numFmtId="9" fontId="4" fillId="0" borderId="17" applyAlignment="1" pivotButton="0" quotePrefix="0" xfId="3">
      <alignment horizontal="right"/>
    </xf>
    <xf numFmtId="10" fontId="4" fillId="0" borderId="4" applyAlignment="1" pivotButton="0" quotePrefix="0" xfId="3">
      <alignment horizontal="right" wrapText="1"/>
    </xf>
    <xf numFmtId="9" fontId="4" fillId="0" borderId="4" applyAlignment="1" pivotButton="0" quotePrefix="0" xfId="3">
      <alignment horizontal="right"/>
    </xf>
    <xf numFmtId="9" fontId="4" fillId="0" borderId="27" applyAlignment="1" pivotButton="0" quotePrefix="0" xfId="3">
      <alignment horizontal="left"/>
    </xf>
    <xf numFmtId="0" fontId="5" fillId="3" borderId="4" applyAlignment="1" pivotButton="0" quotePrefix="0" xfId="3">
      <alignment horizontal="center" vertical="top" wrapText="1"/>
    </xf>
    <xf numFmtId="0" fontId="4" fillId="0" borderId="4" applyAlignment="1" pivotButton="0" quotePrefix="0" xfId="3">
      <alignment horizontal="center"/>
    </xf>
    <xf numFmtId="0" fontId="4" fillId="0" borderId="4" applyAlignment="1" pivotButton="0" quotePrefix="1" xfId="3">
      <alignment horizontal="center"/>
    </xf>
    <xf numFmtId="0" fontId="7" fillId="0" borderId="27" applyAlignment="1" pivotButton="0" quotePrefix="0" xfId="3">
      <alignment horizontal="left" vertical="top"/>
    </xf>
    <xf numFmtId="10" fontId="7" fillId="0" borderId="27" applyAlignment="1" pivotButton="0" quotePrefix="0" xfId="3">
      <alignment horizontal="left" vertical="top"/>
    </xf>
    <xf numFmtId="10" fontId="7" fillId="0" borderId="4" applyAlignment="1" pivotButton="0" quotePrefix="0" xfId="3">
      <alignment horizontal="left" vertical="top"/>
    </xf>
    <xf numFmtId="0" fontId="7" fillId="0" borderId="4" applyAlignment="1" pivotButton="0" quotePrefix="0" xfId="3">
      <alignment horizontal="left" vertical="top"/>
    </xf>
    <xf numFmtId="0" fontId="7" fillId="0" borderId="4" applyAlignment="1" pivotButton="0" quotePrefix="0" xfId="3">
      <alignment horizontal="center"/>
    </xf>
    <xf numFmtId="0" fontId="24" fillId="3" borderId="4" applyAlignment="1" pivotButton="0" quotePrefix="0" xfId="3">
      <alignment horizontal="center" vertical="top"/>
    </xf>
    <xf numFmtId="9" fontId="4" fillId="0" borderId="27" pivotButton="0" quotePrefix="0" xfId="3"/>
    <xf numFmtId="0" fontId="5" fillId="3" borderId="4" applyAlignment="1" pivotButton="0" quotePrefix="0" xfId="3">
      <alignment horizontal="center" vertical="center"/>
    </xf>
    <xf numFmtId="0" fontId="4" fillId="5" borderId="4" applyAlignment="1" pivotButton="0" quotePrefix="0" xfId="3">
      <alignment horizontal="center" vertical="center"/>
    </xf>
    <xf numFmtId="1" fontId="4" fillId="0" borderId="27" applyAlignment="1" pivotButton="0" quotePrefix="0" xfId="3">
      <alignment horizontal="right" vertical="center" wrapText="1"/>
    </xf>
    <xf numFmtId="0" fontId="7" fillId="0" borderId="4" applyAlignment="1" pivotButton="0" quotePrefix="0" xfId="3">
      <alignment horizontal="center" vertical="center" wrapText="1"/>
    </xf>
    <xf numFmtId="9" fontId="4" fillId="0" borderId="4" applyAlignment="1" pivotButton="0" quotePrefix="0" xfId="3">
      <alignment horizontal="center" vertical="center" wrapText="1"/>
    </xf>
    <xf numFmtId="0" fontId="7" fillId="0" borderId="21" applyAlignment="1" pivotButton="0" quotePrefix="0" xfId="3">
      <alignment horizontal="left" vertical="top"/>
    </xf>
    <xf numFmtId="0" fontId="7" fillId="0" borderId="9" applyAlignment="1" pivotButton="0" quotePrefix="0" xfId="3">
      <alignment horizontal="center" vertical="top" wrapText="1"/>
    </xf>
    <xf numFmtId="9" fontId="4" fillId="0" borderId="9" applyAlignment="1" pivotButton="0" quotePrefix="0" xfId="3">
      <alignment horizontal="center" vertical="center" wrapText="1"/>
    </xf>
    <xf numFmtId="173" fontId="4" fillId="0" borderId="27" applyAlignment="1" pivotButton="0" quotePrefix="0" xfId="3">
      <alignment horizontal="center" vertical="center"/>
    </xf>
    <xf numFmtId="0" fontId="5" fillId="0" borderId="4" applyAlignment="1" pivotButton="0" quotePrefix="0" xfId="3">
      <alignment horizontal="left" vertical="top"/>
    </xf>
    <xf numFmtId="0" fontId="25" fillId="0" borderId="27" applyAlignment="1" pivotButton="0" quotePrefix="0" xfId="3">
      <alignment horizontal="center" vertical="center" wrapText="1"/>
    </xf>
    <xf numFmtId="14" fontId="4" fillId="0" borderId="9" applyAlignment="1" pivotButton="0" quotePrefix="0" xfId="3">
      <alignment horizontal="center"/>
    </xf>
    <xf numFmtId="0" fontId="25" fillId="0" borderId="27" applyAlignment="1" pivotButton="0" quotePrefix="0" xfId="3">
      <alignment horizontal="center" vertical="top" wrapText="1"/>
    </xf>
    <xf numFmtId="0" fontId="25" fillId="0" borderId="27" applyAlignment="1" pivotButton="0" quotePrefix="0" xfId="3">
      <alignment horizontal="left" vertical="top" wrapText="1"/>
    </xf>
    <xf numFmtId="0" fontId="25" fillId="0" borderId="4" applyAlignment="1" pivotButton="0" quotePrefix="0" xfId="3">
      <alignment horizontal="center" vertical="center" wrapText="1"/>
    </xf>
    <xf numFmtId="0" fontId="7" fillId="0" borderId="4" applyAlignment="1" pivotButton="0" quotePrefix="0" xfId="3">
      <alignment wrapText="1"/>
    </xf>
    <xf numFmtId="0" fontId="27" fillId="0" borderId="4" applyAlignment="1" pivotButton="0" quotePrefix="0" xfId="3">
      <alignment horizontal="center" vertical="center" wrapText="1"/>
    </xf>
    <xf numFmtId="0" fontId="14" fillId="0" borderId="4" applyAlignment="1" pivotButton="0" quotePrefix="0" xfId="3">
      <alignment horizontal="center" vertical="center" wrapText="1"/>
    </xf>
    <xf numFmtId="0" fontId="27" fillId="0" borderId="27" applyAlignment="1" pivotButton="0" quotePrefix="0" xfId="3">
      <alignment horizontal="center" vertical="top" wrapText="1"/>
    </xf>
    <xf numFmtId="0" fontId="27" fillId="0" borderId="27" applyAlignment="1" pivotButton="0" quotePrefix="0" xfId="3">
      <alignment horizontal="center" vertical="center" wrapText="1"/>
    </xf>
    <xf numFmtId="0" fontId="4" fillId="0" borderId="27" applyAlignment="1" pivotButton="0" quotePrefix="0" xfId="3">
      <alignment horizontal="center" vertical="center" wrapText="1"/>
    </xf>
    <xf numFmtId="0" fontId="3" fillId="0" borderId="34" applyAlignment="1" pivotButton="0" quotePrefix="0" xfId="3">
      <alignment horizontal="center" vertical="center"/>
    </xf>
    <xf numFmtId="0" fontId="26" fillId="5" borderId="18" applyAlignment="1" pivotButton="0" quotePrefix="0" xfId="3">
      <alignment vertical="center"/>
    </xf>
    <xf numFmtId="0" fontId="26" fillId="5" borderId="15" applyAlignment="1" pivotButton="0" quotePrefix="0" xfId="3">
      <alignment vertical="center"/>
    </xf>
    <xf numFmtId="0" fontId="26" fillId="5" borderId="14" applyAlignment="1" pivotButton="0" quotePrefix="0" xfId="3">
      <alignment vertical="center"/>
    </xf>
    <xf numFmtId="0" fontId="7" fillId="0" borderId="4" applyAlignment="1" pivotButton="0" quotePrefix="0" xfId="3">
      <alignment horizontal="left" wrapText="1"/>
    </xf>
    <xf numFmtId="0" fontId="5" fillId="0" borderId="4" applyAlignment="1" pivotButton="0" quotePrefix="0" xfId="3">
      <alignment horizontal="center" vertical="center" wrapText="1"/>
    </xf>
    <xf numFmtId="0" fontId="4" fillId="0" borderId="18" applyAlignment="1" pivotButton="0" quotePrefix="0" xfId="3">
      <alignment horizontal="center" vertical="center"/>
    </xf>
    <xf numFmtId="0" fontId="4" fillId="0" borderId="19" applyAlignment="1" pivotButton="0" quotePrefix="0" xfId="3">
      <alignment vertical="center"/>
    </xf>
    <xf numFmtId="0" fontId="63" fillId="0" borderId="33" applyAlignment="1" pivotButton="0" quotePrefix="0" xfId="3">
      <alignment horizontal="center" vertical="center"/>
    </xf>
    <xf numFmtId="0" fontId="63" fillId="0" borderId="34" applyAlignment="1" pivotButton="0" quotePrefix="0" xfId="3">
      <alignment horizontal="center" vertical="center"/>
    </xf>
    <xf numFmtId="0" fontId="4" fillId="0" borderId="12" applyAlignment="1" pivotButton="0" quotePrefix="0" xfId="3">
      <alignment vertical="center"/>
    </xf>
    <xf numFmtId="0" fontId="3" fillId="0" borderId="33" applyAlignment="1" pivotButton="0" quotePrefix="0" xfId="3">
      <alignment horizontal="center" vertical="center"/>
    </xf>
    <xf numFmtId="0" fontId="4" fillId="0" borderId="14" applyAlignment="1" pivotButton="0" quotePrefix="0" xfId="3">
      <alignment vertical="center"/>
    </xf>
    <xf numFmtId="0" fontId="4" fillId="0" borderId="14" applyAlignment="1" pivotButton="0" quotePrefix="0" xfId="3">
      <alignment vertical="center" wrapText="1"/>
    </xf>
    <xf numFmtId="0" fontId="14" fillId="3" borderId="18" applyAlignment="1" pivotButton="0" quotePrefix="0" xfId="3">
      <alignment horizontal="center" wrapText="1"/>
    </xf>
    <xf numFmtId="0" fontId="4" fillId="0" borderId="10" applyAlignment="1" pivotButton="0" quotePrefix="0" xfId="3">
      <alignment horizontal="center" vertical="center"/>
    </xf>
    <xf numFmtId="3" fontId="4" fillId="0" borderId="4" applyAlignment="1" pivotButton="0" quotePrefix="0" xfId="3">
      <alignment horizontal="center" vertical="center"/>
    </xf>
    <xf numFmtId="0" fontId="17" fillId="0" borderId="27" applyAlignment="1" pivotButton="0" quotePrefix="0" xfId="3">
      <alignment horizontal="left"/>
    </xf>
    <xf numFmtId="0" fontId="4" fillId="0" borderId="15" applyAlignment="1" pivotButton="0" quotePrefix="0" xfId="3">
      <alignment horizontal="center" vertical="center"/>
    </xf>
    <xf numFmtId="0" fontId="18" fillId="0" borderId="27" applyAlignment="1" pivotButton="0" quotePrefix="0" xfId="3">
      <alignment horizontal="center" wrapText="1"/>
    </xf>
    <xf numFmtId="0" fontId="23" fillId="0" borderId="27" applyAlignment="1" pivotButton="0" quotePrefix="0" xfId="3">
      <alignment horizontal="right" vertical="top"/>
    </xf>
    <xf numFmtId="0" fontId="4" fillId="0" borderId="9" applyAlignment="1" pivotButton="0" quotePrefix="0" xfId="0">
      <alignment horizontal="left"/>
    </xf>
    <xf numFmtId="0" fontId="3" fillId="0" borderId="9" pivotButton="0" quotePrefix="0" xfId="0"/>
    <xf numFmtId="0" fontId="5" fillId="0" borderId="9" applyAlignment="1" pivotButton="0" quotePrefix="0" xfId="0">
      <alignment horizontal="left"/>
    </xf>
    <xf numFmtId="0" fontId="62" fillId="0" borderId="9" applyAlignment="1" pivotButton="0" quotePrefix="0" xfId="1">
      <alignment horizontal="left" wrapText="1"/>
    </xf>
    <xf numFmtId="0" fontId="2" fillId="2" borderId="1" applyAlignment="1" pivotButton="0" quotePrefix="0" xfId="0">
      <alignment horizontal="center" vertical="center"/>
    </xf>
    <xf numFmtId="0" fontId="3" fillId="0" borderId="2" pivotButton="0" quotePrefix="0" xfId="0"/>
    <xf numFmtId="0" fontId="3" fillId="0" borderId="3" pivotButton="0" quotePrefix="0" xfId="0"/>
    <xf numFmtId="0" fontId="4" fillId="0" borderId="0" applyAlignment="1" pivotButton="0" quotePrefix="0" xfId="0">
      <alignment horizontal="left" vertical="top" wrapText="1"/>
    </xf>
    <xf numFmtId="0" fontId="0" fillId="0" borderId="0" pivotButton="0" quotePrefix="0" xfId="0"/>
    <xf numFmtId="0" fontId="4" fillId="0" borderId="0" applyAlignment="1" pivotButton="0" quotePrefix="0" xfId="0">
      <alignment horizontal="left" wrapText="1"/>
    </xf>
    <xf numFmtId="0" fontId="62" fillId="0" borderId="6" applyAlignment="1" pivotButton="0" quotePrefix="0" xfId="1">
      <alignment horizontal="center" vertical="center"/>
    </xf>
    <xf numFmtId="0" fontId="3" fillId="0" borderId="7" pivotButton="0" quotePrefix="0" xfId="0"/>
    <xf numFmtId="0" fontId="3" fillId="0" borderId="8" pivotButton="0" quotePrefix="0" xfId="0"/>
    <xf numFmtId="0" fontId="4" fillId="0" borderId="6" applyAlignment="1" pivotButton="0" quotePrefix="0" xfId="0">
      <alignment horizontal="left" vertical="top" wrapText="1"/>
    </xf>
    <xf numFmtId="0" fontId="4" fillId="0" borderId="10" applyAlignment="1" pivotButton="0" quotePrefix="0" xfId="0">
      <alignment horizontal="left" vertical="top" wrapText="1"/>
    </xf>
    <xf numFmtId="0" fontId="3" fillId="0" borderId="10" pivotButton="0" quotePrefix="0" xfId="0"/>
    <xf numFmtId="0" fontId="4" fillId="0" borderId="9" applyAlignment="1" pivotButton="0" quotePrefix="0" xfId="0">
      <alignment horizontal="left" wrapText="1"/>
    </xf>
    <xf numFmtId="0" fontId="5" fillId="0" borderId="0" applyAlignment="1" pivotButton="0" quotePrefix="0" xfId="0">
      <alignment horizontal="left" vertical="center" wrapText="1"/>
    </xf>
    <xf numFmtId="0" fontId="8" fillId="0" borderId="0" applyAlignment="1" pivotButton="0" quotePrefix="0" xfId="0">
      <alignment horizontal="left" vertical="top" wrapText="1"/>
    </xf>
    <xf numFmtId="0" fontId="65" fillId="0" borderId="34" applyAlignment="1" pivotButton="0" quotePrefix="0" xfId="0">
      <alignment horizontal="left" vertical="top" wrapText="1"/>
    </xf>
    <xf numFmtId="0" fontId="65" fillId="0" borderId="35" applyAlignment="1" pivotButton="0" quotePrefix="0" xfId="0">
      <alignment horizontal="left" vertical="top" wrapText="1"/>
    </xf>
    <xf numFmtId="0" fontId="65" fillId="0" borderId="33" applyAlignment="1" pivotButton="0" quotePrefix="0" xfId="0">
      <alignment horizontal="left" vertical="top" wrapText="1"/>
    </xf>
    <xf numFmtId="0" fontId="64" fillId="0" borderId="34" applyAlignment="1" pivotButton="0" quotePrefix="0" xfId="2">
      <alignment horizontal="left" vertical="top" wrapText="1"/>
    </xf>
    <xf numFmtId="0" fontId="2" fillId="2" borderId="27" applyAlignment="1" pivotButton="0" quotePrefix="0" xfId="3">
      <alignment horizontal="center" vertical="center"/>
    </xf>
    <xf numFmtId="0" fontId="3" fillId="0" borderId="27" pivotButton="0" quotePrefix="0" xfId="3"/>
    <xf numFmtId="0" fontId="5" fillId="0" borderId="27" applyAlignment="1" pivotButton="0" quotePrefix="0" xfId="3">
      <alignment horizontal="left" vertical="center" wrapText="1"/>
    </xf>
    <xf numFmtId="0" fontId="63" fillId="0" borderId="27" pivotButton="0" quotePrefix="0" xfId="3"/>
    <xf numFmtId="0" fontId="4" fillId="0" borderId="27" applyAlignment="1" pivotButton="0" quotePrefix="0" xfId="3">
      <alignment horizontal="left" vertical="center" wrapText="1"/>
    </xf>
    <xf numFmtId="0" fontId="4" fillId="0" borderId="27" applyAlignment="1" pivotButton="0" quotePrefix="0" xfId="3">
      <alignment vertical="top" wrapText="1"/>
    </xf>
    <xf numFmtId="0" fontId="4" fillId="3" borderId="14" applyAlignment="1" pivotButton="0" quotePrefix="0" xfId="3">
      <alignment horizontal="center"/>
    </xf>
    <xf numFmtId="0" fontId="3" fillId="0" borderId="15" pivotButton="0" quotePrefix="0" xfId="3"/>
    <xf numFmtId="0" fontId="3" fillId="0" borderId="18" pivotButton="0" quotePrefix="0" xfId="3"/>
    <xf numFmtId="0" fontId="14" fillId="0" borderId="5" applyAlignment="1" pivotButton="0" quotePrefix="0" xfId="3">
      <alignment horizontal="center" vertical="center" wrapText="1"/>
    </xf>
    <xf numFmtId="0" fontId="3" fillId="0" borderId="11" pivotButton="0" quotePrefix="0" xfId="3"/>
    <xf numFmtId="0" fontId="21" fillId="3" borderId="5" applyAlignment="1" pivotButton="0" quotePrefix="0" xfId="3">
      <alignment horizontal="center" vertical="center" wrapText="1"/>
    </xf>
    <xf numFmtId="0" fontId="5" fillId="0" borderId="14" applyAlignment="1" pivotButton="0" quotePrefix="0" xfId="3">
      <alignment horizontal="center" vertical="center"/>
    </xf>
    <xf numFmtId="0" fontId="18" fillId="0" borderId="14" applyAlignment="1" pivotButton="0" quotePrefix="0" xfId="3">
      <alignment horizontal="left" vertical="top" wrapText="1"/>
    </xf>
    <xf numFmtId="0" fontId="17" fillId="0" borderId="14" applyAlignment="1" pivotButton="0" quotePrefix="0" xfId="3">
      <alignment horizontal="left" vertical="top" wrapText="1"/>
    </xf>
    <xf numFmtId="0" fontId="6" fillId="0" borderId="27" applyAlignment="1" pivotButton="0" quotePrefix="0" xfId="3">
      <alignment horizontal="left" vertical="center" wrapText="1"/>
    </xf>
    <xf numFmtId="0" fontId="11" fillId="0" borderId="9" applyAlignment="1" pivotButton="0" quotePrefix="0" xfId="3">
      <alignment horizontal="center" vertical="center" wrapText="1"/>
    </xf>
    <xf numFmtId="0" fontId="3" fillId="0" borderId="9" pivotButton="0" quotePrefix="0" xfId="3"/>
    <xf numFmtId="0" fontId="5" fillId="0" borderId="27" applyAlignment="1" pivotButton="0" quotePrefix="0" xfId="3">
      <alignment horizontal="center" vertical="center" wrapText="1"/>
    </xf>
    <xf numFmtId="0" fontId="4" fillId="0" borderId="27" applyAlignment="1" pivotButton="0" quotePrefix="0" xfId="3">
      <alignment horizontal="left" vertical="top" wrapText="1"/>
    </xf>
    <xf numFmtId="0" fontId="4" fillId="3" borderId="14" applyAlignment="1" pivotButton="0" quotePrefix="0" xfId="3">
      <alignment vertical="center"/>
    </xf>
    <xf numFmtId="0" fontId="4" fillId="0" borderId="14" pivotButton="0" quotePrefix="0" xfId="3"/>
    <xf numFmtId="0" fontId="11" fillId="3" borderId="5" applyAlignment="1" pivotButton="0" quotePrefix="0" xfId="3">
      <alignment horizontal="center" vertical="center" wrapText="1"/>
    </xf>
    <xf numFmtId="0" fontId="3" fillId="0" borderId="21" pivotButton="0" quotePrefix="0" xfId="3"/>
    <xf numFmtId="0" fontId="4" fillId="0" borderId="9" applyAlignment="1" pivotButton="0" quotePrefix="0" xfId="3">
      <alignment horizontal="left" vertical="top" wrapText="1"/>
    </xf>
    <xf numFmtId="0" fontId="5" fillId="0" borderId="14" pivotButton="0" quotePrefix="0" xfId="3"/>
    <xf numFmtId="0" fontId="7" fillId="0" borderId="14" pivotButton="0" quotePrefix="0" xfId="3"/>
    <xf numFmtId="0" fontId="20" fillId="0" borderId="27" applyAlignment="1" pivotButton="0" quotePrefix="0" xfId="3">
      <alignment horizontal="center" vertical="center" wrapText="1"/>
    </xf>
    <xf numFmtId="0" fontId="4" fillId="0" borderId="5" applyAlignment="1" pivotButton="0" quotePrefix="0" xfId="3">
      <alignment horizontal="center" vertical="center"/>
    </xf>
    <xf numFmtId="0" fontId="5" fillId="0" borderId="27" applyAlignment="1" pivotButton="0" quotePrefix="0" xfId="3">
      <alignment horizontal="left" wrapText="1"/>
    </xf>
    <xf numFmtId="0" fontId="7" fillId="0" borderId="17" applyAlignment="1" pivotButton="0" quotePrefix="0" xfId="3">
      <alignment horizontal="left" vertical="center" wrapText="1"/>
    </xf>
    <xf numFmtId="0" fontId="4" fillId="0" borderId="17" applyAlignment="1" pivotButton="0" quotePrefix="0" xfId="3">
      <alignment horizontal="left" vertical="center" wrapText="1"/>
    </xf>
    <xf numFmtId="0" fontId="5" fillId="0" borderId="27" applyAlignment="1" pivotButton="0" quotePrefix="0" xfId="3">
      <alignment vertical="top" wrapText="1"/>
    </xf>
    <xf numFmtId="0" fontId="7" fillId="0" borderId="27" applyAlignment="1" pivotButton="0" quotePrefix="0" xfId="3">
      <alignment horizontal="left" vertical="top" wrapText="1"/>
    </xf>
    <xf numFmtId="0" fontId="17" fillId="0" borderId="27" applyAlignment="1" pivotButton="0" quotePrefix="0" xfId="3">
      <alignment horizontal="left"/>
    </xf>
    <xf numFmtId="0" fontId="25" fillId="0" borderId="27" applyAlignment="1" pivotButton="0" quotePrefix="0" xfId="3">
      <alignment horizontal="left"/>
    </xf>
    <xf numFmtId="0" fontId="24" fillId="0" borderId="27" applyAlignment="1" pivotButton="0" quotePrefix="0" xfId="3">
      <alignment horizontal="left" vertical="top" wrapText="1"/>
    </xf>
    <xf numFmtId="0" fontId="7" fillId="0" borderId="27" pivotButton="0" quotePrefix="0" xfId="3"/>
    <xf numFmtId="0" fontId="5" fillId="0" borderId="27" applyAlignment="1" pivotButton="0" quotePrefix="0" xfId="3">
      <alignment horizontal="left" vertical="top" wrapText="1"/>
    </xf>
    <xf numFmtId="0" fontId="24" fillId="0" borderId="27" pivotButton="0" quotePrefix="0" xfId="3"/>
    <xf numFmtId="0" fontId="4" fillId="0" borderId="27" applyAlignment="1" pivotButton="0" quotePrefix="0" xfId="3">
      <alignment vertical="center" wrapText="1"/>
    </xf>
    <xf numFmtId="0" fontId="4" fillId="0" borderId="12" applyAlignment="1" pivotButton="0" quotePrefix="0" xfId="3">
      <alignment horizontal="left" vertical="top" wrapText="1"/>
    </xf>
    <xf numFmtId="0" fontId="3" fillId="0" borderId="10" pivotButton="0" quotePrefix="0" xfId="3"/>
    <xf numFmtId="0" fontId="3" fillId="0" borderId="13" pivotButton="0" quotePrefix="0" xfId="3"/>
    <xf numFmtId="0" fontId="3" fillId="0" borderId="19" pivotButton="0" quotePrefix="0" xfId="3"/>
    <xf numFmtId="0" fontId="3" fillId="0" borderId="16" pivotButton="0" quotePrefix="0" xfId="3"/>
    <xf numFmtId="0" fontId="7" fillId="0" borderId="27" applyAlignment="1" pivotButton="0" quotePrefix="0" xfId="3">
      <alignment vertical="top" wrapText="1"/>
    </xf>
    <xf numFmtId="0" fontId="4" fillId="0" borderId="27" applyAlignment="1" pivotButton="0" quotePrefix="0" xfId="3">
      <alignment horizontal="left"/>
    </xf>
    <xf numFmtId="0" fontId="5" fillId="3" borderId="14" applyAlignment="1" pivotButton="0" quotePrefix="0" xfId="3">
      <alignment horizontal="center"/>
    </xf>
    <xf numFmtId="0" fontId="7" fillId="0" borderId="27" applyAlignment="1" pivotButton="0" quotePrefix="0" xfId="3">
      <alignment horizontal="left"/>
    </xf>
    <xf numFmtId="0" fontId="4" fillId="0" borderId="9" applyAlignment="1" pivotButton="0" quotePrefix="0" xfId="3">
      <alignment horizontal="left" wrapText="1"/>
    </xf>
    <xf numFmtId="0" fontId="4" fillId="0" borderId="27" applyAlignment="1" pivotButton="0" quotePrefix="0" xfId="3">
      <alignment horizontal="left" wrapText="1"/>
    </xf>
    <xf numFmtId="0" fontId="4" fillId="0" borderId="27" applyAlignment="1" pivotButton="0" quotePrefix="0" xfId="3">
      <alignment horizontal="left" vertical="top"/>
    </xf>
    <xf numFmtId="0" fontId="4" fillId="0" borderId="14" applyAlignment="1" pivotButton="0" quotePrefix="0" xfId="3">
      <alignment horizontal="left" vertical="top" wrapText="1"/>
    </xf>
    <xf numFmtId="0" fontId="5" fillId="0" borderId="27" applyAlignment="1" pivotButton="0" quotePrefix="0" xfId="3">
      <alignment horizontal="left"/>
    </xf>
    <xf numFmtId="0" fontId="5" fillId="3" borderId="14" applyAlignment="1" pivotButton="0" quotePrefix="0" xfId="3">
      <alignment horizontal="center" vertical="top" wrapText="1"/>
    </xf>
    <xf numFmtId="0" fontId="4" fillId="0" borderId="14" applyAlignment="1" pivotButton="0" quotePrefix="0" xfId="3">
      <alignment horizontal="left" vertical="top"/>
    </xf>
    <xf numFmtId="0" fontId="4" fillId="0" borderId="9" applyAlignment="1" pivotButton="0" quotePrefix="0" xfId="3">
      <alignment horizontal="center" wrapText="1"/>
    </xf>
    <xf numFmtId="0" fontId="5" fillId="0" borderId="9" applyAlignment="1" pivotButton="0" quotePrefix="0" xfId="3">
      <alignment vertical="top" wrapText="1"/>
    </xf>
    <xf numFmtId="0" fontId="4" fillId="2" borderId="5" applyAlignment="1" pivotButton="0" quotePrefix="0" xfId="3">
      <alignment horizontal="center" vertical="top" wrapText="1"/>
    </xf>
    <xf numFmtId="0" fontId="24" fillId="0" borderId="14" applyAlignment="1" pivotButton="0" quotePrefix="0" xfId="3">
      <alignment horizontal="center" vertical="top" wrapText="1"/>
    </xf>
    <xf numFmtId="0" fontId="4" fillId="0" borderId="12" applyAlignment="1" pivotButton="0" quotePrefix="0" xfId="3">
      <alignment horizontal="left"/>
    </xf>
    <xf numFmtId="0" fontId="24" fillId="3" borderId="14" applyAlignment="1" pivotButton="0" quotePrefix="0" xfId="3">
      <alignment horizontal="center" vertical="top" wrapText="1"/>
    </xf>
    <xf numFmtId="0" fontId="5" fillId="0" borderId="27" applyAlignment="1" pivotButton="0" quotePrefix="0" xfId="3">
      <alignment horizontal="left" vertical="top"/>
    </xf>
    <xf numFmtId="0" fontId="4" fillId="0" borderId="9" applyAlignment="1" pivotButton="0" quotePrefix="0" xfId="3">
      <alignment horizontal="left"/>
    </xf>
    <xf numFmtId="0" fontId="25" fillId="0" borderId="27" applyAlignment="1" pivotButton="0" quotePrefix="0" xfId="3">
      <alignment vertical="top" wrapText="1"/>
    </xf>
    <xf numFmtId="0" fontId="3" fillId="0" borderId="36" applyAlignment="1" pivotButton="0" quotePrefix="0" xfId="3">
      <alignment horizontal="left"/>
    </xf>
    <xf numFmtId="0" fontId="15" fillId="0" borderId="27" applyAlignment="1" pivotButton="0" quotePrefix="0" xfId="3">
      <alignment horizontal="left" vertical="top"/>
    </xf>
    <xf numFmtId="0" fontId="3" fillId="0" borderId="37" applyAlignment="1" pivotButton="0" quotePrefix="0" xfId="3">
      <alignment horizontal="center" vertical="center"/>
    </xf>
    <xf numFmtId="0" fontId="3" fillId="0" borderId="38" applyAlignment="1" pivotButton="0" quotePrefix="0" xfId="3">
      <alignment horizontal="center" vertical="center"/>
    </xf>
    <xf numFmtId="0" fontId="3" fillId="0" borderId="39" applyAlignment="1" pivotButton="0" quotePrefix="0" xfId="3">
      <alignment horizontal="center" vertical="center"/>
    </xf>
    <xf numFmtId="0" fontId="25" fillId="0" borderId="27" applyAlignment="1" pivotButton="0" quotePrefix="0" xfId="3">
      <alignment vertical="center" wrapText="1"/>
    </xf>
    <xf numFmtId="0" fontId="3" fillId="0" borderId="20" pivotButton="0" quotePrefix="0" xfId="3"/>
    <xf numFmtId="0" fontId="4" fillId="0" borderId="5" applyAlignment="1" pivotButton="0" quotePrefix="0" xfId="3">
      <alignment horizontal="center" vertical="center" wrapText="1"/>
    </xf>
    <xf numFmtId="0" fontId="7" fillId="0" borderId="27" applyAlignment="1" pivotButton="0" quotePrefix="0" xfId="3">
      <alignment wrapText="1"/>
    </xf>
    <xf numFmtId="0" fontId="17" fillId="0" borderId="27" applyAlignment="1" pivotButton="0" quotePrefix="0" xfId="3">
      <alignment wrapText="1"/>
    </xf>
    <xf numFmtId="0" fontId="66" fillId="0" borderId="36" applyAlignment="1" pivotButton="0" quotePrefix="0" xfId="5">
      <alignment horizontal="center"/>
    </xf>
    <xf numFmtId="0" fontId="3" fillId="0" borderId="36" applyAlignment="1" pivotButton="0" quotePrefix="0" xfId="3">
      <alignment horizontal="center"/>
    </xf>
    <xf numFmtId="0" fontId="17" fillId="0" borderId="9" applyAlignment="1" pivotButton="0" quotePrefix="0" xfId="0">
      <alignment horizontal="left" wrapText="1"/>
    </xf>
    <xf numFmtId="0" fontId="5" fillId="0" borderId="0" applyAlignment="1" pivotButton="0" quotePrefix="0" xfId="0">
      <alignment horizontal="left" vertical="top" wrapText="1"/>
    </xf>
    <xf numFmtId="0" fontId="5" fillId="3" borderId="6" applyAlignment="1" pivotButton="0" quotePrefix="0" xfId="0">
      <alignment horizontal="center" vertical="center" wrapText="1"/>
    </xf>
    <xf numFmtId="0" fontId="4" fillId="0" borderId="6" applyAlignment="1" pivotButton="0" quotePrefix="0" xfId="0">
      <alignment horizontal="center" vertical="center" wrapText="1"/>
    </xf>
    <xf numFmtId="49" fontId="4" fillId="0" borderId="6" applyAlignment="1" pivotButton="0" quotePrefix="0" xfId="0">
      <alignment horizontal="center" vertical="center"/>
    </xf>
    <xf numFmtId="0" fontId="4" fillId="0" borderId="17" applyAlignment="1" pivotButton="0" quotePrefix="0" xfId="0">
      <alignment horizontal="left" vertical="top" wrapText="1"/>
    </xf>
    <xf numFmtId="0" fontId="4" fillId="0" borderId="0" applyAlignment="1" pivotButton="0" quotePrefix="0" xfId="0">
      <alignment horizontal="left" vertical="top"/>
    </xf>
    <xf numFmtId="0" fontId="7" fillId="0" borderId="17" applyAlignment="1" pivotButton="0" quotePrefix="0" xfId="0">
      <alignment horizontal="left" wrapText="1"/>
    </xf>
    <xf numFmtId="0" fontId="5" fillId="0" borderId="9" applyAlignment="1" pivotButton="0" quotePrefix="0" xfId="0">
      <alignment horizontal="left" vertical="top" wrapText="1"/>
    </xf>
    <xf numFmtId="0" fontId="4" fillId="3" borderId="6" pivotButton="0" quotePrefix="0" xfId="0"/>
    <xf numFmtId="0" fontId="62" fillId="0" borderId="9" applyAlignment="1" pivotButton="0" quotePrefix="0" xfId="6">
      <alignment horizontal="center"/>
    </xf>
    <xf numFmtId="0" fontId="7" fillId="5" borderId="27" applyAlignment="1" pivotButton="0" quotePrefix="0" xfId="3">
      <alignment horizontal="left" vertical="top" wrapText="1"/>
    </xf>
    <xf numFmtId="0" fontId="4" fillId="0" borderId="27" pivotButton="0" quotePrefix="0" xfId="3"/>
    <xf numFmtId="0" fontId="16" fillId="0" borderId="27" applyAlignment="1" pivotButton="0" quotePrefix="0" xfId="3">
      <alignment horizontal="left" vertical="top"/>
    </xf>
    <xf numFmtId="0" fontId="8" fillId="0" borderId="27" applyAlignment="1" pivotButton="0" quotePrefix="0" xfId="3">
      <alignment horizontal="left" vertical="top" wrapText="1"/>
    </xf>
    <xf numFmtId="0" fontId="30" fillId="0" borderId="27" applyAlignment="1" pivotButton="0" quotePrefix="0" xfId="3">
      <alignment horizontal="left" vertical="top" wrapText="1"/>
    </xf>
    <xf numFmtId="0" fontId="7" fillId="0" borderId="27" applyAlignment="1" pivotButton="0" quotePrefix="0" xfId="3">
      <alignment horizontal="center" vertical="top" wrapText="1"/>
    </xf>
    <xf numFmtId="0" fontId="4" fillId="3" borderId="14" pivotButton="0" quotePrefix="0" xfId="3"/>
    <xf numFmtId="0" fontId="5" fillId="0" borderId="14" applyAlignment="1" pivotButton="0" quotePrefix="0" xfId="3">
      <alignment horizontal="left" vertical="top" wrapText="1"/>
    </xf>
    <xf numFmtId="0" fontId="4" fillId="0" borderId="27" applyAlignment="1" pivotButton="0" quotePrefix="0" xfId="3">
      <alignment horizontal="left" vertical="center"/>
    </xf>
    <xf numFmtId="0" fontId="31" fillId="0" borderId="27" applyAlignment="1" pivotButton="0" quotePrefix="0" xfId="3">
      <alignment horizontal="left" vertical="top" wrapText="1"/>
    </xf>
    <xf numFmtId="0" fontId="7" fillId="0" borderId="27" applyAlignment="1" pivotButton="0" quotePrefix="0" xfId="3">
      <alignment horizontal="left" wrapText="1"/>
    </xf>
    <xf numFmtId="0" fontId="8" fillId="0" borderId="9" applyAlignment="1" pivotButton="0" quotePrefix="0" xfId="3">
      <alignment horizontal="left" vertical="top" wrapText="1"/>
    </xf>
    <xf numFmtId="0" fontId="24" fillId="0" borderId="27" applyAlignment="1" pivotButton="0" quotePrefix="0" xfId="3">
      <alignment wrapText="1"/>
    </xf>
    <xf numFmtId="0" fontId="24" fillId="0" borderId="27" applyAlignment="1" pivotButton="0" quotePrefix="0" xfId="3">
      <alignment horizontal="left" wrapText="1"/>
    </xf>
    <xf numFmtId="0" fontId="5" fillId="0" borderId="21" applyAlignment="1" pivotButton="0" quotePrefix="0" xfId="3">
      <alignment horizontal="center" vertical="center"/>
    </xf>
    <xf numFmtId="0" fontId="5" fillId="3" borderId="12" applyAlignment="1" pivotButton="0" quotePrefix="0" xfId="3">
      <alignment horizontal="center" vertical="center" wrapText="1"/>
    </xf>
    <xf numFmtId="0" fontId="5" fillId="3" borderId="22" applyAlignment="1" pivotButton="0" quotePrefix="0" xfId="3">
      <alignment horizontal="center" vertical="center" wrapText="1"/>
    </xf>
    <xf numFmtId="0" fontId="3" fillId="0" borderId="25" pivotButton="0" quotePrefix="0" xfId="3"/>
    <xf numFmtId="0" fontId="5" fillId="3" borderId="23" applyAlignment="1" pivotButton="0" quotePrefix="0" xfId="3">
      <alignment horizontal="center" vertical="center" wrapText="1"/>
    </xf>
    <xf numFmtId="0" fontId="3" fillId="0" borderId="26" pivotButton="0" quotePrefix="0" xfId="3"/>
    <xf numFmtId="0" fontId="5" fillId="3" borderId="24" applyAlignment="1" pivotButton="0" quotePrefix="0" xfId="3">
      <alignment horizontal="center" vertical="center" wrapText="1"/>
    </xf>
    <xf numFmtId="0" fontId="3" fillId="0" borderId="30" pivotButton="0" quotePrefix="0" xfId="3"/>
    <xf numFmtId="0" fontId="18" fillId="0" borderId="27" applyAlignment="1" pivotButton="0" quotePrefix="0" xfId="3">
      <alignment horizontal="left" vertical="center" wrapText="1"/>
    </xf>
    <xf numFmtId="0" fontId="15" fillId="0" borderId="27" applyAlignment="1" pivotButton="0" quotePrefix="0" xfId="3">
      <alignment horizontal="left" vertical="top" wrapText="1"/>
    </xf>
    <xf numFmtId="0" fontId="4" fillId="0" borderId="27" applyAlignment="1" pivotButton="0" quotePrefix="0" xfId="3">
      <alignment wrapText="1"/>
    </xf>
    <xf numFmtId="0" fontId="3" fillId="0" borderId="17" pivotButton="0" quotePrefix="0" xfId="3"/>
    <xf numFmtId="0" fontId="33" fillId="0" borderId="27" applyAlignment="1" pivotButton="0" quotePrefix="0" xfId="3">
      <alignment horizontal="left" vertical="top" wrapText="1"/>
    </xf>
    <xf numFmtId="0" fontId="17" fillId="0" borderId="9" applyAlignment="1" pivotButton="0" quotePrefix="0" xfId="3">
      <alignment vertical="top" wrapText="1"/>
    </xf>
    <xf numFmtId="0" fontId="17" fillId="0" borderId="14" applyAlignment="1" pivotButton="0" quotePrefix="0" xfId="3">
      <alignment vertical="center" wrapText="1"/>
    </xf>
    <xf numFmtId="0" fontId="17" fillId="0" borderId="14" applyAlignment="1" pivotButton="0" quotePrefix="0" xfId="3">
      <alignment vertical="top" wrapText="1"/>
    </xf>
    <xf numFmtId="0" fontId="4" fillId="0" borderId="15" applyAlignment="1" pivotButton="0" quotePrefix="0" xfId="3">
      <alignment horizontal="left" vertical="top" wrapText="1"/>
    </xf>
    <xf numFmtId="0" fontId="5" fillId="0" borderId="19" applyAlignment="1" pivotButton="0" quotePrefix="0" xfId="3">
      <alignment horizontal="center" vertical="center" wrapText="1"/>
    </xf>
    <xf numFmtId="0" fontId="5" fillId="0" borderId="14" applyAlignment="1" pivotButton="0" quotePrefix="0" xfId="3">
      <alignment horizontal="center" vertical="center" wrapText="1"/>
    </xf>
    <xf numFmtId="0" fontId="4" fillId="0" borderId="14" applyAlignment="1" pivotButton="0" quotePrefix="0" xfId="3">
      <alignment vertical="top"/>
    </xf>
    <xf numFmtId="0" fontId="11" fillId="0" borderId="27" applyAlignment="1" pivotButton="0" quotePrefix="0" xfId="3">
      <alignment horizontal="left" vertical="top" wrapText="1"/>
    </xf>
    <xf numFmtId="0" fontId="5" fillId="0" borderId="9" applyAlignment="1" pivotButton="0" quotePrefix="0" xfId="3">
      <alignment horizontal="left" vertical="center"/>
    </xf>
    <xf numFmtId="0" fontId="5" fillId="0" borderId="27" applyAlignment="1" pivotButton="0" quotePrefix="0" xfId="3">
      <alignment horizontal="left" vertical="center"/>
    </xf>
    <xf numFmtId="0" fontId="2" fillId="6" borderId="27" applyAlignment="1" pivotButton="0" quotePrefix="0" xfId="3">
      <alignment horizontal="center" vertical="center"/>
    </xf>
    <xf numFmtId="0" fontId="2" fillId="2" borderId="27" applyAlignment="1" pivotButton="0" quotePrefix="0" xfId="0">
      <alignment horizontal="center" vertical="center"/>
    </xf>
    <xf numFmtId="0" fontId="4" fillId="0" borderId="27" applyAlignment="1" pivotButton="0" quotePrefix="0" xfId="0">
      <alignment horizontal="left" vertical="top" wrapText="1"/>
    </xf>
    <xf numFmtId="0" fontId="4" fillId="0" borderId="27" applyAlignment="1" pivotButton="0" quotePrefix="0" xfId="0">
      <alignment horizontal="left" wrapText="1"/>
    </xf>
    <xf numFmtId="0" fontId="62" fillId="0" borderId="4" applyAlignment="1" pivotButton="0" quotePrefix="0" xfId="1">
      <alignment horizontal="center" vertical="center"/>
    </xf>
    <xf numFmtId="0" fontId="0" fillId="0" borderId="15" pivotButton="0" quotePrefix="0" xfId="0"/>
    <xf numFmtId="0" fontId="0" fillId="0" borderId="18" pivotButton="0" quotePrefix="0" xfId="0"/>
    <xf numFmtId="0" fontId="4" fillId="0" borderId="4" applyAlignment="1" pivotButton="0" quotePrefix="0" xfId="0">
      <alignment horizontal="left" vertical="top" wrapText="1"/>
    </xf>
    <xf numFmtId="0" fontId="0" fillId="0" borderId="33" pivotButton="0" quotePrefix="0" xfId="0"/>
    <xf numFmtId="0" fontId="0" fillId="0" borderId="9" pivotButton="0" quotePrefix="0" xfId="0"/>
    <xf numFmtId="0" fontId="0" fillId="0" borderId="10" pivotButton="0" quotePrefix="0" xfId="0"/>
    <xf numFmtId="0" fontId="5" fillId="0" borderId="27" applyAlignment="1" pivotButton="0" quotePrefix="0" xfId="0">
      <alignment horizontal="left" vertical="center" wrapText="1"/>
    </xf>
    <xf numFmtId="0" fontId="8" fillId="0" borderId="27" applyAlignment="1" pivotButton="0" quotePrefix="0" xfId="0">
      <alignment horizontal="left" vertical="top" wrapText="1"/>
    </xf>
    <xf numFmtId="0" fontId="5" fillId="0" borderId="4" applyAlignment="1" pivotButton="0" quotePrefix="0" xfId="3">
      <alignment horizontal="center" vertical="center"/>
    </xf>
    <xf numFmtId="0" fontId="0" fillId="0" borderId="11" pivotButton="0" quotePrefix="0" xfId="0"/>
    <xf numFmtId="0" fontId="4" fillId="3" borderId="4" applyAlignment="1" pivotButton="0" quotePrefix="0" xfId="3">
      <alignment vertical="center"/>
    </xf>
    <xf numFmtId="0" fontId="5" fillId="0" borderId="4" pivotButton="0" quotePrefix="0" xfId="3"/>
    <xf numFmtId="0" fontId="11" fillId="3" borderId="4" applyAlignment="1" pivotButton="0" quotePrefix="0" xfId="3">
      <alignment horizontal="center" vertical="center" wrapText="1"/>
    </xf>
    <xf numFmtId="0" fontId="21" fillId="3" borderId="4" applyAlignment="1" pivotButton="0" quotePrefix="0" xfId="3">
      <alignment horizontal="center" vertical="center" wrapText="1"/>
    </xf>
    <xf numFmtId="0" fontId="4" fillId="0" borderId="21" applyAlignment="1" pivotButton="0" quotePrefix="0" xfId="3">
      <alignment horizontal="left" vertical="top" wrapText="1"/>
    </xf>
    <xf numFmtId="0" fontId="0" fillId="0" borderId="21" pivotButton="0" quotePrefix="0" xfId="0"/>
    <xf numFmtId="0" fontId="25" fillId="0" borderId="21" applyAlignment="1" pivotButton="0" quotePrefix="0" xfId="3">
      <alignment horizontal="left"/>
    </xf>
    <xf numFmtId="0" fontId="24" fillId="0" borderId="21" pivotButton="0" quotePrefix="0" xfId="3"/>
    <xf numFmtId="0" fontId="7" fillId="0" borderId="21" applyAlignment="1" pivotButton="0" quotePrefix="0" xfId="3">
      <alignment horizontal="left" vertical="top" wrapText="1"/>
    </xf>
    <xf numFmtId="0" fontId="4" fillId="2" borderId="4" applyAlignment="1" pivotButton="0" quotePrefix="0" xfId="3">
      <alignment horizontal="center" vertical="top" wrapText="1"/>
    </xf>
    <xf numFmtId="0" fontId="24" fillId="0" borderId="4" applyAlignment="1" pivotButton="0" quotePrefix="0" xfId="3">
      <alignment horizontal="center" vertical="top" wrapText="1"/>
    </xf>
    <xf numFmtId="173" fontId="4" fillId="0" borderId="27" applyAlignment="1" pivotButton="0" quotePrefix="0" xfId="3">
      <alignment horizontal="center" vertical="center"/>
    </xf>
    <xf numFmtId="0" fontId="0" fillId="0" borderId="13" pivotButton="0" quotePrefix="0" xfId="0"/>
    <xf numFmtId="0" fontId="0" fillId="0" borderId="19" pivotButton="0" quotePrefix="0" xfId="0"/>
    <xf numFmtId="0" fontId="0" fillId="0" borderId="16" pivotButton="0" quotePrefix="0" xfId="0"/>
    <xf numFmtId="0" fontId="4" fillId="0" borderId="4" applyAlignment="1" pivotButton="0" quotePrefix="0" xfId="3">
      <alignment horizontal="left" vertical="top"/>
    </xf>
    <xf numFmtId="0" fontId="4" fillId="0" borderId="5" applyAlignment="1" pivotButton="0" quotePrefix="0" xfId="3">
      <alignment horizontal="left"/>
    </xf>
    <xf numFmtId="172" fontId="4" fillId="0" borderId="27" applyAlignment="1" pivotButton="0" quotePrefix="0" xfId="3">
      <alignment horizontal="center"/>
    </xf>
    <xf numFmtId="0" fontId="5" fillId="0" borderId="21" applyAlignment="1" pivotButton="0" quotePrefix="0" xfId="3">
      <alignment horizontal="left" vertical="top" wrapText="1"/>
    </xf>
    <xf numFmtId="165" fontId="4" fillId="0" borderId="27" applyAlignment="1" pivotButton="0" quotePrefix="0" xfId="3">
      <alignment horizontal="right" vertical="top"/>
    </xf>
    <xf numFmtId="165" fontId="5" fillId="3" borderId="4" applyAlignment="1" pivotButton="0" quotePrefix="0" xfId="3">
      <alignment horizontal="center" vertical="top"/>
    </xf>
    <xf numFmtId="165" fontId="4" fillId="0" borderId="4" applyAlignment="1" pivotButton="0" quotePrefix="0" xfId="3">
      <alignment horizontal="center" vertical="center"/>
    </xf>
    <xf numFmtId="165" fontId="4" fillId="0" borderId="27" applyAlignment="1" pivotButton="0" quotePrefix="0" xfId="3">
      <alignment horizontal="center" vertical="top"/>
    </xf>
    <xf numFmtId="165" fontId="4" fillId="0" borderId="9" applyAlignment="1" pivotButton="0" quotePrefix="0" xfId="3">
      <alignment horizontal="center"/>
    </xf>
    <xf numFmtId="165" fontId="4" fillId="0" borderId="27" applyAlignment="1" pivotButton="0" quotePrefix="0" xfId="3">
      <alignment horizontal="right"/>
    </xf>
    <xf numFmtId="0" fontId="0" fillId="0" borderId="36" pivotButton="0" quotePrefix="0" xfId="0"/>
    <xf numFmtId="0" fontId="4" fillId="0" borderId="21" applyAlignment="1" pivotButton="0" quotePrefix="0" xfId="3">
      <alignment horizontal="left"/>
    </xf>
    <xf numFmtId="0" fontId="7" fillId="0" borderId="21" applyAlignment="1" pivotButton="0" quotePrefix="0" xfId="3">
      <alignment wrapText="1"/>
    </xf>
    <xf numFmtId="0" fontId="0" fillId="0" borderId="38" pivotButton="0" quotePrefix="0" xfId="0"/>
    <xf numFmtId="0" fontId="0" fillId="0" borderId="39" pivotButton="0" quotePrefix="0" xfId="0"/>
    <xf numFmtId="0" fontId="25" fillId="0" borderId="16" applyAlignment="1" pivotButton="0" quotePrefix="0" xfId="3">
      <alignment vertical="center" wrapText="1"/>
    </xf>
    <xf numFmtId="0" fontId="0" fillId="0" borderId="20" pivotButton="0" quotePrefix="0" xfId="0"/>
    <xf numFmtId="0" fontId="17" fillId="0" borderId="16" applyAlignment="1" pivotButton="0" quotePrefix="0" xfId="3">
      <alignment wrapText="1"/>
    </xf>
    <xf numFmtId="0" fontId="4" fillId="3" borderId="4" pivotButton="0" quotePrefix="0" xfId="0"/>
    <xf numFmtId="0" fontId="5" fillId="0" borderId="27" applyAlignment="1" pivotButton="0" quotePrefix="0" xfId="0">
      <alignment horizontal="left" vertical="top" wrapText="1"/>
    </xf>
    <xf numFmtId="0" fontId="4" fillId="0" borderId="27" applyAlignment="1" pivotButton="0" quotePrefix="0" xfId="0">
      <alignment horizontal="left" vertical="top"/>
    </xf>
    <xf numFmtId="166" fontId="4" fillId="0" borderId="4" applyAlignment="1" pivotButton="0" quotePrefix="0" xfId="3">
      <alignment horizontal="center" vertical="center"/>
    </xf>
    <xf numFmtId="166" fontId="3" fillId="0" borderId="34" applyAlignment="1" pivotButton="0" quotePrefix="0" xfId="7">
      <alignment horizontal="center" vertical="center"/>
    </xf>
    <xf numFmtId="166" fontId="4" fillId="3" borderId="4" applyAlignment="1" pivotButton="0" quotePrefix="0" xfId="3">
      <alignment horizontal="right"/>
    </xf>
    <xf numFmtId="166" fontId="3" fillId="8" borderId="34" applyAlignment="1" pivotButton="0" quotePrefix="0" xfId="7">
      <alignment horizontal="right"/>
    </xf>
    <xf numFmtId="166" fontId="4" fillId="3" borderId="15" applyAlignment="1" pivotButton="0" quotePrefix="0" xfId="3">
      <alignment horizontal="right"/>
    </xf>
    <xf numFmtId="166" fontId="3" fillId="8" borderId="40" applyAlignment="1" pivotButton="0" quotePrefix="0" xfId="7">
      <alignment horizontal="right"/>
    </xf>
    <xf numFmtId="166" fontId="4" fillId="0" borderId="27" applyAlignment="1" pivotButton="0" quotePrefix="0" xfId="3">
      <alignment horizontal="right"/>
    </xf>
    <xf numFmtId="0" fontId="7" fillId="5" borderId="21" applyAlignment="1" pivotButton="0" quotePrefix="0" xfId="3">
      <alignment horizontal="left" vertical="top" wrapText="1"/>
    </xf>
    <xf numFmtId="166" fontId="4" fillId="2" borderId="4" applyAlignment="1" pivotButton="0" quotePrefix="0" xfId="3">
      <alignment horizontal="right"/>
    </xf>
    <xf numFmtId="167" fontId="4" fillId="0" borderId="4" applyAlignment="1" pivotButton="0" quotePrefix="0" xfId="3">
      <alignment horizontal="center" vertical="center" wrapText="1"/>
    </xf>
    <xf numFmtId="0" fontId="5" fillId="0" borderId="4" applyAlignment="1" pivotButton="0" quotePrefix="0" xfId="3">
      <alignment horizontal="left" vertical="top" wrapText="1"/>
    </xf>
    <xf numFmtId="168" fontId="4" fillId="0" borderId="4" applyAlignment="1" pivotButton="0" quotePrefix="0" xfId="3">
      <alignment horizontal="right"/>
    </xf>
    <xf numFmtId="0" fontId="5" fillId="3" borderId="44" applyAlignment="1" pivotButton="0" quotePrefix="0" xfId="3">
      <alignment horizontal="center" vertical="center" wrapText="1"/>
    </xf>
    <xf numFmtId="0" fontId="5" fillId="3" borderId="45" applyAlignment="1" pivotButton="0" quotePrefix="0" xfId="3">
      <alignment horizontal="center" vertical="center" wrapText="1"/>
    </xf>
    <xf numFmtId="0" fontId="5" fillId="3" borderId="28" applyAlignment="1" pivotButton="0" quotePrefix="0" xfId="3">
      <alignment horizontal="center" vertical="center" wrapText="1"/>
    </xf>
    <xf numFmtId="0" fontId="0" fillId="0" borderId="25" pivotButton="0" quotePrefix="0" xfId="0"/>
    <xf numFmtId="0" fontId="0" fillId="0" borderId="26" pivotButton="0" quotePrefix="0" xfId="0"/>
    <xf numFmtId="0" fontId="0" fillId="0" borderId="30" pivotButton="0" quotePrefix="0" xfId="0"/>
    <xf numFmtId="166" fontId="4" fillId="0" borderId="11" applyAlignment="1" pivotButton="0" quotePrefix="0" xfId="3">
      <alignment horizontal="center" vertical="center" wrapText="1"/>
    </xf>
    <xf numFmtId="166" fontId="4" fillId="0" borderId="17" applyAlignment="1" pivotButton="0" quotePrefix="0" xfId="3">
      <alignment horizontal="center" vertical="center"/>
    </xf>
    <xf numFmtId="166" fontId="4" fillId="0" borderId="18" applyAlignment="1" pivotButton="0" quotePrefix="0" xfId="3">
      <alignment horizontal="center" vertical="center"/>
    </xf>
    <xf numFmtId="166" fontId="4" fillId="0" borderId="9" applyAlignment="1" pivotButton="0" quotePrefix="0" xfId="3">
      <alignment horizontal="center"/>
    </xf>
    <xf numFmtId="165" fontId="4" fillId="0" borderId="27" pivotButton="0" quotePrefix="0" xfId="3"/>
    <xf numFmtId="165" fontId="4" fillId="0" borderId="27" applyAlignment="1" pivotButton="0" quotePrefix="0" xfId="3">
      <alignment horizontal="center" vertical="center"/>
    </xf>
    <xf numFmtId="0" fontId="0" fillId="0" borderId="17" pivotButton="0" quotePrefix="0" xfId="0"/>
    <xf numFmtId="0" fontId="17" fillId="0" borderId="16" applyAlignment="1" pivotButton="0" quotePrefix="0" xfId="3">
      <alignment vertical="top" wrapText="1"/>
    </xf>
    <xf numFmtId="0" fontId="17" fillId="0" borderId="4" applyAlignment="1" pivotButton="0" quotePrefix="0" xfId="3">
      <alignment vertical="top" wrapText="1"/>
    </xf>
    <xf numFmtId="0" fontId="4" fillId="0" borderId="18" applyAlignment="1" pivotButton="0" quotePrefix="0" xfId="3">
      <alignment horizontal="left" vertical="top" wrapText="1"/>
    </xf>
    <xf numFmtId="0" fontId="4" fillId="0" borderId="4" applyAlignment="1" pivotButton="0" quotePrefix="0" xfId="3">
      <alignment vertical="top"/>
    </xf>
    <xf numFmtId="0" fontId="5" fillId="0" borderId="11" applyAlignment="1" pivotButton="0" quotePrefix="0" xfId="3">
      <alignment horizontal="center" vertical="center" wrapText="1"/>
    </xf>
    <xf numFmtId="164" fontId="7" fillId="0" borderId="29" applyAlignment="1" pivotButton="0" quotePrefix="0" xfId="4">
      <alignment vertical="top" wrapText="1"/>
    </xf>
    <xf numFmtId="164" fontId="7" fillId="0" borderId="31" applyAlignment="1" pivotButton="0" quotePrefix="0" xfId="4">
      <alignment vertical="top" wrapText="1"/>
    </xf>
  </cellXfs>
  <cellStyles count="9">
    <cellStyle name="Normal" xfId="0" builtinId="0"/>
    <cellStyle name="Hyperlink" xfId="1" builtinId="8"/>
    <cellStyle name="Hyperlink_CDS2009Draft" xfId="2"/>
    <cellStyle name="Normal 2" xfId="3"/>
    <cellStyle name="Percent 2" xfId="4"/>
    <cellStyle name="Hyperlink 2" xfId="5"/>
    <cellStyle name="Hyperlink 3" xfId="6"/>
    <cellStyle name="Currency 2" xfId="7"/>
    <cellStyle name="Percent 2 2"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csharris@illinois.edu" TargetMode="External" Id="rId1" /><Relationship Type="http://schemas.openxmlformats.org/officeDocument/2006/relationships/hyperlink" Target="https://dmi.illinois.edu/" TargetMode="External" Id="rId2" /><Relationship Type="http://schemas.openxmlformats.org/officeDocument/2006/relationships/hyperlink" Target="http://www.uiuc.edu/" TargetMode="External" Id="rId3" /><Relationship Type="http://schemas.openxmlformats.org/officeDocument/2006/relationships/hyperlink" Target="http://admissions.illinois.edu/contact_us.aspx" TargetMode="External" Id="rId4" /><Relationship Type="http://schemas.openxmlformats.org/officeDocument/2006/relationships/hyperlink" Target="http://admissions.illinois.edu/apply/" TargetMode="External" Id="rId5" /><Relationship Type="http://schemas.openxmlformats.org/officeDocument/2006/relationships/hyperlink" Target="https://diversity.illinois.edu/" TargetMode="External" Id="rId6" /></Relationships>
</file>

<file path=xl/worksheets/_rels/sheet2.xml.rels><Relationships xmlns="http://schemas.openxmlformats.org/package/2006/relationships"><Relationship Type="http://schemas.openxmlformats.org/officeDocument/2006/relationships/hyperlink" Target="https://studentaid.gov/understandaid/eligibility/requirements/non-us-citizens." TargetMode="External" Id="rId1" /></Relationships>
</file>

<file path=xl/worksheets/_rels/sheet4.xml.rels><Relationships xmlns="http://schemas.openxmlformats.org/package/2006/relationships"><Relationship Type="http://schemas.openxmlformats.org/officeDocument/2006/relationships/hyperlink" Target="https://admissions.illinois.edu/policies" TargetMode="External" Id="rId1" /></Relationships>
</file>

<file path=xl/worksheets/_rels/sheet7.xml.rels><Relationships xmlns="http://schemas.openxmlformats.org/package/2006/relationships"><Relationship Type="http://schemas.openxmlformats.org/officeDocument/2006/relationships/hyperlink" Target="https://secure.osfa.illinois.edu/NPC/NPC.asp" TargetMode="External" Id="rId1" /></Relationships>
</file>

<file path=xl/worksheets/_rels/sheet11.xml.rels><Relationships xmlns="http://schemas.openxmlformats.org/package/2006/relationships"><Relationship Type="http://schemas.openxmlformats.org/officeDocument/2006/relationships/hyperlink" Target="https://surveys.nces.ed.gov/ipeds/public/glossary" TargetMode="External" Id="rId1" /></Relationships>
</file>

<file path=xl/worksheets/sheet1.xml><?xml version="1.0" encoding="utf-8"?>
<worksheet xmlns="http://schemas.openxmlformats.org/spreadsheetml/2006/main">
  <sheetPr>
    <outlinePr summaryBelow="1" summaryRight="1"/>
    <pageSetUpPr/>
  </sheetPr>
  <dimension ref="A1:Z1000"/>
  <sheetViews>
    <sheetView showGridLines="0" tabSelected="1" workbookViewId="0">
      <selection activeCell="A1" sqref="A1:D1"/>
    </sheetView>
  </sheetViews>
  <sheetFormatPr baseColWidth="8" defaultColWidth="12.7109375" defaultRowHeight="15" customHeight="1"/>
  <cols>
    <col width="4.42578125" customWidth="1" style="348" min="1" max="1"/>
    <col width="36.28515625" customWidth="1" style="348" min="2" max="2"/>
    <col width="4" customWidth="1" style="348" min="3" max="3"/>
    <col width="45.42578125" customWidth="1" style="348" min="4" max="4"/>
    <col width="3.7109375" customWidth="1" style="348" min="5" max="6"/>
    <col width="8.7109375" customWidth="1" style="348" min="7" max="26"/>
  </cols>
  <sheetData>
    <row r="1" ht="12.75" customHeight="1" s="348">
      <c r="A1" s="490" t="inlineStr">
        <is>
          <t>A.  General Information</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348">
      <c r="A2" s="447" t="n"/>
      <c r="B2" s="1" t="n"/>
      <c r="C2" s="49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348">
      <c r="A3" s="4" t="inlineStr">
        <is>
          <t>A0</t>
        </is>
      </c>
      <c r="B3" s="5" t="inlineStr">
        <is>
          <t>Respondent Information (Not for Publication)</t>
        </is>
      </c>
      <c r="C3" s="347" t="n"/>
      <c r="D3" s="347"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348">
      <c r="A4" s="4" t="n"/>
      <c r="B4" s="1" t="inlineStr">
        <is>
          <t>Name:</t>
        </is>
      </c>
      <c r="C4" s="347" t="n"/>
      <c r="D4" s="59" t="inlineStr">
        <is>
          <t>Chris Harris</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348">
      <c r="A5" s="4" t="n"/>
      <c r="B5" s="1" t="inlineStr">
        <is>
          <t>Title:</t>
        </is>
      </c>
      <c r="C5" s="347" t="n"/>
      <c r="D5" s="59" t="inlineStr">
        <is>
          <t>Director of Strategic Communication</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348">
      <c r="A6" s="4" t="n"/>
      <c r="B6" s="1" t="inlineStr">
        <is>
          <t>Office:</t>
        </is>
      </c>
      <c r="C6" s="347" t="n"/>
      <c r="D6" s="59" t="inlineStr">
        <is>
          <t>Office of Public Affairs</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348">
      <c r="A7" s="4" t="n"/>
      <c r="B7" s="1" t="inlineStr">
        <is>
          <t>Mailing Address:</t>
        </is>
      </c>
      <c r="C7" s="347" t="n"/>
      <c r="D7" s="59" t="inlineStr">
        <is>
          <t>Suite 313, 507 E. Green</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348">
      <c r="A8" s="4" t="n"/>
      <c r="B8" s="1" t="inlineStr">
        <is>
          <t>City/State/Zip/Country:</t>
        </is>
      </c>
      <c r="C8" s="347" t="n"/>
      <c r="D8" s="59" t="inlineStr">
        <is>
          <t>Champaign, IL 61820</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348">
      <c r="A9" s="4" t="n"/>
      <c r="B9" s="1" t="inlineStr">
        <is>
          <t>Phone:</t>
        </is>
      </c>
      <c r="C9" s="347" t="n"/>
      <c r="D9" s="59" t="inlineStr">
        <is>
          <t>217-333-5010</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348">
      <c r="A10" s="4" t="n"/>
      <c r="B10" s="1" t="inlineStr">
        <is>
          <t>Fax:</t>
        </is>
      </c>
      <c r="C10" s="347" t="n"/>
      <c r="D10" s="59"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348">
      <c r="A11" s="4" t="n"/>
      <c r="B11" s="1" t="inlineStr">
        <is>
          <t>E-mail Address:</t>
        </is>
      </c>
      <c r="C11" s="347" t="n"/>
      <c r="D11" s="60" t="inlineStr">
        <is>
          <t>csharris@illinois.edu</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348">
      <c r="A12" s="4" t="n"/>
      <c r="B12" s="1" t="n"/>
      <c r="C12" s="347" t="n"/>
      <c r="D12" s="6"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348">
      <c r="A13" s="4" t="n"/>
      <c r="B13" s="492" t="inlineStr">
        <is>
          <t>Are your responses to the CDS posted for reference on your institution's Web site?</t>
        </is>
      </c>
      <c r="C13" s="8" t="inlineStr">
        <is>
          <t>x</t>
        </is>
      </c>
      <c r="D13" s="347" t="inlineStr">
        <is>
          <t>Yes</t>
        </is>
      </c>
      <c r="E13" s="9" t="n"/>
      <c r="F13" s="9"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348">
      <c r="A14" s="4" t="n"/>
      <c r="C14" s="10" t="n"/>
      <c r="D14" s="347" t="inlineStr">
        <is>
          <t>No</t>
        </is>
      </c>
      <c r="E14" s="9" t="n"/>
      <c r="F14" s="9"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348">
      <c r="A15" s="4" t="n"/>
      <c r="B15" s="11" t="n"/>
      <c r="C15" s="347" t="n"/>
      <c r="D15" s="347" t="n"/>
      <c r="E15" s="9" t="n"/>
      <c r="F15" s="9"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348">
      <c r="A16" s="4" t="n"/>
      <c r="B16" s="1" t="inlineStr">
        <is>
          <t>If yes, please provide the URL of the corresponding Web page:</t>
        </is>
      </c>
      <c r="C16" s="347" t="n"/>
      <c r="D16" s="347"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348">
      <c r="A17" s="4" t="n"/>
      <c r="B17" s="493" t="inlineStr">
        <is>
          <t>https://dmi.illinois.edu/</t>
        </is>
      </c>
      <c r="C17" s="494" t="n"/>
      <c r="D17" s="495"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348">
      <c r="A18" s="4" t="n"/>
      <c r="B18" s="1" t="n"/>
      <c r="C18" s="347" t="n"/>
      <c r="D18" s="347"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53.25" customHeight="1" s="348">
      <c r="A19" s="4" t="inlineStr">
        <is>
          <t>A0A</t>
        </is>
      </c>
      <c r="B19" s="491" t="inlineStr">
        <is>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is>
      </c>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9.25" customHeight="1" s="348">
      <c r="A20" s="4" t="n"/>
      <c r="B20" s="496" t="n"/>
      <c r="C20" s="494" t="n"/>
      <c r="D20" s="495"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348">
      <c r="A21" s="447" t="n"/>
      <c r="B21" s="1" t="n"/>
      <c r="C21" s="347" t="n"/>
      <c r="D21" s="347"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348">
      <c r="A22" s="4" t="inlineStr">
        <is>
          <t>A1</t>
        </is>
      </c>
      <c r="B22" s="5" t="inlineStr">
        <is>
          <t>Address Information</t>
        </is>
      </c>
      <c r="C22" s="12" t="n"/>
      <c r="D22" s="13"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348">
      <c r="A23" s="4" t="n"/>
      <c r="B23" s="1" t="inlineStr">
        <is>
          <t>Name of College/University:</t>
        </is>
      </c>
      <c r="C23" s="14" t="n"/>
      <c r="D23" s="359" t="inlineStr">
        <is>
          <t>University of Illinois at Urbana-Champaign</t>
        </is>
      </c>
      <c r="E23" s="497"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348">
      <c r="A24" s="4" t="n"/>
      <c r="B24" s="1" t="inlineStr">
        <is>
          <t>Mailing Address:</t>
        </is>
      </c>
      <c r="C24" s="14" t="n"/>
      <c r="D24" s="359" t="inlineStr">
        <is>
          <t>601 East John St.</t>
        </is>
      </c>
      <c r="E24" s="497"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348">
      <c r="A25" s="4" t="n"/>
      <c r="B25" s="349" t="inlineStr">
        <is>
          <t>City/State/Zip/Country:</t>
        </is>
      </c>
      <c r="C25" s="14" t="n"/>
      <c r="D25" s="359" t="inlineStr">
        <is>
          <t>Champaign/Illinois/61820-5711/US</t>
        </is>
      </c>
      <c r="E25" s="497"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348">
      <c r="A26" s="4" t="n"/>
      <c r="B26" s="15" t="inlineStr">
        <is>
          <t>Street Address (if different):</t>
        </is>
      </c>
      <c r="C26" s="14" t="n"/>
      <c r="D26" s="359" t="n"/>
      <c r="E26" s="497"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348">
      <c r="A27" s="4" t="n"/>
      <c r="B27" s="15" t="inlineStr">
        <is>
          <t>City/State/Zip/Country:</t>
        </is>
      </c>
      <c r="C27" s="14" t="n"/>
      <c r="D27" s="359" t="n"/>
      <c r="E27" s="497"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348">
      <c r="A28" s="4" t="n"/>
      <c r="B28" s="1" t="inlineStr">
        <is>
          <t>Main Phone Number:</t>
        </is>
      </c>
      <c r="C28" s="14" t="n"/>
      <c r="D28" s="359" t="inlineStr">
        <is>
          <t>217 333-1000</t>
        </is>
      </c>
      <c r="E28" s="497"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348">
      <c r="A29" s="4" t="n"/>
      <c r="B29" s="1" t="inlineStr">
        <is>
          <t>WWW Home Page Address:</t>
        </is>
      </c>
      <c r="C29" s="14" t="n"/>
      <c r="D29" s="362" t="inlineStr">
        <is>
          <t>illinois.edu</t>
        </is>
      </c>
      <c r="E29" s="497"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348">
      <c r="A30" s="4" t="n"/>
      <c r="B30" s="1" t="inlineStr">
        <is>
          <t>Admissions Phone Number:</t>
        </is>
      </c>
      <c r="C30" s="14" t="n"/>
      <c r="D30" s="359" t="inlineStr">
        <is>
          <t>217 333-0302</t>
        </is>
      </c>
      <c r="E30" s="497"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348">
      <c r="A31" s="4" t="n"/>
      <c r="B31" s="1" t="inlineStr">
        <is>
          <t>Admissions Toll-Free Phone Number:</t>
        </is>
      </c>
      <c r="C31" s="14" t="n"/>
      <c r="D31" s="359" t="n"/>
      <c r="E31" s="497"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348">
      <c r="A32" s="4" t="n"/>
      <c r="B32" s="1" t="inlineStr">
        <is>
          <t>Admissions Office Mailing Address:</t>
        </is>
      </c>
      <c r="C32" s="14" t="n"/>
      <c r="D32" s="359" t="inlineStr">
        <is>
          <t>901 West Illinois St.</t>
        </is>
      </c>
      <c r="E32" s="497"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348">
      <c r="A33" s="4" t="n"/>
      <c r="B33" s="1" t="inlineStr">
        <is>
          <t>City/State/Zip/Country:</t>
        </is>
      </c>
      <c r="C33" s="14" t="n"/>
      <c r="D33" s="359" t="inlineStr">
        <is>
          <t>Urbana/Illinois/61801-3028/US</t>
        </is>
      </c>
      <c r="E33" s="497"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348">
      <c r="A34" s="4" t="n"/>
      <c r="B34" s="1" t="inlineStr">
        <is>
          <t>Admissions Fax Number:</t>
        </is>
      </c>
      <c r="C34" s="14" t="n"/>
      <c r="D34" s="359" t="inlineStr">
        <is>
          <t>217-244-4614</t>
        </is>
      </c>
      <c r="E34" s="497"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348">
      <c r="A35" s="4" t="n"/>
      <c r="B35" s="1" t="inlineStr">
        <is>
          <t>Admissions E-mail Address:</t>
        </is>
      </c>
      <c r="C35" s="14" t="n"/>
      <c r="D35" s="362" t="inlineStr">
        <is>
          <t>http://admissions.illinois.edu/contact_us.aspx</t>
        </is>
      </c>
      <c r="E35" s="497"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348">
      <c r="A36" s="4" t="n"/>
      <c r="B36" s="491" t="inlineStr">
        <is>
          <t>If there is a separate URL for your school’s online application, please specify:</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348">
      <c r="A37" s="4" t="n"/>
      <c r="B37" s="343" t="inlineStr">
        <is>
          <t>http://admissions.illinois.edu/apply/</t>
        </is>
      </c>
      <c r="C37" s="498" t="n"/>
      <c r="D37" s="498"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348">
      <c r="A38" s="4" t="n"/>
      <c r="B38" s="354" t="inlineStr">
        <is>
          <t>If you have a mailing address other than the above to which applications should be sent, please provide:</t>
        </is>
      </c>
      <c r="C38" s="499" t="n"/>
      <c r="D38" s="499"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348">
      <c r="A39" s="4" t="n"/>
      <c r="B39" s="356" t="n"/>
      <c r="C39" s="498" t="n"/>
      <c r="D39" s="498"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348">
      <c r="A40" s="447"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348">
      <c r="A41" s="4" t="inlineStr">
        <is>
          <t>A2</t>
        </is>
      </c>
      <c r="B41" s="500" t="inlineStr">
        <is>
          <t>Source of institutional control (Check only one):</t>
        </is>
      </c>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348">
      <c r="A42" s="4" t="n"/>
      <c r="B42" s="3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348">
      <c r="A43" s="17" t="inlineStr">
        <is>
          <t>x</t>
        </is>
      </c>
      <c r="B43" s="18" t="inlineStr">
        <is>
          <t>Public</t>
        </is>
      </c>
      <c r="C43" s="19"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348">
      <c r="A44" s="17" t="n"/>
      <c r="B44" s="18" t="inlineStr">
        <is>
          <t>Private (nonprofit)</t>
        </is>
      </c>
      <c r="C44" s="19"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348">
      <c r="A45" s="17" t="n"/>
      <c r="B45" s="18" t="inlineStr">
        <is>
          <t>Proprietary</t>
        </is>
      </c>
      <c r="C45" s="19"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348">
      <c r="A46" s="4" t="n"/>
      <c r="B46" s="5"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348">
      <c r="A47" s="4" t="inlineStr">
        <is>
          <t>A3</t>
        </is>
      </c>
      <c r="B47" s="5" t="inlineStr">
        <is>
          <t>Classify your undergraduate institution:</t>
        </is>
      </c>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348">
      <c r="A48" s="4" t="n"/>
      <c r="B48" s="5"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348">
      <c r="A49" s="17" t="inlineStr">
        <is>
          <t>x</t>
        </is>
      </c>
      <c r="B49" s="18" t="inlineStr">
        <is>
          <t>Coeducational college</t>
        </is>
      </c>
      <c r="C49" s="19"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348">
      <c r="A50" s="17" t="n"/>
      <c r="B50" s="18" t="inlineStr">
        <is>
          <t>Men's college</t>
        </is>
      </c>
      <c r="C50" s="19"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348">
      <c r="A51" s="17" t="n"/>
      <c r="B51" s="18" t="inlineStr">
        <is>
          <t>Women's college</t>
        </is>
      </c>
      <c r="C51" s="19"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348">
      <c r="A52" s="4" t="n"/>
      <c r="B52" s="5"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348">
      <c r="A53" s="4" t="inlineStr">
        <is>
          <t>A4</t>
        </is>
      </c>
      <c r="B53" s="5" t="inlineStr">
        <is>
          <t>Academic year calendar:</t>
        </is>
      </c>
      <c r="C53" s="20"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348">
      <c r="A54" s="4" t="n"/>
      <c r="B54" s="5" t="n"/>
      <c r="C54" s="20"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348">
      <c r="A55" s="17" t="inlineStr">
        <is>
          <t>x</t>
        </is>
      </c>
      <c r="B55" s="18" t="inlineStr">
        <is>
          <t>Semester</t>
        </is>
      </c>
      <c r="C55" s="19" t="n"/>
      <c r="D55" s="501" t="inlineStr">
        <is>
          <t>If your academic year has changed because of the COVID-19 pandemic, please indicate as other below.</t>
        </is>
      </c>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348">
      <c r="A56" s="17" t="n"/>
      <c r="B56" s="18" t="inlineStr">
        <is>
          <t>Quarter</t>
        </is>
      </c>
      <c r="C56" s="19"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348">
      <c r="A57" s="17" t="n"/>
      <c r="B57" s="18" t="inlineStr">
        <is>
          <t>Trimester</t>
        </is>
      </c>
      <c r="C57" s="19"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348">
      <c r="A58" s="17" t="n"/>
      <c r="B58" s="21" t="inlineStr">
        <is>
          <t>4-1-4</t>
        </is>
      </c>
      <c r="C58" s="19"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348">
      <c r="A59" s="17" t="n"/>
      <c r="B59" s="18" t="inlineStr">
        <is>
          <t>Continuous</t>
        </is>
      </c>
      <c r="C59" s="19"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348">
      <c r="A60" s="17" t="n"/>
      <c r="B60" s="18" t="inlineStr">
        <is>
          <t>Differs by program (describe):</t>
        </is>
      </c>
      <c r="C60" s="22" t="n"/>
      <c r="D60" s="22"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348">
      <c r="A61" s="4" t="n"/>
      <c r="B61" s="340" t="n"/>
      <c r="C61" s="498" t="n"/>
      <c r="D61" s="498"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348">
      <c r="A62" s="4" t="n"/>
      <c r="B62" s="1" t="n"/>
      <c r="C62" s="22" t="n"/>
      <c r="D62" s="22"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348">
      <c r="A63" s="17" t="n"/>
      <c r="B63" s="18" t="inlineStr">
        <is>
          <t>Other (describe):</t>
        </is>
      </c>
      <c r="C63" s="22" t="n"/>
      <c r="D63" s="22"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348">
      <c r="A64" s="4" t="n"/>
      <c r="B64" s="342" t="n"/>
      <c r="C64" s="498" t="n"/>
      <c r="D64" s="498"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348">
      <c r="A65" s="4" t="inlineStr">
        <is>
          <t>A5</t>
        </is>
      </c>
      <c r="B65" s="5" t="inlineStr">
        <is>
          <t>Degrees offered by your institution:</t>
        </is>
      </c>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348">
      <c r="A66" s="4" t="n"/>
      <c r="B66" s="5"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348">
      <c r="A67" s="17" t="inlineStr">
        <is>
          <t>x</t>
        </is>
      </c>
      <c r="B67" s="18" t="inlineStr">
        <is>
          <t>Certificate</t>
        </is>
      </c>
      <c r="C67" s="19"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348">
      <c r="A68" s="17" t="n"/>
      <c r="B68" s="18" t="inlineStr">
        <is>
          <t>Diploma</t>
        </is>
      </c>
      <c r="C68" s="19"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348">
      <c r="A69" s="17" t="n"/>
      <c r="B69" s="18" t="inlineStr">
        <is>
          <t>Associate</t>
        </is>
      </c>
      <c r="C69" s="19"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348">
      <c r="A70" s="17" t="n"/>
      <c r="B70" s="18" t="inlineStr">
        <is>
          <t>Transfer Associate</t>
        </is>
      </c>
      <c r="C70" s="19"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348">
      <c r="A71" s="17" t="n"/>
      <c r="B71" s="18" t="inlineStr">
        <is>
          <t>Terminal Associate</t>
        </is>
      </c>
      <c r="C71" s="19"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348">
      <c r="A72" s="17" t="inlineStr">
        <is>
          <t>x</t>
        </is>
      </c>
      <c r="B72" s="18" t="inlineStr">
        <is>
          <t>Bachelor's</t>
        </is>
      </c>
      <c r="C72" s="19"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348">
      <c r="A73" s="17" t="inlineStr">
        <is>
          <t>x</t>
        </is>
      </c>
      <c r="B73" s="18" t="inlineStr">
        <is>
          <t>Postbachelor's certificate</t>
        </is>
      </c>
      <c r="C73" s="19"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348">
      <c r="A74" s="17" t="inlineStr">
        <is>
          <t>x</t>
        </is>
      </c>
      <c r="B74" s="18" t="inlineStr">
        <is>
          <t>Master's</t>
        </is>
      </c>
      <c r="C74" s="19"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348">
      <c r="A75" s="17" t="inlineStr">
        <is>
          <t>x</t>
        </is>
      </c>
      <c r="B75" s="18" t="inlineStr">
        <is>
          <t>Post-master's certificate</t>
        </is>
      </c>
      <c r="C75" s="19"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348">
      <c r="A76" s="17" t="inlineStr">
        <is>
          <t>x</t>
        </is>
      </c>
      <c r="B76" s="349" t="inlineStr">
        <is>
          <t>Doctoral degree research/scholarship</t>
        </is>
      </c>
      <c r="C76" s="19"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348">
      <c r="A77" s="17" t="inlineStr">
        <is>
          <t>x</t>
        </is>
      </c>
      <c r="B77" s="349" t="inlineStr">
        <is>
          <t>Doctoral degree – professional practice</t>
        </is>
      </c>
      <c r="C77" s="19"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348">
      <c r="A78" s="17" t="n"/>
      <c r="B78" s="18" t="inlineStr">
        <is>
          <t>Doctoral degree -- other</t>
        </is>
      </c>
      <c r="C78" s="19"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348">
      <c r="A79" s="23" t="inlineStr">
        <is>
          <t>A5</t>
        </is>
      </c>
      <c r="B79" s="24" t="inlineStr">
        <is>
          <t>Doctoral degree -- other</t>
        </is>
      </c>
      <c r="C79" s="25"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348">
      <c r="A80" s="4" t="inlineStr">
        <is>
          <t>A6</t>
        </is>
      </c>
      <c r="B80" s="5" t="inlineStr">
        <is>
          <t>Diversity, Equity, and Inclusion</t>
        </is>
      </c>
      <c r="C80" s="24"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348">
      <c r="A81" s="26" t="n"/>
      <c r="B81" s="24" t="n"/>
      <c r="C81" s="24"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348">
      <c r="A82" s="447" t="n"/>
      <c r="B82" s="27" t="inlineStr">
        <is>
          <t>If you have a diversity, equity, and inclusion office or department, please provide the URL of the corresponding Web page:</t>
        </is>
      </c>
      <c r="C82" s="27" t="n"/>
      <c r="D82" s="27"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348">
      <c r="A83" s="447" t="n"/>
      <c r="B83" s="343" t="inlineStr">
        <is>
          <t>https://diversity.illinois.edu/</t>
        </is>
      </c>
      <c r="C83" s="498" t="n"/>
      <c r="D83" s="498"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348">
      <c r="A84" s="447"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348">
      <c r="A85" s="447"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348">
      <c r="A86" s="447"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348">
      <c r="A87" s="447"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348">
      <c r="A88" s="447"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348">
      <c r="A89" s="447"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348">
      <c r="A90" s="447"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348">
      <c r="A91" s="447"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348">
      <c r="A92" s="447"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348">
      <c r="A93" s="447"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348">
      <c r="A94" s="447"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348">
      <c r="A95" s="447"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348">
      <c r="A96" s="447"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348">
      <c r="A97" s="447"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348">
      <c r="A98" s="447"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348">
      <c r="A99" s="447"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348">
      <c r="A100" s="447"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348">
      <c r="A101" s="447"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348">
      <c r="A102" s="447"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348">
      <c r="A103" s="447"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348">
      <c r="A104" s="447"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348">
      <c r="A105" s="447"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348">
      <c r="A106" s="447"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348">
      <c r="A107" s="447"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348">
      <c r="A108" s="447"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348">
      <c r="A109" s="447"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348">
      <c r="A110" s="447"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348">
      <c r="A111" s="447"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348">
      <c r="A112" s="447"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348">
      <c r="A113" s="447"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348">
      <c r="A114" s="447"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348">
      <c r="A115" s="447"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348">
      <c r="A116" s="447"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348">
      <c r="A117" s="447"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348">
      <c r="A118" s="447"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348">
      <c r="A119" s="447"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348">
      <c r="A120" s="447"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348">
      <c r="A121" s="447"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348">
      <c r="A122" s="447"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348">
      <c r="A123" s="447"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348">
      <c r="A124" s="447"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348">
      <c r="A125" s="447"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348">
      <c r="A126" s="447"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348">
      <c r="A127" s="447"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348">
      <c r="A128" s="447"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348">
      <c r="A129" s="447"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348">
      <c r="A130" s="447"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348">
      <c r="A131" s="447"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348">
      <c r="A132" s="447"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348">
      <c r="A133" s="447"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348">
      <c r="A134" s="447"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348">
      <c r="A135" s="447"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348">
      <c r="A136" s="447"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348">
      <c r="A137" s="447"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348">
      <c r="A138" s="447"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348">
      <c r="A139" s="447"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348">
      <c r="A140" s="447"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348">
      <c r="A141" s="447"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348">
      <c r="A142" s="447"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348">
      <c r="A143" s="447"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348">
      <c r="A144" s="447"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348">
      <c r="A145" s="447"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348">
      <c r="A146" s="447"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348">
      <c r="A147" s="447"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348">
      <c r="A148" s="447"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348">
      <c r="A149" s="447"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348">
      <c r="A150" s="447"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348">
      <c r="A151" s="447"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348">
      <c r="A152" s="447"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348">
      <c r="A153" s="447"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348">
      <c r="A154" s="447"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348">
      <c r="A155" s="447"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348">
      <c r="A156" s="447"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348">
      <c r="A157" s="447"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348">
      <c r="A158" s="447"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348">
      <c r="A159" s="447"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348">
      <c r="A160" s="447"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348">
      <c r="A161" s="447"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348">
      <c r="A162" s="447"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348">
      <c r="A163" s="447"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348">
      <c r="A164" s="447"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348">
      <c r="A165" s="447"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348">
      <c r="A166" s="447"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348">
      <c r="A167" s="447"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348">
      <c r="A168" s="447"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348">
      <c r="A169" s="447"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348">
      <c r="A170" s="447"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348">
      <c r="A171" s="447"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348">
      <c r="A172" s="447"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348">
      <c r="A173" s="447"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348">
      <c r="A174" s="447"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348">
      <c r="A175" s="447"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348">
      <c r="A176" s="447"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348">
      <c r="A177" s="447"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348">
      <c r="A178" s="447"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348">
      <c r="A179" s="447"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348">
      <c r="A180" s="447"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348">
      <c r="A181" s="447"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348">
      <c r="A182" s="447"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348">
      <c r="A183" s="447"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348">
      <c r="A184" s="447"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348">
      <c r="A185" s="447"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348">
      <c r="A186" s="447"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348">
      <c r="A187" s="447"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348">
      <c r="A188" s="447"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348">
      <c r="A189" s="447"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348">
      <c r="A190" s="447"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348">
      <c r="A191" s="447"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348">
      <c r="A192" s="447"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348">
      <c r="A193" s="447"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348">
      <c r="A194" s="447"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348">
      <c r="A195" s="447"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348">
      <c r="A196" s="447"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348">
      <c r="A197" s="447"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348">
      <c r="A198" s="447"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348">
      <c r="A199" s="447"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348">
      <c r="A200" s="447"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348">
      <c r="A201" s="447"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348">
      <c r="A202" s="447"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348">
      <c r="A203" s="447"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348">
      <c r="A204" s="447"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348">
      <c r="A205" s="447"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348">
      <c r="A206" s="447"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348">
      <c r="A207" s="447"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348">
      <c r="A208" s="447"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348">
      <c r="A209" s="447"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348">
      <c r="A210" s="447"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348">
      <c r="A211" s="447"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348">
      <c r="A212" s="447"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348">
      <c r="A213" s="447"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348">
      <c r="A214" s="447"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348">
      <c r="A215" s="447"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348">
      <c r="A216" s="447"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348">
      <c r="A217" s="447"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348">
      <c r="A218" s="447"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348">
      <c r="A219" s="447"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348">
      <c r="A220" s="447"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348">
      <c r="A221" s="447"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348">
      <c r="A222" s="447"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348">
      <c r="A223" s="447"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348">
      <c r="A224" s="447"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348">
      <c r="A225" s="447"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348">
      <c r="A226" s="447"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348">
      <c r="A227" s="447"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348">
      <c r="A228" s="447"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348">
      <c r="A229" s="447"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348">
      <c r="A230" s="447"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348">
      <c r="A231" s="447"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348">
      <c r="A232" s="447"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348">
      <c r="A233" s="447"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348">
      <c r="A234" s="447"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348">
      <c r="A235" s="447"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348">
      <c r="A236" s="447"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348">
      <c r="A237" s="447"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348">
      <c r="A238" s="447"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348">
      <c r="A239" s="447"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348">
      <c r="A240" s="447"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348">
      <c r="A241" s="447"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348">
      <c r="A242" s="447"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348">
      <c r="A243" s="447"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348">
      <c r="A244" s="447"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348">
      <c r="A245" s="447"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348">
      <c r="A246" s="447"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348">
      <c r="A247" s="447"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348">
      <c r="A248" s="447"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348">
      <c r="A249" s="447"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348">
      <c r="A250" s="447"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348">
      <c r="A251" s="447"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348">
      <c r="A252" s="447"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348">
      <c r="A253" s="447"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348">
      <c r="A254" s="447"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348">
      <c r="A255" s="447"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348">
      <c r="A256" s="447"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348">
      <c r="A257" s="447"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348">
      <c r="A258" s="447"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348">
      <c r="A259" s="447"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348">
      <c r="A260" s="447"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348">
      <c r="A261" s="447"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348">
      <c r="A262" s="447"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348">
      <c r="A263" s="447"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348">
      <c r="A264" s="447"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348">
      <c r="A265" s="447"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348">
      <c r="A266" s="447"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348">
      <c r="A267" s="447"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348">
      <c r="A268" s="447"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348">
      <c r="A269" s="447"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348">
      <c r="A270" s="447"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348">
      <c r="A271" s="447"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348">
      <c r="A272" s="447"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348">
      <c r="A273" s="447"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348">
      <c r="A274" s="447"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348">
      <c r="A275" s="447"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348">
      <c r="A276" s="447"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348">
      <c r="A277" s="447"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348">
      <c r="A278" s="447"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348">
      <c r="A279" s="447"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348">
      <c r="A280" s="447"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348">
      <c r="A281" s="447"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348">
      <c r="A282" s="447"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348">
      <c r="A283" s="447"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348">
      <c r="A284" s="447"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348">
      <c r="A285" s="447"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348">
      <c r="A286" s="447"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348">
      <c r="A287" s="447"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348">
      <c r="A288" s="447"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348">
      <c r="A289" s="447"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348">
      <c r="A290" s="447"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348">
      <c r="A291" s="447"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348">
      <c r="A292" s="447"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348">
      <c r="A293" s="447"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348">
      <c r="A294" s="447"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348">
      <c r="A295" s="447"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348">
      <c r="A296" s="447"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348">
      <c r="A297" s="447"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348">
      <c r="A298" s="447"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348">
      <c r="A299" s="447"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348">
      <c r="A300" s="447"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348">
      <c r="A301" s="447"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348">
      <c r="A302" s="447"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348">
      <c r="A303" s="447"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348">
      <c r="A304" s="447"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348">
      <c r="A305" s="447"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348">
      <c r="A306" s="447"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348">
      <c r="A307" s="447"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348">
      <c r="A308" s="447"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348">
      <c r="A309" s="447"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348">
      <c r="A310" s="447"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348">
      <c r="A311" s="447"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348">
      <c r="A312" s="447"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348">
      <c r="A313" s="447"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348">
      <c r="A314" s="447"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348">
      <c r="A315" s="447"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348">
      <c r="A316" s="447"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348">
      <c r="A317" s="447"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348">
      <c r="A318" s="447"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348">
      <c r="A319" s="447"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348">
      <c r="A320" s="447"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348">
      <c r="A321" s="447"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348">
      <c r="A322" s="447"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348">
      <c r="A323" s="447"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348">
      <c r="A324" s="447"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348">
      <c r="A325" s="447"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348">
      <c r="A326" s="447"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348">
      <c r="A327" s="447"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348">
      <c r="A328" s="447"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348">
      <c r="A329" s="447"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348">
      <c r="A330" s="447"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348">
      <c r="A331" s="447"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348">
      <c r="A332" s="447"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348">
      <c r="A333" s="447"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348">
      <c r="A334" s="447"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348">
      <c r="A335" s="447"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348">
      <c r="A336" s="447"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348">
      <c r="A337" s="447"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348">
      <c r="A338" s="447"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348">
      <c r="A339" s="447"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348">
      <c r="A340" s="447"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348">
      <c r="A341" s="447"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348">
      <c r="A342" s="447"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348">
      <c r="A343" s="447"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348">
      <c r="A344" s="447"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348">
      <c r="A345" s="447"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348">
      <c r="A346" s="447"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348">
      <c r="A347" s="447"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348">
      <c r="A348" s="447"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348">
      <c r="A349" s="447"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348">
      <c r="A350" s="447"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348">
      <c r="A351" s="447"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348">
      <c r="A352" s="447"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348">
      <c r="A353" s="447"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348">
      <c r="A354" s="447"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348">
      <c r="A355" s="447"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348">
      <c r="A356" s="447"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348">
      <c r="A357" s="447"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348">
      <c r="A358" s="447"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348">
      <c r="A359" s="447"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348">
      <c r="A360" s="447"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348">
      <c r="A361" s="447"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348">
      <c r="A362" s="447"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348">
      <c r="A363" s="447"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348">
      <c r="A364" s="447"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348">
      <c r="A365" s="447"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348">
      <c r="A366" s="447"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348">
      <c r="A367" s="447"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348">
      <c r="A368" s="447"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348">
      <c r="A369" s="447"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348">
      <c r="A370" s="447"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348">
      <c r="A371" s="447"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348">
      <c r="A372" s="447"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348">
      <c r="A373" s="447"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348">
      <c r="A374" s="447"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348">
      <c r="A375" s="447"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348">
      <c r="A376" s="447"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348">
      <c r="A377" s="447"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348">
      <c r="A378" s="447"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348">
      <c r="A379" s="447"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348">
      <c r="A380" s="447"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348">
      <c r="A381" s="447"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348">
      <c r="A382" s="447"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348">
      <c r="A383" s="447"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348">
      <c r="A384" s="447"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348">
      <c r="A385" s="447"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348">
      <c r="A386" s="447"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348">
      <c r="A387" s="447"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348">
      <c r="A388" s="447"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348">
      <c r="A389" s="447"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348">
      <c r="A390" s="447"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348">
      <c r="A391" s="447"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348">
      <c r="A392" s="447"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348">
      <c r="A393" s="447"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348">
      <c r="A394" s="447"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348">
      <c r="A395" s="447"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348">
      <c r="A396" s="447"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348">
      <c r="A397" s="447"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348">
      <c r="A398" s="447"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348">
      <c r="A399" s="447"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348">
      <c r="A400" s="447"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348">
      <c r="A401" s="447"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348">
      <c r="A402" s="447"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348">
      <c r="A403" s="447"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348">
      <c r="A404" s="447"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348">
      <c r="A405" s="447"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348">
      <c r="A406" s="447"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348">
      <c r="A407" s="447"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348">
      <c r="A408" s="447"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348">
      <c r="A409" s="447"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348">
      <c r="A410" s="447"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348">
      <c r="A411" s="447"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348">
      <c r="A412" s="447"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348">
      <c r="A413" s="447"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348">
      <c r="A414" s="447"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348">
      <c r="A415" s="447"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348">
      <c r="A416" s="447"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348">
      <c r="A417" s="447"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348">
      <c r="A418" s="447"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348">
      <c r="A419" s="447"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348">
      <c r="A420" s="447"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348">
      <c r="A421" s="447"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348">
      <c r="A422" s="447"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348">
      <c r="A423" s="447"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348">
      <c r="A424" s="447"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348">
      <c r="A425" s="447"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348">
      <c r="A426" s="447"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348">
      <c r="A427" s="447"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348">
      <c r="A428" s="447"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348">
      <c r="A429" s="447"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348">
      <c r="A430" s="447"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348">
      <c r="A431" s="447"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348">
      <c r="A432" s="447"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348">
      <c r="A433" s="447"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348">
      <c r="A434" s="447"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348">
      <c r="A435" s="447"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348">
      <c r="A436" s="447"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348">
      <c r="A437" s="447"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348">
      <c r="A438" s="447"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348">
      <c r="A439" s="447"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348">
      <c r="A440" s="447"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348">
      <c r="A441" s="447"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348">
      <c r="A442" s="447"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348">
      <c r="A443" s="447"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348">
      <c r="A444" s="447"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348">
      <c r="A445" s="447"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348">
      <c r="A446" s="447"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348">
      <c r="A447" s="447"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348">
      <c r="A448" s="447"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348">
      <c r="A449" s="447"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348">
      <c r="A450" s="447"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348">
      <c r="A451" s="447"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348">
      <c r="A452" s="447"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348">
      <c r="A453" s="447"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348">
      <c r="A454" s="447"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348">
      <c r="A455" s="447"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348">
      <c r="A456" s="447"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348">
      <c r="A457" s="447"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348">
      <c r="A458" s="447"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348">
      <c r="A459" s="447"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348">
      <c r="A460" s="447"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348">
      <c r="A461" s="447"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348">
      <c r="A462" s="447"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348">
      <c r="A463" s="447"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348">
      <c r="A464" s="447"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348">
      <c r="A465" s="447"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348">
      <c r="A466" s="447"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348">
      <c r="A467" s="447"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348">
      <c r="A468" s="447"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348">
      <c r="A469" s="447"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348">
      <c r="A470" s="447"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348">
      <c r="A471" s="447"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348">
      <c r="A472" s="447"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348">
      <c r="A473" s="447"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348">
      <c r="A474" s="447"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348">
      <c r="A475" s="447"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348">
      <c r="A476" s="447"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348">
      <c r="A477" s="447"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348">
      <c r="A478" s="447"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348">
      <c r="A479" s="447"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348">
      <c r="A480" s="447"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348">
      <c r="A481" s="447"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348">
      <c r="A482" s="447"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348">
      <c r="A483" s="447"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348">
      <c r="A484" s="447"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348">
      <c r="A485" s="447"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348">
      <c r="A486" s="447"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348">
      <c r="A487" s="447"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348">
      <c r="A488" s="447"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348">
      <c r="A489" s="447"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348">
      <c r="A490" s="447"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348">
      <c r="A491" s="447"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348">
      <c r="A492" s="447"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348">
      <c r="A493" s="447"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348">
      <c r="A494" s="447"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348">
      <c r="A495" s="447"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348">
      <c r="A496" s="447"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348">
      <c r="A497" s="447"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348">
      <c r="A498" s="447"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348">
      <c r="A499" s="447"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348">
      <c r="A500" s="447"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348">
      <c r="A501" s="447"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348">
      <c r="A502" s="447"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348">
      <c r="A503" s="447"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348">
      <c r="A504" s="447"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348">
      <c r="A505" s="447"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348">
      <c r="A506" s="447"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348">
      <c r="A507" s="447"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348">
      <c r="A508" s="447"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348">
      <c r="A509" s="447"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348">
      <c r="A510" s="447"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348">
      <c r="A511" s="447"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348">
      <c r="A512" s="447"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348">
      <c r="A513" s="447"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348">
      <c r="A514" s="447"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348">
      <c r="A515" s="447"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348">
      <c r="A516" s="447"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348">
      <c r="A517" s="447"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348">
      <c r="A518" s="447"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348">
      <c r="A519" s="447"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348">
      <c r="A520" s="447"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348">
      <c r="A521" s="447"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348">
      <c r="A522" s="447"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348">
      <c r="A523" s="447"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348">
      <c r="A524" s="447"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348">
      <c r="A525" s="447"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348">
      <c r="A526" s="447"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348">
      <c r="A527" s="447"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348">
      <c r="A528" s="447"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348">
      <c r="A529" s="447"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348">
      <c r="A530" s="447"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348">
      <c r="A531" s="447"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348">
      <c r="A532" s="447"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348">
      <c r="A533" s="447"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348">
      <c r="A534" s="447"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348">
      <c r="A535" s="447"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348">
      <c r="A536" s="447"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348">
      <c r="A537" s="447"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348">
      <c r="A538" s="447"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348">
      <c r="A539" s="447"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348">
      <c r="A540" s="447"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348">
      <c r="A541" s="447"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348">
      <c r="A542" s="447"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348">
      <c r="A543" s="447"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348">
      <c r="A544" s="447"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348">
      <c r="A545" s="447"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348">
      <c r="A546" s="447"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348">
      <c r="A547" s="447"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348">
      <c r="A548" s="447"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348">
      <c r="A549" s="447"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348">
      <c r="A550" s="447"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348">
      <c r="A551" s="447"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348">
      <c r="A552" s="447"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348">
      <c r="A553" s="447"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348">
      <c r="A554" s="447"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348">
      <c r="A555" s="447"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348">
      <c r="A556" s="447"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348">
      <c r="A557" s="447"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348">
      <c r="A558" s="447"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348">
      <c r="A559" s="447"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348">
      <c r="A560" s="447"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348">
      <c r="A561" s="447"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348">
      <c r="A562" s="447"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348">
      <c r="A563" s="447"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348">
      <c r="A564" s="447"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348">
      <c r="A565" s="447"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348">
      <c r="A566" s="447"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348">
      <c r="A567" s="447"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348">
      <c r="A568" s="447"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348">
      <c r="A569" s="447"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348">
      <c r="A570" s="447"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348">
      <c r="A571" s="447"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348">
      <c r="A572" s="447"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348">
      <c r="A573" s="447"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348">
      <c r="A574" s="447"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348">
      <c r="A575" s="447"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348">
      <c r="A576" s="447"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348">
      <c r="A577" s="447"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348">
      <c r="A578" s="447"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348">
      <c r="A579" s="447"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348">
      <c r="A580" s="447"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348">
      <c r="A581" s="447"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348">
      <c r="A582" s="447"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348">
      <c r="A583" s="447"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348">
      <c r="A584" s="447"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348">
      <c r="A585" s="447"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348">
      <c r="A586" s="447"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348">
      <c r="A587" s="447"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348">
      <c r="A588" s="447"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348">
      <c r="A589" s="447"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348">
      <c r="A590" s="447"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348">
      <c r="A591" s="447"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348">
      <c r="A592" s="447"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348">
      <c r="A593" s="447"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348">
      <c r="A594" s="447"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348">
      <c r="A595" s="447"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348">
      <c r="A596" s="447"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348">
      <c r="A597" s="447"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348">
      <c r="A598" s="447"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348">
      <c r="A599" s="447"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348">
      <c r="A600" s="447"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348">
      <c r="A601" s="447"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348">
      <c r="A602" s="447"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348">
      <c r="A603" s="447"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348">
      <c r="A604" s="447"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348">
      <c r="A605" s="447"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348">
      <c r="A606" s="447"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348">
      <c r="A607" s="447"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348">
      <c r="A608" s="447"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348">
      <c r="A609" s="447"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348">
      <c r="A610" s="447"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348">
      <c r="A611" s="447"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348">
      <c r="A612" s="447"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348">
      <c r="A613" s="447"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348">
      <c r="A614" s="447"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348">
      <c r="A615" s="447"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348">
      <c r="A616" s="447"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348">
      <c r="A617" s="447"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348">
      <c r="A618" s="447"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348">
      <c r="A619" s="447"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348">
      <c r="A620" s="447"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348">
      <c r="A621" s="447"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348">
      <c r="A622" s="447"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348">
      <c r="A623" s="447"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348">
      <c r="A624" s="447"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348">
      <c r="A625" s="447"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348">
      <c r="A626" s="447"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348">
      <c r="A627" s="447"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348">
      <c r="A628" s="447"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348">
      <c r="A629" s="447"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348">
      <c r="A630" s="447"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348">
      <c r="A631" s="447"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348">
      <c r="A632" s="447"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348">
      <c r="A633" s="447"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348">
      <c r="A634" s="447"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348">
      <c r="A635" s="447"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348">
      <c r="A636" s="447"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348">
      <c r="A637" s="447"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348">
      <c r="A638" s="447"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348">
      <c r="A639" s="447"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348">
      <c r="A640" s="447"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348">
      <c r="A641" s="447"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348">
      <c r="A642" s="447"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348">
      <c r="A643" s="447"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348">
      <c r="A644" s="447"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348">
      <c r="A645" s="447"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348">
      <c r="A646" s="447"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348">
      <c r="A647" s="447"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348">
      <c r="A648" s="447"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348">
      <c r="A649" s="447"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348">
      <c r="A650" s="447"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348">
      <c r="A651" s="447"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348">
      <c r="A652" s="447"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348">
      <c r="A653" s="447"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348">
      <c r="A654" s="447"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348">
      <c r="A655" s="447"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348">
      <c r="A656" s="447"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348">
      <c r="A657" s="447"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348">
      <c r="A658" s="447"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348">
      <c r="A659" s="447"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348">
      <c r="A660" s="447"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348">
      <c r="A661" s="447"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348">
      <c r="A662" s="447"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348">
      <c r="A663" s="447"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348">
      <c r="A664" s="447"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348">
      <c r="A665" s="447"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348">
      <c r="A666" s="447"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348">
      <c r="A667" s="447"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348">
      <c r="A668" s="447"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348">
      <c r="A669" s="447"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348">
      <c r="A670" s="447"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348">
      <c r="A671" s="447"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348">
      <c r="A672" s="447"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348">
      <c r="A673" s="447"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348">
      <c r="A674" s="447"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348">
      <c r="A675" s="447"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348">
      <c r="A676" s="447"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348">
      <c r="A677" s="447"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348">
      <c r="A678" s="447"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348">
      <c r="A679" s="447"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348">
      <c r="A680" s="447"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348">
      <c r="A681" s="447"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348">
      <c r="A682" s="447"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348">
      <c r="A683" s="447"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348">
      <c r="A684" s="447"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348">
      <c r="A685" s="447"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348">
      <c r="A686" s="447"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348">
      <c r="A687" s="447"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348">
      <c r="A688" s="447"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348">
      <c r="A689" s="447"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348">
      <c r="A690" s="447"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348">
      <c r="A691" s="447"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348">
      <c r="A692" s="447"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348">
      <c r="A693" s="447"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348">
      <c r="A694" s="447"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348">
      <c r="A695" s="447"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348">
      <c r="A696" s="447"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348">
      <c r="A697" s="447"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348">
      <c r="A698" s="447"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348">
      <c r="A699" s="447"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348">
      <c r="A700" s="447"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348">
      <c r="A701" s="447"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348">
      <c r="A702" s="447"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348">
      <c r="A703" s="447"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348">
      <c r="A704" s="447"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348">
      <c r="A705" s="447"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348">
      <c r="A706" s="447"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348">
      <c r="A707" s="447"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348">
      <c r="A708" s="447"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348">
      <c r="A709" s="447"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348">
      <c r="A710" s="447"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348">
      <c r="A711" s="447"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348">
      <c r="A712" s="447"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348">
      <c r="A713" s="447"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348">
      <c r="A714" s="447"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348">
      <c r="A715" s="447"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348">
      <c r="A716" s="447"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348">
      <c r="A717" s="447"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348">
      <c r="A718" s="447"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348">
      <c r="A719" s="447"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348">
      <c r="A720" s="447"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348">
      <c r="A721" s="447"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348">
      <c r="A722" s="447"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348">
      <c r="A723" s="447"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348">
      <c r="A724" s="447"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348">
      <c r="A725" s="447"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348">
      <c r="A726" s="447"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348">
      <c r="A727" s="447"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348">
      <c r="A728" s="447"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348">
      <c r="A729" s="447"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348">
      <c r="A730" s="447"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348">
      <c r="A731" s="447"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348">
      <c r="A732" s="447"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348">
      <c r="A733" s="447"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348">
      <c r="A734" s="447"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348">
      <c r="A735" s="447"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348">
      <c r="A736" s="447"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348">
      <c r="A737" s="447"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348">
      <c r="A738" s="447"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348">
      <c r="A739" s="447"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348">
      <c r="A740" s="447"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348">
      <c r="A741" s="447"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348">
      <c r="A742" s="447"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348">
      <c r="A743" s="447"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348">
      <c r="A744" s="447"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348">
      <c r="A745" s="447"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348">
      <c r="A746" s="447"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348">
      <c r="A747" s="447"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348">
      <c r="A748" s="447"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348">
      <c r="A749" s="447"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348">
      <c r="A750" s="447"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348">
      <c r="A751" s="447"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348">
      <c r="A752" s="447"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348">
      <c r="A753" s="447"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348">
      <c r="A754" s="447"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348">
      <c r="A755" s="447"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348">
      <c r="A756" s="447"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348">
      <c r="A757" s="447"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348">
      <c r="A758" s="447"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348">
      <c r="A759" s="447"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348">
      <c r="A760" s="447"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348">
      <c r="A761" s="447"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348">
      <c r="A762" s="447"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348">
      <c r="A763" s="447"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348">
      <c r="A764" s="447"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348">
      <c r="A765" s="447"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348">
      <c r="A766" s="447"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348">
      <c r="A767" s="447"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348">
      <c r="A768" s="447"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348">
      <c r="A769" s="447"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348">
      <c r="A770" s="447"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348">
      <c r="A771" s="447"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348">
      <c r="A772" s="447"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348">
      <c r="A773" s="447"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348">
      <c r="A774" s="447"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348">
      <c r="A775" s="447"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348">
      <c r="A776" s="447"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348">
      <c r="A777" s="447"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348">
      <c r="A778" s="447"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348">
      <c r="A779" s="447"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348">
      <c r="A780" s="447"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348">
      <c r="A781" s="447"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348">
      <c r="A782" s="447"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348">
      <c r="A783" s="447"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348">
      <c r="A784" s="447"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348">
      <c r="A785" s="447"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348">
      <c r="A786" s="447"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348">
      <c r="A787" s="447"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348">
      <c r="A788" s="447"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348">
      <c r="A789" s="447"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348">
      <c r="A790" s="447"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348">
      <c r="A791" s="447"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348">
      <c r="A792" s="447"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348">
      <c r="A793" s="447"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348">
      <c r="A794" s="447"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348">
      <c r="A795" s="447"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348">
      <c r="A796" s="447"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348">
      <c r="A797" s="447"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348">
      <c r="A798" s="447"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348">
      <c r="A799" s="447"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348">
      <c r="A800" s="447"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348">
      <c r="A801" s="447"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348">
      <c r="A802" s="447"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348">
      <c r="A803" s="447"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348">
      <c r="A804" s="447"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348">
      <c r="A805" s="447"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348">
      <c r="A806" s="447"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348">
      <c r="A807" s="447"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348">
      <c r="A808" s="447"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348">
      <c r="A809" s="447"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348">
      <c r="A810" s="447"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348">
      <c r="A811" s="447"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348">
      <c r="A812" s="447"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348">
      <c r="A813" s="447"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348">
      <c r="A814" s="447"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348">
      <c r="A815" s="447"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348">
      <c r="A816" s="447"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348">
      <c r="A817" s="447"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348">
      <c r="A818" s="447"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348">
      <c r="A819" s="447"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348">
      <c r="A820" s="447"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348">
      <c r="A821" s="447"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348">
      <c r="A822" s="447"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348">
      <c r="A823" s="447"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348">
      <c r="A824" s="447"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348">
      <c r="A825" s="447"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348">
      <c r="A826" s="447"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348">
      <c r="A827" s="447"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348">
      <c r="A828" s="447"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348">
      <c r="A829" s="447"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348">
      <c r="A830" s="447"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348">
      <c r="A831" s="447"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348">
      <c r="A832" s="447"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348">
      <c r="A833" s="447"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348">
      <c r="A834" s="447"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348">
      <c r="A835" s="447"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348">
      <c r="A836" s="447"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348">
      <c r="A837" s="447"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348">
      <c r="A838" s="447"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348">
      <c r="A839" s="447"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348">
      <c r="A840" s="447"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348">
      <c r="A841" s="447"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348">
      <c r="A842" s="447"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348">
      <c r="A843" s="447"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348">
      <c r="A844" s="447"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348">
      <c r="A845" s="447"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348">
      <c r="A846" s="447"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348">
      <c r="A847" s="447"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348">
      <c r="A848" s="447"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348">
      <c r="A849" s="447"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348">
      <c r="A850" s="447"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348">
      <c r="A851" s="447"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348">
      <c r="A852" s="447"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348">
      <c r="A853" s="447"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348">
      <c r="A854" s="447"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348">
      <c r="A855" s="447"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348">
      <c r="A856" s="447"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348">
      <c r="A857" s="447"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348">
      <c r="A858" s="447"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348">
      <c r="A859" s="447"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348">
      <c r="A860" s="447"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348">
      <c r="A861" s="447"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348">
      <c r="A862" s="447"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348">
      <c r="A863" s="447"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348">
      <c r="A864" s="447"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348">
      <c r="A865" s="447"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348">
      <c r="A866" s="447"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348">
      <c r="A867" s="447"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348">
      <c r="A868" s="447"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348">
      <c r="A869" s="447"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348">
      <c r="A870" s="447"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348">
      <c r="A871" s="447"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348">
      <c r="A872" s="447"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348">
      <c r="A873" s="447"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348">
      <c r="A874" s="447"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348">
      <c r="A875" s="447"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348">
      <c r="A876" s="447"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348">
      <c r="A877" s="447"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348">
      <c r="A878" s="447"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348">
      <c r="A879" s="447"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348">
      <c r="A880" s="447"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348">
      <c r="A881" s="447"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348">
      <c r="A882" s="447"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348">
      <c r="A883" s="447"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348">
      <c r="A884" s="447"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348">
      <c r="A885" s="447"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348">
      <c r="A886" s="447"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348">
      <c r="A887" s="447"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348">
      <c r="A888" s="447"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348">
      <c r="A889" s="447"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348">
      <c r="A890" s="447"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348">
      <c r="A891" s="447"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348">
      <c r="A892" s="447"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348">
      <c r="A893" s="447"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348">
      <c r="A894" s="447"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348">
      <c r="A895" s="447"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348">
      <c r="A896" s="447"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348">
      <c r="A897" s="447"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348">
      <c r="A898" s="447"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348">
      <c r="A899" s="447"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348">
      <c r="A900" s="447"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348">
      <c r="A901" s="447"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348">
      <c r="A902" s="447"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348">
      <c r="A903" s="447"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348">
      <c r="A904" s="447"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348">
      <c r="A905" s="447"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348">
      <c r="A906" s="447"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348">
      <c r="A907" s="447"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348">
      <c r="A908" s="447"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348">
      <c r="A909" s="447"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348">
      <c r="A910" s="447"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348">
      <c r="A911" s="447"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348">
      <c r="A912" s="447"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348">
      <c r="A913" s="447"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348">
      <c r="A914" s="447"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348">
      <c r="A915" s="447"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348">
      <c r="A916" s="447"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348">
      <c r="A917" s="447"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348">
      <c r="A918" s="447"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348">
      <c r="A919" s="447"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348">
      <c r="A920" s="447"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348">
      <c r="A921" s="447"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348">
      <c r="A922" s="447"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348">
      <c r="A923" s="447"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348">
      <c r="A924" s="447"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348">
      <c r="A925" s="447"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348">
      <c r="A926" s="447"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348">
      <c r="A927" s="447"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348">
      <c r="A928" s="447"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348">
      <c r="A929" s="447"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348">
      <c r="A930" s="447"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348">
      <c r="A931" s="447"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348">
      <c r="A932" s="447"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348">
      <c r="A933" s="447"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348">
      <c r="A934" s="447"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348">
      <c r="A935" s="447"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348">
      <c r="A936" s="447"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348">
      <c r="A937" s="447"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348">
      <c r="A938" s="447"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348">
      <c r="A939" s="447"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348">
      <c r="A940" s="447"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348">
      <c r="A941" s="447"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348">
      <c r="A942" s="447"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348">
      <c r="A943" s="447"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348">
      <c r="A944" s="447"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348">
      <c r="A945" s="447"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348">
      <c r="A946" s="447"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348">
      <c r="A947" s="447"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348">
      <c r="A948" s="447"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348">
      <c r="A949" s="447"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348">
      <c r="A950" s="447"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348">
      <c r="A951" s="447"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348">
      <c r="A952" s="447"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348">
      <c r="A953" s="447"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348">
      <c r="A954" s="447"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348">
      <c r="A955" s="447"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348">
      <c r="A956" s="447"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348">
      <c r="A957" s="447"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348">
      <c r="A958" s="447"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348">
      <c r="A959" s="447"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348">
      <c r="A960" s="447"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348">
      <c r="A961" s="447"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348">
      <c r="A962" s="447"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348">
      <c r="A963" s="447"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348">
      <c r="A964" s="447"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348">
      <c r="A965" s="447"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348">
      <c r="A966" s="447"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348">
      <c r="A967" s="447"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348">
      <c r="A968" s="447"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348">
      <c r="A969" s="447"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348">
      <c r="A970" s="447"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348">
      <c r="A971" s="447"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348">
      <c r="A972" s="447"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348">
      <c r="A973" s="447"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348">
      <c r="A974" s="447"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348">
      <c r="A975" s="447"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348">
      <c r="A976" s="447"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348">
      <c r="A977" s="447"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348">
      <c r="A978" s="447"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348">
      <c r="A979" s="447"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348">
      <c r="A980" s="447"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348">
      <c r="A981" s="447"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348">
      <c r="A982" s="447"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348">
      <c r="A983" s="447"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348">
      <c r="A984" s="447"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348">
      <c r="A985" s="447"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348">
      <c r="A986" s="447"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348">
      <c r="A987" s="447"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348">
      <c r="A988" s="447"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348">
      <c r="A989" s="447"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348">
      <c r="A990" s="447"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348">
      <c r="A991" s="447"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348">
      <c r="A992" s="447"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348">
      <c r="A993" s="447"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348">
      <c r="A994" s="447"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348">
      <c r="A995" s="447"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348">
      <c r="A996" s="447"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348">
      <c r="A997" s="447"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348">
      <c r="A998" s="447"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348">
      <c r="A999" s="447"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348">
      <c r="A1000" s="447"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8">
    <mergeCell ref="B61:D61"/>
    <mergeCell ref="D34:E34"/>
    <mergeCell ref="B17:D17"/>
    <mergeCell ref="D55:D57"/>
    <mergeCell ref="D31:E31"/>
    <mergeCell ref="B38:D38"/>
    <mergeCell ref="B19:D19"/>
    <mergeCell ref="B37:D37"/>
    <mergeCell ref="B13:B14"/>
    <mergeCell ref="D27:E27"/>
    <mergeCell ref="D32:E32"/>
    <mergeCell ref="B83:D83"/>
    <mergeCell ref="B20:D20"/>
    <mergeCell ref="B64:D64"/>
    <mergeCell ref="A1:D1"/>
    <mergeCell ref="B36:D36"/>
    <mergeCell ref="C2:D2"/>
    <mergeCell ref="B41:D41"/>
    <mergeCell ref="D28:E28"/>
    <mergeCell ref="D25:E25"/>
    <mergeCell ref="D30:E30"/>
    <mergeCell ref="D24:E24"/>
    <mergeCell ref="D33:E33"/>
    <mergeCell ref="D29:E29"/>
    <mergeCell ref="D23:E23"/>
    <mergeCell ref="B39:D39"/>
    <mergeCell ref="D26:E26"/>
    <mergeCell ref="D35:E35"/>
  </mergeCells>
  <hyperlinks>
    <hyperlink xmlns:r="http://schemas.openxmlformats.org/officeDocument/2006/relationships" ref="D11" r:id="rId1"/>
    <hyperlink xmlns:r="http://schemas.openxmlformats.org/officeDocument/2006/relationships" ref="B17" r:id="rId2"/>
    <hyperlink xmlns:r="http://schemas.openxmlformats.org/officeDocument/2006/relationships" ref="D29" display="www.uiuc.edu" r:id="rId3"/>
    <hyperlink xmlns:r="http://schemas.openxmlformats.org/officeDocument/2006/relationships" ref="D35" r:id="rId4"/>
    <hyperlink xmlns:r="http://schemas.openxmlformats.org/officeDocument/2006/relationships" ref="B37" r:id="rId5"/>
    <hyperlink xmlns:r="http://schemas.openxmlformats.org/officeDocument/2006/relationships" ref="B83" r:id="rId6"/>
  </hyperlinks>
  <pageMargins left="0.75" right="0.75" top="1" bottom="1" header="0" footer="0"/>
  <pageSetup orientation="portrait" scale="75"/>
  <headerFooter>
    <oddHeader>&amp;LCommon Data Set 2022-2023</oddHeader>
    <oddFooter>&amp;LCDS-A&amp;RPage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B1008"/>
  <sheetViews>
    <sheetView showGridLines="0" zoomScale="90" zoomScaleNormal="90" workbookViewId="0">
      <selection activeCell="B108" sqref="B108:G108"/>
    </sheetView>
  </sheetViews>
  <sheetFormatPr baseColWidth="8" defaultColWidth="12.7109375" defaultRowHeight="15" customHeight="1"/>
  <cols>
    <col width="4.42578125" customWidth="1" style="366" min="1" max="1"/>
    <col width="27.7109375" customWidth="1" style="366" min="2" max="2"/>
    <col width="14.28515625" customWidth="1" style="366" min="3" max="3"/>
    <col width="14.7109375" customWidth="1" style="366" min="4" max="5"/>
    <col width="16.28515625" customWidth="1" style="366" min="6" max="6"/>
    <col width="15.42578125" customWidth="1" style="366" min="7" max="8"/>
    <col width="0.7109375" customWidth="1" style="366" min="9" max="9"/>
    <col width="8.7109375" customWidth="1" style="366" min="10" max="28"/>
    <col width="12.7109375" customWidth="1" style="366" min="29" max="16384"/>
  </cols>
  <sheetData>
    <row r="1" ht="12.75" customHeight="1" s="348">
      <c r="A1" s="363" t="inlineStr">
        <is>
          <t>B. ENROLLMENT AND PERSISTENCE</t>
        </is>
      </c>
    </row>
    <row r="2" ht="12.75" customHeight="1" s="348">
      <c r="A2" s="415" t="n"/>
    </row>
    <row r="3" ht="14.25" customHeight="1" s="348">
      <c r="A3" s="426" t="inlineStr">
        <is>
          <t>B1</t>
        </is>
      </c>
      <c r="B3" s="365" t="inlineStr">
        <is>
          <t xml:space="preserve">Institutional Enrollment - Men and Women </t>
        </is>
      </c>
    </row>
    <row r="4" ht="26.25" customHeight="1" s="348">
      <c r="A4" s="426" t="n"/>
      <c r="B4" s="367" t="inlineStr">
        <is>
          <t>Provide numbers of students for each of the following categories as of the institution's official fall reporting date or as of October 19, 2022.</t>
        </is>
      </c>
    </row>
    <row r="5" ht="13.5" customHeight="1" s="348">
      <c r="A5" s="426" t="n"/>
      <c r="B5" s="368" t="inlineStr">
        <is>
          <t>•     Note: Report students formerly designated as “first professional” in the graduate cells.</t>
        </is>
      </c>
    </row>
    <row r="6" ht="13.5" customHeight="1" s="348">
      <c r="A6" s="426" t="n"/>
      <c r="B6" s="368" t="inlineStr">
        <is>
          <t xml:space="preserve">•     For information on reporting study abroad students please see: This Document at NCES.GOV </t>
        </is>
      </c>
    </row>
    <row r="7" ht="14.25" customHeight="1" s="348">
      <c r="A7" s="426" t="n"/>
      <c r="B7" s="368" t="inlineStr">
        <is>
          <t>•     If your institution collects and reports non-binary gender data, please use the "Another Gender" category.</t>
        </is>
      </c>
    </row>
    <row r="8" ht="18" customHeight="1" s="348">
      <c r="A8" s="426" t="n"/>
      <c r="B8" s="368" t="inlineStr">
        <is>
          <t>•     In cases where gender information is not provided, please distribute across the two-binary categories.</t>
        </is>
      </c>
    </row>
    <row r="9" ht="12.75" customHeight="1" s="348">
      <c r="A9" s="426" t="n"/>
      <c r="B9" s="119" t="n"/>
      <c r="C9" s="502" t="inlineStr">
        <is>
          <t>FULL-TIME</t>
        </is>
      </c>
      <c r="D9" s="494" t="n"/>
      <c r="E9" s="495" t="n"/>
      <c r="F9" s="502" t="inlineStr">
        <is>
          <t>PART-TIME</t>
        </is>
      </c>
      <c r="G9" s="494" t="n"/>
      <c r="H9" s="495" t="n"/>
    </row>
    <row r="10" ht="12.75" customHeight="1" s="348">
      <c r="A10" s="426" t="n"/>
      <c r="B10" s="503" t="n"/>
      <c r="C10" s="116" t="inlineStr">
        <is>
          <t>Men</t>
        </is>
      </c>
      <c r="D10" s="115" t="inlineStr">
        <is>
          <t>Women</t>
        </is>
      </c>
      <c r="E10" s="114" t="inlineStr">
        <is>
          <t>Another Gender</t>
        </is>
      </c>
      <c r="F10" s="116" t="inlineStr">
        <is>
          <t>Men</t>
        </is>
      </c>
      <c r="G10" s="115" t="inlineStr">
        <is>
          <t>Women</t>
        </is>
      </c>
      <c r="H10" s="114" t="inlineStr">
        <is>
          <t>Another Gender</t>
        </is>
      </c>
    </row>
    <row r="11" ht="12.75" customHeight="1" s="348">
      <c r="A11" s="426" t="n"/>
      <c r="B11" s="111" t="inlineStr">
        <is>
          <t>Undergraduates</t>
        </is>
      </c>
      <c r="C11" s="113" t="n"/>
      <c r="D11" s="113" t="n"/>
      <c r="E11" s="113" t="n"/>
      <c r="F11" s="113" t="n"/>
      <c r="G11" s="113" t="n"/>
      <c r="H11" s="113" t="n"/>
    </row>
    <row r="12" ht="22.5" customHeight="1" s="348">
      <c r="A12" s="426" t="n"/>
      <c r="B12" s="82" t="inlineStr">
        <is>
          <t>Degree-seeking, first-time, first-year</t>
        </is>
      </c>
      <c r="C12" s="112" t="n">
        <v>4074</v>
      </c>
      <c r="D12" s="108" t="n">
        <v>3872</v>
      </c>
      <c r="E12" s="108" t="n">
        <v>0</v>
      </c>
      <c r="F12" s="108" t="n">
        <v>4</v>
      </c>
      <c r="G12" s="108" t="n">
        <v>7</v>
      </c>
      <c r="H12" s="108" t="n">
        <v>0</v>
      </c>
    </row>
    <row r="13" ht="12.75" customHeight="1" s="348">
      <c r="A13" s="426" t="n"/>
      <c r="B13" s="109" t="inlineStr">
        <is>
          <t xml:space="preserve">Other first-year, degree-seeking </t>
        </is>
      </c>
      <c r="C13" s="108" t="n">
        <v>445</v>
      </c>
      <c r="D13" s="108" t="n">
        <v>414</v>
      </c>
      <c r="E13" s="108" t="n">
        <v>0</v>
      </c>
      <c r="F13" s="108" t="n">
        <v>5</v>
      </c>
      <c r="G13" s="108" t="n">
        <v>2</v>
      </c>
      <c r="H13" s="108" t="n">
        <v>0</v>
      </c>
    </row>
    <row r="14" ht="12.75" customHeight="1" s="348">
      <c r="A14" s="426" t="n"/>
      <c r="B14" s="109" t="inlineStr">
        <is>
          <t>All other degree-seeking</t>
        </is>
      </c>
      <c r="C14" s="108" t="n">
        <v>13122</v>
      </c>
      <c r="D14" s="108" t="n">
        <v>11346</v>
      </c>
      <c r="E14" s="108" t="n">
        <v>0</v>
      </c>
      <c r="F14" s="108" t="n">
        <v>504</v>
      </c>
      <c r="G14" s="108" t="n">
        <v>236</v>
      </c>
      <c r="H14" s="108" t="n">
        <v>0</v>
      </c>
    </row>
    <row r="15" ht="12.75" customHeight="1" s="348">
      <c r="A15" s="426" t="n"/>
      <c r="B15" s="106" t="inlineStr">
        <is>
          <t>Total degree-seeking</t>
        </is>
      </c>
      <c r="C15" s="105">
        <f>SUM(C12:C14)</f>
        <v/>
      </c>
      <c r="D15" s="105">
        <f>SUM(D12:D14)</f>
        <v/>
      </c>
      <c r="E15" s="105">
        <f>SUM(E12:E14)</f>
        <v/>
      </c>
      <c r="F15" s="105">
        <f>SUM(F12:F14)</f>
        <v/>
      </c>
      <c r="G15" s="105">
        <f>SUM(G12:G14)</f>
        <v/>
      </c>
      <c r="H15" s="105">
        <f>SUM(H12:H14)</f>
        <v/>
      </c>
    </row>
    <row r="16" ht="12.75" customHeight="1" s="348">
      <c r="A16" s="426" t="n"/>
      <c r="B16" s="82" t="inlineStr">
        <is>
          <t>All other undergraduates enrolled in credit courses</t>
        </is>
      </c>
      <c r="C16" s="108" t="n">
        <v>355</v>
      </c>
      <c r="D16" s="108" t="n">
        <v>185</v>
      </c>
      <c r="E16" s="108" t="n">
        <v>0</v>
      </c>
      <c r="F16" s="108" t="n">
        <v>312</v>
      </c>
      <c r="G16" s="108" t="n">
        <v>237</v>
      </c>
      <c r="H16" s="108" t="n">
        <v>0</v>
      </c>
    </row>
    <row r="17" ht="12.75" customHeight="1" s="348">
      <c r="A17" s="426" t="n"/>
      <c r="B17" s="106" t="inlineStr">
        <is>
          <t xml:space="preserve">Total undergraduates </t>
        </is>
      </c>
      <c r="C17" s="105">
        <f>SUM(C15:C16)</f>
        <v/>
      </c>
      <c r="D17" s="105">
        <f>SUM(D15:D16)</f>
        <v/>
      </c>
      <c r="E17" s="105">
        <f>SUM(E15:E16)</f>
        <v/>
      </c>
      <c r="F17" s="105">
        <f>SUM(F15:F16)</f>
        <v/>
      </c>
      <c r="G17" s="105">
        <f>SUM(G15:G16)</f>
        <v/>
      </c>
      <c r="H17" s="105">
        <f>SUM(H15:H16)</f>
        <v/>
      </c>
    </row>
    <row r="18" ht="12.75" customHeight="1" s="348">
      <c r="A18" s="426" t="n"/>
      <c r="B18" s="111" t="inlineStr">
        <is>
          <t>Graduate</t>
        </is>
      </c>
      <c r="C18" s="110" t="n"/>
      <c r="D18" s="110" t="n"/>
      <c r="E18" s="110" t="n"/>
      <c r="F18" s="110" t="n"/>
      <c r="G18" s="110" t="n"/>
      <c r="H18" s="110" t="n"/>
    </row>
    <row r="19" ht="12.75" customHeight="1" s="348">
      <c r="A19" s="426" t="n"/>
      <c r="B19" s="109" t="inlineStr">
        <is>
          <t>Degree-seeking, first-time</t>
        </is>
      </c>
      <c r="C19" s="108" t="n">
        <v>2041</v>
      </c>
      <c r="D19" s="108" t="n">
        <v>1685</v>
      </c>
      <c r="E19" s="108" t="n">
        <v>0</v>
      </c>
      <c r="F19" s="108" t="n">
        <v>633</v>
      </c>
      <c r="G19" s="108" t="n">
        <v>466</v>
      </c>
      <c r="H19" s="108" t="n">
        <v>0</v>
      </c>
    </row>
    <row r="20" ht="12.75" customHeight="1" s="348">
      <c r="A20" s="426" t="n"/>
      <c r="B20" s="109" t="inlineStr">
        <is>
          <t>All other degree-seeking</t>
        </is>
      </c>
      <c r="C20" s="108" t="n">
        <v>5287</v>
      </c>
      <c r="D20" s="108" t="n">
        <v>4167</v>
      </c>
      <c r="E20" s="108" t="n">
        <v>0</v>
      </c>
      <c r="F20" s="108" t="n">
        <v>3831</v>
      </c>
      <c r="G20" s="108" t="n">
        <v>2879</v>
      </c>
      <c r="H20" s="108" t="n">
        <v>0</v>
      </c>
    </row>
    <row r="21" ht="12.75" customHeight="1" s="348">
      <c r="A21" s="426" t="n"/>
      <c r="B21" s="82" t="inlineStr">
        <is>
          <t>All other graduates enrolled in credit courses</t>
        </is>
      </c>
      <c r="C21" s="108" t="n">
        <v>28</v>
      </c>
      <c r="D21" s="108" t="n">
        <v>25</v>
      </c>
      <c r="E21" s="108" t="n">
        <v>0</v>
      </c>
      <c r="F21" s="108" t="n">
        <v>359</v>
      </c>
      <c r="G21" s="108" t="n">
        <v>395</v>
      </c>
      <c r="H21" s="108" t="n">
        <v>0</v>
      </c>
    </row>
    <row r="22" ht="12.75" customHeight="1" s="348">
      <c r="A22" s="426" t="n"/>
      <c r="B22" s="106" t="inlineStr">
        <is>
          <t>Total graduate</t>
        </is>
      </c>
      <c r="C22" s="107">
        <f>SUM(C19:C21)</f>
        <v/>
      </c>
      <c r="D22" s="107">
        <f>SUM(D19:D21)</f>
        <v/>
      </c>
      <c r="E22" s="107">
        <f>SUM(E19:E21)</f>
        <v/>
      </c>
      <c r="F22" s="107">
        <f>SUM(F19:F21)</f>
        <v/>
      </c>
      <c r="G22" s="107">
        <f>SUM(G19:G21)</f>
        <v/>
      </c>
      <c r="H22" s="107">
        <f>SUM(H19:H21)</f>
        <v/>
      </c>
    </row>
    <row r="23" ht="12.75" customHeight="1" s="348">
      <c r="A23" s="426" t="n"/>
      <c r="B23" s="106" t="inlineStr">
        <is>
          <t>Total all students</t>
        </is>
      </c>
      <c r="C23" s="105">
        <f>SUM(C17, C22)</f>
        <v/>
      </c>
      <c r="D23" s="105">
        <f>SUM(D17, D22)</f>
        <v/>
      </c>
      <c r="E23" s="105">
        <f>SUM(E17, E22)</f>
        <v/>
      </c>
      <c r="F23" s="105">
        <f>SUM(F17, F22)</f>
        <v/>
      </c>
      <c r="G23" s="105">
        <f>SUM(G17, G22)</f>
        <v/>
      </c>
      <c r="H23" s="105">
        <f>SUM(H17, H22)</f>
        <v/>
      </c>
    </row>
    <row r="24" ht="12.75" customHeight="1" s="348">
      <c r="A24" s="426" t="n"/>
      <c r="B24" s="104" t="n"/>
      <c r="C24" s="103" t="n"/>
      <c r="D24" s="102" t="n"/>
      <c r="E24" s="102" t="n"/>
      <c r="F24" s="102" t="n"/>
      <c r="G24" s="102" t="n"/>
      <c r="H24" s="102" t="n"/>
    </row>
    <row r="25" ht="12.75" customHeight="1" s="348">
      <c r="A25" s="426" t="n"/>
      <c r="B25" s="100" t="inlineStr">
        <is>
          <t>Total all undergraduates</t>
        </is>
      </c>
      <c r="C25" s="101">
        <f>SUM(C17:H17)</f>
        <v/>
      </c>
      <c r="G25" s="98" t="n"/>
      <c r="H25" s="98" t="n"/>
    </row>
    <row r="26" ht="12.75" customHeight="1" s="348">
      <c r="A26" s="426" t="n"/>
      <c r="B26" s="100" t="inlineStr">
        <is>
          <t>Total all graduate</t>
        </is>
      </c>
      <c r="C26" s="99">
        <f>SUM(C22:H22)</f>
        <v/>
      </c>
      <c r="G26" s="98" t="n"/>
      <c r="H26" s="98" t="n"/>
    </row>
    <row r="27" ht="12.75" customHeight="1" s="348">
      <c r="A27" s="426" t="n"/>
      <c r="B27" s="66" t="inlineStr">
        <is>
          <t>GRAND TOTAL ALL STUDENTS</t>
        </is>
      </c>
      <c r="C27" s="97">
        <f>SUM(C25:C26)</f>
        <v/>
      </c>
      <c r="D27" s="66" t="n"/>
      <c r="E27" s="66" t="n"/>
      <c r="F27" s="66" t="n"/>
      <c r="G27" s="96" t="n"/>
      <c r="H27" s="96" t="n"/>
    </row>
    <row r="28" ht="22.5" customHeight="1" s="348">
      <c r="A28" s="417" t="inlineStr">
        <is>
          <t>B2</t>
        </is>
      </c>
      <c r="B28" s="392" t="inlineStr">
        <is>
          <t xml:space="preserve">Enrollment by Racial/Ethnic Category. </t>
        </is>
      </c>
    </row>
    <row r="29" ht="27.75" customHeight="1" s="348">
      <c r="A29" s="426" t="n"/>
      <c r="B29" s="367" t="inlineStr">
        <is>
          <t xml:space="preserve">Provide numbers of undergraduate students for each of the following categories as of the institution’s official fall reporting date or as of October 19, 2022. </t>
        </is>
      </c>
    </row>
    <row r="30" ht="15" customHeight="1" s="348">
      <c r="A30" s="426" t="n"/>
      <c r="B30" s="367" t="inlineStr">
        <is>
          <t xml:space="preserve">•     Include international students only in the category "Nonresidents." </t>
        </is>
      </c>
    </row>
    <row r="31" ht="15.75" customHeight="1" s="348">
      <c r="A31" s="426" t="n"/>
      <c r="B31" s="367" t="inlineStr">
        <is>
          <t>•     Complete the “Total Undergraduates” column only if you cannot provide data for the first two columns.</t>
        </is>
      </c>
    </row>
    <row r="32" ht="38.25" customHeight="1" s="348">
      <c r="A32" s="426" t="n"/>
      <c r="B32" s="367" t="inlineStr">
        <is>
          <t>•     Report as your institution reports to IPEDS: persons who are Hispanic should be reported only on the 
      Hispanic line, not under any race, and persons who are non-Hispanic multi-racial should be reported only 
      under "Two or more races."</t>
        </is>
      </c>
    </row>
    <row r="33" ht="16.5" customHeight="1" s="348">
      <c r="A33" s="426" t="n"/>
      <c r="B33" s="367" t="inlineStr">
        <is>
          <t>•     New guidance from IPEDS for reporting aggregate data:</t>
        </is>
      </c>
    </row>
    <row r="34" ht="54.75" customHeight="1" s="348">
      <c r="A34" s="426" t="n"/>
      <c r="B34" s="367" t="inlineStr">
        <is>
          <t>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is>
      </c>
    </row>
    <row r="35" ht="35.25" customHeight="1" s="348">
      <c r="A35" s="426" t="n"/>
      <c r="B35" s="378" t="inlineStr">
        <is>
          <t>More information about other eligible (for financial aid purposes) non-citizens is available at
https://studentaid.gov/understandaid/eligibility/requirements/non-us-citizens.</t>
        </is>
      </c>
    </row>
    <row r="36" ht="47.25" customHeight="1" s="348">
      <c r="A36" s="426" t="n"/>
      <c r="B36" s="367" t="inlineStr">
        <is>
          <t>Nonresident - A person who is not a citizen or national of the United States and who is in this country on a student visa
or temporary basis and does not have the right to remain indefinitely. Do not include DACA, undocumented, or other
eligible noncitizens in this category.</t>
        </is>
      </c>
    </row>
    <row r="37" ht="34.5" customHeight="1" s="348">
      <c r="A37" s="426" t="n"/>
      <c r="B37" s="367" t="inlineStr">
        <is>
          <t>NOTE - Nonresidents are to be reported separately, in the boxes provided, rather than included in any of the seven
racial/ethnic categories or in race/ethnicity unknown.</t>
        </is>
      </c>
    </row>
    <row r="38" ht="45.75" customHeight="1" s="348">
      <c r="A38" s="426" t="n"/>
      <c r="B38" s="504" t="n"/>
      <c r="C38" s="495" t="n"/>
      <c r="D38" s="94" t="inlineStr">
        <is>
          <t>Degree-Seeking
 First-Time
 First Year</t>
        </is>
      </c>
      <c r="E38" s="94" t="inlineStr">
        <is>
          <t>Degree-Seeking
 Undergraduates (include first-time first-year)</t>
        </is>
      </c>
      <c r="F38" s="94" t="inlineStr">
        <is>
          <t>Total
 Undergraduates (both degree &amp; non-degree-seeking)</t>
        </is>
      </c>
    </row>
    <row r="39" ht="12.75" customHeight="1" s="348">
      <c r="A39" s="426" t="n"/>
      <c r="B39" s="182" t="inlineStr">
        <is>
          <t>Nonresidents</t>
        </is>
      </c>
      <c r="C39" s="495" t="n"/>
      <c r="D39" s="93" t="n">
        <v>1334</v>
      </c>
      <c r="E39" s="93" t="n">
        <v>4749</v>
      </c>
      <c r="F39" s="93" t="n">
        <v>5343</v>
      </c>
    </row>
    <row r="40" ht="12.75" customHeight="1" s="348">
      <c r="A40" s="426" t="n"/>
      <c r="B40" s="270" t="inlineStr">
        <is>
          <t>Hispanic/Latino</t>
        </is>
      </c>
      <c r="C40" s="495" t="n"/>
      <c r="D40" s="93" t="n">
        <v>1066</v>
      </c>
      <c r="E40" s="93" t="n">
        <v>4687</v>
      </c>
      <c r="F40" s="93" t="n">
        <v>4720</v>
      </c>
    </row>
    <row r="41" ht="12.75" customHeight="1" s="348">
      <c r="A41" s="426" t="n"/>
      <c r="B41" s="182" t="inlineStr">
        <is>
          <t>Black or African American, non-Hispanic</t>
        </is>
      </c>
      <c r="C41" s="495" t="n"/>
      <c r="D41" s="93" t="n">
        <v>444</v>
      </c>
      <c r="E41" s="93" t="n">
        <v>2012</v>
      </c>
      <c r="F41" s="93" t="n">
        <v>2041</v>
      </c>
    </row>
    <row r="42" ht="12.75" customHeight="1" s="348">
      <c r="A42" s="426" t="n"/>
      <c r="B42" s="182" t="inlineStr">
        <is>
          <t>White, non-Hispanic</t>
        </is>
      </c>
      <c r="C42" s="495" t="n"/>
      <c r="D42" s="93" t="n">
        <v>2924</v>
      </c>
      <c r="E42" s="93" t="n">
        <v>13381</v>
      </c>
      <c r="F42" s="93" t="n">
        <v>13628</v>
      </c>
    </row>
    <row r="43" ht="15" customHeight="1" s="348">
      <c r="A43" s="426" t="n"/>
      <c r="B43" s="182" t="inlineStr">
        <is>
          <t>American Indian or Alaska Native, non-Hispanic</t>
        </is>
      </c>
      <c r="C43" s="495" t="n"/>
      <c r="D43" s="93" t="n">
        <v>2</v>
      </c>
      <c r="E43" s="93" t="n">
        <v>11</v>
      </c>
      <c r="F43" s="93" t="n">
        <v>11</v>
      </c>
    </row>
    <row r="44" ht="12.75" customHeight="1" s="348">
      <c r="A44" s="426" t="n"/>
      <c r="B44" s="182" t="inlineStr">
        <is>
          <t>Asian, non-Hispanic</t>
        </is>
      </c>
      <c r="C44" s="495" t="n"/>
      <c r="D44" s="93" t="n">
        <v>1792</v>
      </c>
      <c r="E44" s="93" t="n">
        <v>7562</v>
      </c>
      <c r="F44" s="93" t="n">
        <v>7608</v>
      </c>
    </row>
    <row r="45" ht="26.25" customHeight="1" s="348">
      <c r="A45" s="426" t="n"/>
      <c r="B45" s="182" t="inlineStr">
        <is>
          <t>Native Hawaiian or other Pacific Islander, non-Hispanic</t>
        </is>
      </c>
      <c r="C45" s="495" t="n"/>
      <c r="D45" s="93" t="n">
        <v>2</v>
      </c>
      <c r="E45" s="93" t="n">
        <v>11</v>
      </c>
      <c r="F45" s="93" t="n">
        <v>11</v>
      </c>
    </row>
    <row r="46" ht="12.75" customHeight="1" s="348">
      <c r="A46" s="426" t="n"/>
      <c r="B46" s="182" t="inlineStr">
        <is>
          <t>Two or more races, non-Hispanic</t>
        </is>
      </c>
      <c r="C46" s="495" t="n"/>
      <c r="D46" s="93" t="n">
        <v>265</v>
      </c>
      <c r="E46" s="93" t="n">
        <v>1229</v>
      </c>
      <c r="F46" s="93" t="n">
        <v>1240</v>
      </c>
    </row>
    <row r="47" ht="12.75" customHeight="1" s="348">
      <c r="A47" s="426" t="n"/>
      <c r="B47" s="182" t="inlineStr">
        <is>
          <t>Race and/or ethnicity unknown</t>
        </is>
      </c>
      <c r="C47" s="495" t="n"/>
      <c r="D47" s="93" t="n">
        <v>128</v>
      </c>
      <c r="E47" s="93" t="n">
        <v>389</v>
      </c>
      <c r="F47" s="93" t="n">
        <v>518</v>
      </c>
    </row>
    <row r="48" ht="12.75" customHeight="1" s="348">
      <c r="A48" s="426" t="n"/>
      <c r="B48" s="505" t="inlineStr">
        <is>
          <t>TOTAL</t>
        </is>
      </c>
      <c r="C48" s="495" t="n"/>
      <c r="D48" s="91" t="n">
        <v>0</v>
      </c>
      <c r="E48" s="91" t="n">
        <v>0</v>
      </c>
      <c r="F48" s="91" t="n">
        <v>0</v>
      </c>
    </row>
    <row r="49" ht="12.75" customHeight="1" s="348">
      <c r="A49" s="415" t="n"/>
    </row>
    <row r="50" ht="12.75" customHeight="1" s="348">
      <c r="A50" s="415" t="n"/>
      <c r="B50" s="90" t="inlineStr">
        <is>
          <t>Persistence</t>
        </is>
      </c>
    </row>
    <row r="51" ht="12.75" customHeight="1" s="348">
      <c r="A51" s="426" t="inlineStr">
        <is>
          <t>B3</t>
        </is>
      </c>
      <c r="B51" s="66" t="inlineStr">
        <is>
          <t>Number of degrees awarded by your institution from July 1, 2021, to June 30, 2022.</t>
        </is>
      </c>
      <c r="G51" s="87" t="n"/>
      <c r="H51" s="87" t="n"/>
    </row>
    <row r="52" ht="12.75" customHeight="1" s="348">
      <c r="A52" s="426" t="n"/>
      <c r="B52" s="453" t="inlineStr">
        <is>
          <t>Certificate/diploma</t>
        </is>
      </c>
      <c r="C52" s="88" t="n">
        <v>0</v>
      </c>
      <c r="G52" s="87" t="n"/>
      <c r="H52" s="87" t="n"/>
    </row>
    <row r="53" ht="12.75" customHeight="1" s="348">
      <c r="A53" s="426" t="n"/>
      <c r="B53" s="453" t="inlineStr">
        <is>
          <t>Associate degrees</t>
        </is>
      </c>
      <c r="C53" s="88" t="n">
        <v>0</v>
      </c>
      <c r="G53" s="87" t="n"/>
      <c r="H53" s="87" t="n"/>
    </row>
    <row r="54" ht="12.75" customHeight="1" s="348">
      <c r="A54" s="426" t="n"/>
      <c r="B54" s="453" t="inlineStr">
        <is>
          <t>Bachelor's degrees</t>
        </is>
      </c>
      <c r="C54" s="88" t="n">
        <v>8417</v>
      </c>
      <c r="G54" s="87" t="n"/>
      <c r="H54" s="87" t="n"/>
    </row>
    <row r="55" ht="12.75" customHeight="1" s="348">
      <c r="A55" s="426" t="n"/>
      <c r="B55" s="453" t="inlineStr">
        <is>
          <t>Postbachelor's certificates</t>
        </is>
      </c>
      <c r="C55" s="88" t="n">
        <v>0</v>
      </c>
      <c r="G55" s="87" t="n"/>
      <c r="H55" s="87" t="n"/>
    </row>
    <row r="56" ht="12.75" customHeight="1" s="348">
      <c r="A56" s="426" t="n"/>
      <c r="B56" s="453" t="inlineStr">
        <is>
          <t>Master's degrees</t>
        </is>
      </c>
      <c r="C56" s="88" t="n">
        <v>5615</v>
      </c>
      <c r="G56" s="87" t="n"/>
      <c r="H56" s="87" t="n"/>
    </row>
    <row r="57" ht="12.75" customHeight="1" s="348">
      <c r="A57" s="426" t="n"/>
      <c r="B57" s="453" t="inlineStr">
        <is>
          <t>Post-Master's certificates</t>
        </is>
      </c>
      <c r="C57" s="88" t="n">
        <v>6</v>
      </c>
      <c r="G57" s="87" t="n"/>
      <c r="H57" s="87" t="n"/>
    </row>
    <row r="58" ht="12.75" customHeight="1" s="348">
      <c r="A58" s="426" t="n"/>
      <c r="B58" s="476" t="inlineStr">
        <is>
          <t>Doctoral degrees – research/scholarship</t>
        </is>
      </c>
      <c r="C58" s="88" t="n">
        <v>887</v>
      </c>
      <c r="G58" s="87" t="n"/>
      <c r="H58" s="87" t="n"/>
    </row>
    <row r="59" ht="24.75" customHeight="1" s="348">
      <c r="A59" s="426" t="n"/>
      <c r="B59" s="476" t="inlineStr">
        <is>
          <t>Doctoral degrees – professional practice</t>
        </is>
      </c>
      <c r="C59" s="88" t="n">
        <v>287</v>
      </c>
      <c r="G59" s="87" t="n"/>
      <c r="H59" s="87" t="n"/>
    </row>
    <row r="60" ht="12.75" customHeight="1" s="348">
      <c r="A60" s="426" t="n"/>
      <c r="B60" s="453" t="inlineStr">
        <is>
          <t>Doctoral degrees – other</t>
        </is>
      </c>
      <c r="C60" s="88" t="n">
        <v>0</v>
      </c>
      <c r="G60" s="87" t="n"/>
      <c r="H60" s="87" t="n"/>
    </row>
    <row r="61" ht="22.5" customHeight="1" s="348">
      <c r="A61" s="415" t="n"/>
      <c r="B61" s="86" t="inlineStr">
        <is>
          <t>B4-B21: Graduation Rates</t>
        </is>
      </c>
      <c r="C61" s="367" t="n"/>
      <c r="D61" s="367" t="n"/>
      <c r="E61" s="367" t="n"/>
      <c r="F61" s="367" t="n"/>
      <c r="G61" s="367" t="n"/>
      <c r="H61" s="367" t="n"/>
      <c r="I61" s="453" t="n"/>
      <c r="J61" s="453" t="n"/>
      <c r="K61" s="453" t="n"/>
      <c r="L61" s="453" t="n"/>
      <c r="M61" s="453" t="n"/>
      <c r="N61" s="453" t="n"/>
      <c r="O61" s="453" t="n"/>
      <c r="P61" s="453" t="n"/>
      <c r="Q61" s="453" t="n"/>
      <c r="R61" s="453" t="n"/>
      <c r="S61" s="453" t="n"/>
      <c r="T61" s="453" t="n"/>
      <c r="U61" s="453" t="n"/>
      <c r="V61" s="453" t="n"/>
      <c r="W61" s="453" t="n"/>
      <c r="X61" s="453" t="n"/>
      <c r="Y61" s="453" t="n"/>
      <c r="Z61" s="453" t="n"/>
      <c r="AA61" s="453" t="n"/>
      <c r="AB61" s="453" t="n"/>
    </row>
    <row r="62" ht="24.75" customHeight="1" s="348">
      <c r="A62" s="415" t="n"/>
      <c r="B62" s="367" t="inlineStr">
        <is>
          <t>The items in this section correspond to data elements collected by the IPEDS Web-based Data Collection System’s Graduation Rate Survey (GRS).</t>
        </is>
      </c>
      <c r="I62" s="453" t="n"/>
      <c r="J62" s="453" t="n"/>
      <c r="K62" s="453" t="n"/>
      <c r="L62" s="453" t="n"/>
      <c r="M62" s="453" t="n"/>
      <c r="N62" s="453" t="n"/>
      <c r="O62" s="453" t="n"/>
      <c r="P62" s="453" t="n"/>
      <c r="Q62" s="453" t="n"/>
      <c r="R62" s="453" t="n"/>
      <c r="S62" s="453" t="n"/>
      <c r="T62" s="453" t="n"/>
      <c r="U62" s="453" t="n"/>
      <c r="V62" s="453" t="n"/>
      <c r="W62" s="453" t="n"/>
      <c r="X62" s="453" t="n"/>
      <c r="Y62" s="453" t="n"/>
      <c r="Z62" s="453" t="n"/>
      <c r="AA62" s="453" t="n"/>
      <c r="AB62" s="453" t="n"/>
    </row>
    <row r="63" ht="46.5" customHeight="1" s="348">
      <c r="A63" s="415" t="n"/>
      <c r="B63" s="367" t="inlineStr">
        <is>
          <t xml:space="preserve">•     For complete instructions and definitions of data elements, see the IPEDS GRS Forms and Instructions 
      for the 2022-2023 Survey. https://nces.ed.gov/ipeds/use-the-data/survey-components/9/graduation-rates </t>
        </is>
      </c>
      <c r="I63" s="453" t="n"/>
      <c r="J63" s="453" t="n"/>
      <c r="K63" s="453" t="n"/>
      <c r="L63" s="453" t="n"/>
      <c r="M63" s="453" t="n"/>
      <c r="N63" s="453" t="n"/>
      <c r="O63" s="453" t="n"/>
      <c r="P63" s="453" t="n"/>
      <c r="Q63" s="453" t="n"/>
      <c r="R63" s="453" t="n"/>
      <c r="S63" s="453" t="n"/>
      <c r="T63" s="453" t="n"/>
      <c r="U63" s="453" t="n"/>
      <c r="V63" s="453" t="n"/>
      <c r="W63" s="453" t="n"/>
      <c r="X63" s="453" t="n"/>
      <c r="Y63" s="453" t="n"/>
      <c r="Z63" s="453" t="n"/>
      <c r="AA63" s="453" t="n"/>
      <c r="AB63" s="453" t="n"/>
    </row>
    <row r="64" ht="54.75" customHeight="1" s="348">
      <c r="A64" s="415" t="n"/>
      <c r="B64" s="367" t="inlineStr">
        <is>
          <t>In the following section for bachelor’s or equivalent programs, please disaggregate the Fall 2015 and Fall 2016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is>
      </c>
    </row>
    <row r="65" ht="54.75" customHeight="1" s="348">
      <c r="A65" s="415" t="n"/>
    </row>
    <row r="66" ht="41.25" customHeight="1" s="348">
      <c r="A66" s="415" t="n"/>
    </row>
    <row r="67" ht="27.75" customHeight="1" s="348">
      <c r="A67" s="415" t="n"/>
      <c r="B67" s="381" t="inlineStr">
        <is>
          <t>For Bachelor’s or Equivalent Programs</t>
        </is>
      </c>
      <c r="G67" s="381" t="n"/>
      <c r="H67" s="381" t="n"/>
      <c r="I67" s="367" t="n"/>
      <c r="J67" s="367" t="n"/>
      <c r="K67" s="367" t="n"/>
      <c r="L67" s="367" t="n"/>
      <c r="M67" s="367" t="n"/>
      <c r="N67" s="367" t="n"/>
      <c r="O67" s="367" t="n"/>
      <c r="P67" s="367" t="n"/>
      <c r="Q67" s="367" t="n"/>
      <c r="R67" s="367" t="n"/>
      <c r="S67" s="367" t="n"/>
      <c r="T67" s="367" t="n"/>
      <c r="U67" s="367" t="n"/>
      <c r="V67" s="367" t="n"/>
      <c r="W67" s="367" t="n"/>
      <c r="X67" s="367" t="n"/>
      <c r="Y67" s="367" t="n"/>
      <c r="Z67" s="367" t="n"/>
      <c r="AA67" s="367" t="n"/>
      <c r="AB67" s="367" t="n"/>
    </row>
    <row r="68" ht="26.25" customHeight="1" s="348">
      <c r="A68" s="415" t="n"/>
      <c r="B68" s="382" t="inlineStr">
        <is>
          <t>Please provide data for the Fall 2016 cohort if available. If Fall 2016 cohort data are not available, provide data for the Fall 2015 cohort.</t>
        </is>
      </c>
      <c r="H68" s="382" t="n"/>
      <c r="I68" s="367" t="n"/>
      <c r="J68" s="367" t="n"/>
      <c r="K68" s="367" t="n"/>
      <c r="L68" s="367" t="n"/>
      <c r="M68" s="367" t="n"/>
      <c r="N68" s="367" t="n"/>
      <c r="O68" s="367" t="n"/>
      <c r="P68" s="367" t="n"/>
      <c r="Q68" s="367" t="n"/>
      <c r="R68" s="367" t="n"/>
      <c r="S68" s="367" t="n"/>
      <c r="T68" s="367" t="n"/>
      <c r="U68" s="367" t="n"/>
      <c r="V68" s="367" t="n"/>
      <c r="W68" s="367" t="n"/>
      <c r="X68" s="367" t="n"/>
      <c r="Y68" s="367" t="n"/>
      <c r="Z68" s="367" t="n"/>
      <c r="AA68" s="367" t="n"/>
      <c r="AB68" s="367" t="n"/>
    </row>
    <row r="69" ht="26.25" customHeight="1" s="348">
      <c r="A69" s="415" t="n"/>
      <c r="B69" s="379" t="inlineStr">
        <is>
          <t>Fall 2016 Cohort</t>
        </is>
      </c>
      <c r="C69" s="498" t="n"/>
      <c r="D69" s="498" t="n"/>
      <c r="E69" s="498" t="n"/>
      <c r="F69" s="498" t="n"/>
      <c r="G69" s="367" t="n"/>
      <c r="H69" s="367" t="n"/>
      <c r="I69" s="367" t="n"/>
      <c r="J69" s="367" t="n"/>
      <c r="K69" s="367" t="n"/>
      <c r="L69" s="367" t="n"/>
      <c r="M69" s="367" t="n"/>
      <c r="N69" s="367" t="n"/>
      <c r="O69" s="367" t="n"/>
      <c r="P69" s="367" t="n"/>
      <c r="Q69" s="367" t="n"/>
      <c r="R69" s="367" t="n"/>
      <c r="S69" s="367" t="n"/>
      <c r="T69" s="367" t="n"/>
      <c r="U69" s="367" t="n"/>
      <c r="V69" s="367" t="n"/>
      <c r="W69" s="367" t="n"/>
      <c r="X69" s="367" t="n"/>
      <c r="Y69" s="367" t="n"/>
      <c r="Z69" s="367" t="n"/>
    </row>
    <row r="70" ht="54.75" customHeight="1" s="348">
      <c r="A70" s="415" t="n"/>
      <c r="B70" s="506" t="n"/>
      <c r="C70" s="315" t="inlineStr">
        <is>
          <t>Recipients of a Federal Pell Grant</t>
        </is>
      </c>
      <c r="D70" s="315" t="inlineStr">
        <is>
          <t>Recipients of a Subsidized Stafford Loan who did not receive a Pell Grant</t>
        </is>
      </c>
      <c r="E70" s="315" t="inlineStr">
        <is>
          <t>Students who did not receive either a Pell Grant or a subsidized Stafford Loan</t>
        </is>
      </c>
      <c r="F70" s="315" t="inlineStr">
        <is>
          <t>Total 
(sum of 3 columns to the left)</t>
        </is>
      </c>
      <c r="G70" s="367" t="n"/>
      <c r="H70" s="367" t="n"/>
      <c r="I70" s="367" t="n"/>
      <c r="J70" s="367" t="n"/>
      <c r="K70" s="367" t="n"/>
      <c r="L70" s="367" t="n"/>
      <c r="M70" s="367" t="n"/>
      <c r="N70" s="367" t="n"/>
      <c r="O70" s="367" t="n"/>
      <c r="P70" s="367" t="n"/>
      <c r="Q70" s="367" t="n"/>
      <c r="R70" s="367" t="n"/>
      <c r="S70" s="367" t="n"/>
      <c r="T70" s="367" t="n"/>
      <c r="U70" s="367" t="n"/>
      <c r="V70" s="367" t="n"/>
    </row>
    <row r="71" ht="24" customHeight="1" s="348">
      <c r="A71" s="415" t="n"/>
      <c r="B71" s="503" t="n"/>
      <c r="C71" s="503" t="n"/>
      <c r="D71" s="503" t="n"/>
      <c r="E71" s="503" t="n"/>
      <c r="F71" s="503" t="n"/>
      <c r="G71" s="367" t="n"/>
      <c r="H71" s="367" t="n"/>
      <c r="I71" s="367" t="n"/>
      <c r="J71" s="367" t="n"/>
      <c r="K71" s="367" t="n"/>
      <c r="L71" s="367" t="n"/>
      <c r="M71" s="367" t="n"/>
      <c r="N71" s="367" t="n"/>
      <c r="O71" s="367" t="n"/>
      <c r="P71" s="367" t="n"/>
      <c r="Q71" s="367" t="n"/>
      <c r="R71" s="367" t="n"/>
      <c r="S71" s="367" t="n"/>
      <c r="T71" s="367" t="n"/>
      <c r="U71" s="367" t="n"/>
      <c r="V71" s="367" t="n"/>
      <c r="W71" s="367" t="n"/>
      <c r="X71" s="367" t="n"/>
      <c r="Y71" s="367" t="n"/>
      <c r="Z71" s="367" t="n"/>
    </row>
    <row r="72" ht="51.75" customHeight="1" s="348">
      <c r="A72" s="81" t="inlineStr">
        <is>
          <t>A</t>
        </is>
      </c>
      <c r="B72" s="83" t="inlineStr">
        <is>
          <t>Initial 2016 cohort of first-time, full-time, bachelor's (or equivalent) degree-seeking undergraduate students</t>
        </is>
      </c>
      <c r="C72" s="82" t="n">
        <v>1791</v>
      </c>
      <c r="D72" s="82" t="n">
        <v>1211</v>
      </c>
      <c r="E72" s="82" t="n">
        <v>4579</v>
      </c>
      <c r="F72" s="82">
        <f>SUM(C72:E72)</f>
        <v/>
      </c>
      <c r="G72" s="367" t="n"/>
      <c r="H72" s="367" t="n"/>
      <c r="I72" s="367" t="n"/>
      <c r="J72" s="367" t="n"/>
      <c r="K72" s="367" t="n"/>
      <c r="L72" s="367" t="n"/>
      <c r="M72" s="367" t="n"/>
      <c r="N72" s="367" t="n"/>
      <c r="O72" s="367" t="n"/>
      <c r="P72" s="367" t="n"/>
      <c r="Q72" s="367" t="n"/>
      <c r="R72" s="367" t="n"/>
      <c r="S72" s="367" t="n"/>
      <c r="T72" s="367" t="n"/>
      <c r="U72" s="367" t="n"/>
      <c r="V72" s="367" t="n"/>
      <c r="W72" s="367" t="n"/>
      <c r="X72" s="367" t="n"/>
      <c r="Y72" s="367" t="n"/>
      <c r="Z72" s="367" t="n"/>
    </row>
    <row r="73" ht="119.25" customHeight="1" s="348">
      <c r="A73" s="81" t="inlineStr">
        <is>
          <t>B</t>
        </is>
      </c>
      <c r="B73" s="84" t="inlineStr">
        <is>
          <t>Of the initial 2016 cohort, how many did not persist and did not graduate for the following reasons: 
• Deceased
• Permanently Disabled
• Armed Forces
• Foreign Aid Service of the Federal Government
• Official church missions
• Report Total Allowable Exclusions</t>
        </is>
      </c>
      <c r="C73" s="82" t="n">
        <v>5</v>
      </c>
      <c r="D73" s="82" t="n">
        <v>0</v>
      </c>
      <c r="E73" s="82" t="n">
        <v>4</v>
      </c>
      <c r="F73" s="82">
        <f>SUM(C73:E73)</f>
        <v/>
      </c>
      <c r="G73" s="367" t="n"/>
      <c r="H73" s="367" t="n"/>
      <c r="I73" s="367" t="n"/>
      <c r="J73" s="367" t="n"/>
      <c r="K73" s="367" t="n"/>
      <c r="L73" s="367" t="n"/>
      <c r="M73" s="367" t="n"/>
      <c r="N73" s="367" t="n"/>
      <c r="O73" s="367" t="n"/>
      <c r="P73" s="367" t="n"/>
      <c r="Q73" s="367" t="n"/>
      <c r="R73" s="367" t="n"/>
      <c r="S73" s="367" t="n"/>
      <c r="T73" s="367" t="n"/>
      <c r="U73" s="367" t="n"/>
      <c r="V73" s="367" t="n"/>
      <c r="W73" s="367" t="n"/>
      <c r="X73" s="367" t="n"/>
      <c r="Y73" s="367" t="n"/>
      <c r="Z73" s="367" t="n"/>
    </row>
    <row r="74" ht="27.75" customHeight="1" s="348">
      <c r="A74" s="81" t="inlineStr">
        <is>
          <t>C</t>
        </is>
      </c>
      <c r="B74" s="83" t="inlineStr">
        <is>
          <t>Final 2016 cohort, after adjusting for allowable exclusions</t>
        </is>
      </c>
      <c r="C74" s="82">
        <f>(C72-C73)</f>
        <v/>
      </c>
      <c r="D74" s="82">
        <f>(D72-D73)</f>
        <v/>
      </c>
      <c r="E74" s="82">
        <f>(E72-E73)</f>
        <v/>
      </c>
      <c r="F74" s="82">
        <f>SUM(C74:E74)</f>
        <v/>
      </c>
      <c r="G74" s="367" t="n"/>
      <c r="H74" s="367" t="n"/>
      <c r="I74" s="367" t="n"/>
      <c r="J74" s="367" t="n"/>
      <c r="K74" s="367" t="n"/>
      <c r="L74" s="367" t="n"/>
      <c r="M74" s="367" t="n"/>
      <c r="N74" s="367" t="n"/>
      <c r="O74" s="367" t="n"/>
      <c r="P74" s="367" t="n"/>
      <c r="Q74" s="367" t="n"/>
      <c r="R74" s="367" t="n"/>
      <c r="S74" s="367" t="n"/>
      <c r="T74" s="367" t="n"/>
      <c r="U74" s="367" t="n"/>
      <c r="V74" s="367" t="n"/>
      <c r="W74" s="367" t="n"/>
      <c r="X74" s="367" t="n"/>
      <c r="Y74" s="367" t="n"/>
      <c r="Z74" s="367" t="n"/>
    </row>
    <row r="75" ht="51.75" customHeight="1" s="348">
      <c r="A75" s="81" t="inlineStr">
        <is>
          <t>D</t>
        </is>
      </c>
      <c r="B75" s="75" t="inlineStr">
        <is>
          <t>Of the initial 2015 cohort, how many completed the program in four years or less (by Aug. 31, 2020)</t>
        </is>
      </c>
      <c r="C75" s="82" t="n">
        <v>1105</v>
      </c>
      <c r="D75" s="82" t="n">
        <v>893</v>
      </c>
      <c r="E75" s="82" t="n">
        <v>3459</v>
      </c>
      <c r="F75" s="82">
        <f>SUM(C75:E75)</f>
        <v/>
      </c>
      <c r="G75" s="367" t="n"/>
      <c r="H75" s="367" t="n"/>
      <c r="I75" s="367" t="n"/>
      <c r="J75" s="367" t="n"/>
      <c r="K75" s="367" t="n"/>
      <c r="L75" s="367" t="n"/>
      <c r="M75" s="367" t="n"/>
      <c r="N75" s="367" t="n"/>
      <c r="O75" s="367" t="n"/>
      <c r="P75" s="367" t="n"/>
      <c r="Q75" s="367" t="n"/>
      <c r="R75" s="367" t="n"/>
      <c r="S75" s="367" t="n"/>
      <c r="T75" s="367" t="n"/>
      <c r="U75" s="367" t="n"/>
      <c r="V75" s="367" t="n"/>
      <c r="W75" s="367" t="n"/>
      <c r="X75" s="367" t="n"/>
      <c r="Y75" s="367" t="n"/>
      <c r="Z75" s="367" t="n"/>
    </row>
    <row r="76" ht="63.75" customHeight="1" s="348">
      <c r="A76" s="81" t="inlineStr">
        <is>
          <t>E</t>
        </is>
      </c>
      <c r="B76" s="75" t="inlineStr">
        <is>
          <t>Of the initial 2016 cohort, how many completed the program in more than four years but in five years or less (after Aug. 31, 2020 and by Aug. 31, 2021)</t>
        </is>
      </c>
      <c r="C76" s="82" t="n">
        <v>237</v>
      </c>
      <c r="D76" s="82" t="n">
        <v>120</v>
      </c>
      <c r="E76" s="82" t="n">
        <v>482</v>
      </c>
      <c r="F76" s="82">
        <f>SUM(C76:E76)</f>
        <v/>
      </c>
      <c r="G76" s="367" t="n"/>
      <c r="H76" s="367" t="n"/>
      <c r="I76" s="367" t="n"/>
      <c r="J76" s="367" t="n"/>
      <c r="K76" s="367" t="n"/>
      <c r="L76" s="367" t="n"/>
      <c r="M76" s="367" t="n"/>
      <c r="N76" s="367" t="n"/>
      <c r="O76" s="367" t="n"/>
      <c r="P76" s="367" t="n"/>
      <c r="Q76" s="367" t="n"/>
      <c r="R76" s="367" t="n"/>
      <c r="S76" s="367" t="n"/>
      <c r="T76" s="367" t="n"/>
      <c r="U76" s="367" t="n"/>
      <c r="V76" s="367" t="n"/>
      <c r="W76" s="367" t="n"/>
      <c r="X76" s="367" t="n"/>
      <c r="Y76" s="367" t="n"/>
      <c r="Z76" s="367" t="n"/>
    </row>
    <row r="77" ht="68.25" customHeight="1" s="348">
      <c r="A77" s="81" t="inlineStr">
        <is>
          <t>F</t>
        </is>
      </c>
      <c r="B77" s="75" t="inlineStr">
        <is>
          <t>Of the initial 2016 cohort, how many completed the program in more than five years but in six years or less (after Aug. 31, 2021 and by Aug. 31, 2022)</t>
        </is>
      </c>
      <c r="C77" s="82" t="n">
        <v>26</v>
      </c>
      <c r="D77" s="82" t="n">
        <v>16</v>
      </c>
      <c r="E77" s="82" t="n">
        <v>75</v>
      </c>
      <c r="F77" s="82">
        <f>SUM(C77:E77)</f>
        <v/>
      </c>
      <c r="G77" s="367" t="n"/>
      <c r="H77" s="367" t="n"/>
      <c r="I77" s="367" t="n"/>
      <c r="J77" s="367" t="n"/>
      <c r="K77" s="367" t="n"/>
      <c r="L77" s="367" t="n"/>
      <c r="M77" s="367" t="n"/>
      <c r="N77" s="367" t="n"/>
      <c r="O77" s="367" t="n"/>
      <c r="P77" s="367" t="n"/>
      <c r="Q77" s="367" t="n"/>
      <c r="R77" s="367" t="n"/>
      <c r="S77" s="367" t="n"/>
      <c r="T77" s="367" t="n"/>
      <c r="U77" s="367" t="n"/>
      <c r="V77" s="367" t="n"/>
      <c r="W77" s="367" t="n"/>
      <c r="X77" s="367" t="n"/>
      <c r="Y77" s="367" t="n"/>
      <c r="Z77" s="367" t="n"/>
    </row>
    <row r="78" ht="36" customHeight="1" s="348">
      <c r="A78" s="81" t="inlineStr">
        <is>
          <t>G</t>
        </is>
      </c>
      <c r="B78" s="75" t="inlineStr">
        <is>
          <t>Total graduating within six years (sum of lines D, E, and F)</t>
        </is>
      </c>
      <c r="C78" s="82">
        <f>SUM(C75:C77)</f>
        <v/>
      </c>
      <c r="D78" s="82">
        <f>SUM(D75:D77)</f>
        <v/>
      </c>
      <c r="E78" s="82">
        <f>SUM(E75:E77)</f>
        <v/>
      </c>
      <c r="F78" s="82">
        <f>SUM(C78:E78)</f>
        <v/>
      </c>
      <c r="G78" s="367" t="n"/>
      <c r="H78" s="367" t="n"/>
      <c r="I78" s="367" t="n"/>
      <c r="J78" s="367" t="n"/>
      <c r="K78" s="367" t="n"/>
      <c r="L78" s="367" t="n"/>
      <c r="M78" s="367" t="n"/>
      <c r="N78" s="367" t="n"/>
      <c r="O78" s="367" t="n"/>
      <c r="P78" s="367" t="n"/>
      <c r="Q78" s="367" t="n"/>
      <c r="R78" s="367" t="n"/>
      <c r="S78" s="367" t="n"/>
      <c r="T78" s="367" t="n"/>
      <c r="U78" s="367" t="n"/>
      <c r="V78" s="367" t="n"/>
      <c r="W78" s="367" t="n"/>
      <c r="X78" s="367" t="n"/>
      <c r="Y78" s="367" t="n"/>
      <c r="Z78" s="367" t="n"/>
    </row>
    <row r="79" ht="43.5" customHeight="1" s="348">
      <c r="A79" s="81" t="inlineStr">
        <is>
          <t>H</t>
        </is>
      </c>
      <c r="B79" s="75" t="inlineStr">
        <is>
          <t>Six-year graduation rate for 2016 cohort (G divided by C)</t>
        </is>
      </c>
      <c r="C79" s="82">
        <f>C78/C74</f>
        <v/>
      </c>
      <c r="D79" s="82">
        <f>D78/D74</f>
        <v/>
      </c>
      <c r="E79" s="82">
        <f>E78/E74</f>
        <v/>
      </c>
      <c r="F79" s="82">
        <f>F78/F74</f>
        <v/>
      </c>
      <c r="G79" s="367" t="n"/>
      <c r="H79" s="367" t="n"/>
      <c r="I79" s="367" t="n"/>
      <c r="J79" s="367" t="n"/>
      <c r="K79" s="367" t="n"/>
      <c r="L79" s="367" t="n"/>
      <c r="M79" s="367" t="n"/>
      <c r="N79" s="367" t="n"/>
      <c r="O79" s="367" t="n"/>
      <c r="P79" s="367" t="n"/>
      <c r="Q79" s="367" t="n"/>
      <c r="R79" s="367" t="n"/>
      <c r="S79" s="367" t="n"/>
      <c r="T79" s="367" t="n"/>
      <c r="U79" s="367" t="n"/>
      <c r="V79" s="367" t="n"/>
      <c r="W79" s="367" t="n"/>
      <c r="X79" s="367" t="n"/>
      <c r="Y79" s="367" t="n"/>
      <c r="Z79" s="367" t="n"/>
    </row>
    <row r="80" ht="21" customHeight="1" s="348">
      <c r="A80" s="81" t="n"/>
      <c r="B80" s="80" t="n"/>
      <c r="C80" s="367" t="n"/>
      <c r="D80" s="367" t="n"/>
      <c r="E80" s="367" t="n"/>
      <c r="F80" s="367" t="n"/>
      <c r="G80" s="367" t="n"/>
      <c r="H80" s="367" t="n"/>
      <c r="I80" s="367" t="n"/>
      <c r="J80" s="367" t="n"/>
      <c r="K80" s="367" t="n"/>
      <c r="L80" s="367" t="n"/>
      <c r="M80" s="367" t="n"/>
      <c r="N80" s="367" t="n"/>
      <c r="O80" s="367" t="n"/>
      <c r="P80" s="367" t="n"/>
      <c r="Q80" s="367" t="n"/>
      <c r="R80" s="367" t="n"/>
      <c r="S80" s="367" t="n"/>
      <c r="T80" s="367" t="n"/>
      <c r="U80" s="367" t="n"/>
      <c r="V80" s="367" t="n"/>
      <c r="W80" s="367" t="n"/>
      <c r="X80" s="367" t="n"/>
      <c r="Y80" s="367" t="n"/>
      <c r="Z80" s="367" t="n"/>
      <c r="AA80" s="367" t="n"/>
      <c r="AB80" s="367" t="n"/>
    </row>
    <row r="81" ht="18.75" customHeight="1" s="348">
      <c r="A81" s="415" t="n"/>
      <c r="B81" s="390" t="inlineStr">
        <is>
          <t>Fall 2015 Cohort</t>
        </is>
      </c>
      <c r="G81" s="390" t="n"/>
      <c r="H81" s="390" t="n"/>
      <c r="I81" s="367" t="n"/>
      <c r="J81" s="367" t="n"/>
      <c r="K81" s="367" t="n"/>
      <c r="L81" s="367" t="n"/>
      <c r="M81" s="367" t="n"/>
      <c r="N81" s="367" t="n"/>
      <c r="O81" s="367" t="n"/>
      <c r="P81" s="367" t="n"/>
      <c r="Q81" s="367" t="n"/>
      <c r="R81" s="367" t="n"/>
      <c r="S81" s="367" t="n"/>
      <c r="T81" s="367" t="n"/>
      <c r="U81" s="367" t="n"/>
      <c r="V81" s="367" t="n"/>
      <c r="W81" s="367" t="n"/>
      <c r="X81" s="367" t="n"/>
      <c r="Y81" s="367" t="n"/>
      <c r="Z81" s="367" t="n"/>
      <c r="AA81" s="367" t="n"/>
      <c r="AB81" s="367" t="n"/>
    </row>
    <row r="82" ht="54.75" customHeight="1" s="348">
      <c r="A82" s="415" t="n"/>
      <c r="B82" s="507" t="n"/>
      <c r="C82" s="315" t="inlineStr">
        <is>
          <t>Recipients of a Federal Pell Grant</t>
        </is>
      </c>
      <c r="D82" s="315" t="inlineStr">
        <is>
          <t>Recipients of a Subsidized Stafford Loan who did not receive a Pell Grant</t>
        </is>
      </c>
      <c r="E82" s="315" t="inlineStr">
        <is>
          <t>Students who did not receive either a Pell Grant or a subsidized Stafford Loan</t>
        </is>
      </c>
      <c r="F82" s="315" t="inlineStr">
        <is>
          <t>Total 
(sum of 3 columns to the left)</t>
        </is>
      </c>
      <c r="G82" s="367" t="n"/>
      <c r="H82" s="367" t="n"/>
      <c r="I82" s="367" t="n"/>
      <c r="J82" s="367" t="n"/>
      <c r="K82" s="367" t="n"/>
      <c r="L82" s="367" t="n"/>
      <c r="M82" s="367" t="n"/>
      <c r="N82" s="367" t="n"/>
      <c r="O82" s="367" t="n"/>
      <c r="P82" s="367" t="n"/>
      <c r="Q82" s="367" t="n"/>
      <c r="R82" s="367" t="n"/>
      <c r="S82" s="367" t="n"/>
      <c r="T82" s="367" t="n"/>
      <c r="U82" s="367" t="n"/>
      <c r="V82" s="367" t="n"/>
      <c r="W82" s="367" t="n"/>
      <c r="X82" s="367" t="n"/>
      <c r="Y82" s="367" t="n"/>
      <c r="Z82" s="367" t="n"/>
    </row>
    <row r="83" ht="25.5" customHeight="1" s="348">
      <c r="A83" s="415" t="n"/>
      <c r="B83" s="503" t="n"/>
      <c r="C83" s="503" t="n"/>
      <c r="D83" s="503" t="n"/>
      <c r="E83" s="503" t="n"/>
      <c r="F83" s="503" t="n"/>
      <c r="G83" s="367" t="n"/>
      <c r="H83" s="367" t="n"/>
      <c r="I83" s="367" t="n"/>
      <c r="J83" s="367" t="n"/>
      <c r="K83" s="367" t="n"/>
      <c r="L83" s="367" t="n"/>
      <c r="M83" s="367" t="n"/>
      <c r="N83" s="367" t="n"/>
      <c r="O83" s="367" t="n"/>
      <c r="P83" s="367" t="n"/>
      <c r="Q83" s="367" t="n"/>
      <c r="R83" s="367" t="n"/>
      <c r="S83" s="367" t="n"/>
      <c r="T83" s="367" t="n"/>
      <c r="U83" s="367" t="n"/>
      <c r="V83" s="367" t="n"/>
      <c r="W83" s="367" t="n"/>
      <c r="X83" s="367" t="n"/>
      <c r="Y83" s="367" t="n"/>
      <c r="Z83" s="367" t="n"/>
    </row>
    <row r="84" ht="54.75" customHeight="1" s="348">
      <c r="A84" s="76" t="inlineStr">
        <is>
          <t>A</t>
        </is>
      </c>
      <c r="B84" s="77" t="inlineStr">
        <is>
          <t>Initial 2015 cohort of first-time, full-time, bachelor's (or equivalent) degree-seeking undergraduate students</t>
        </is>
      </c>
      <c r="C84" s="74" t="n">
        <v>1655</v>
      </c>
      <c r="D84" s="74" t="n">
        <v>1245</v>
      </c>
      <c r="E84" s="74" t="n">
        <v>4656</v>
      </c>
      <c r="F84" s="74">
        <f>SUM(C84:E84)</f>
        <v/>
      </c>
      <c r="G84" s="367" t="n"/>
      <c r="H84" s="367" t="n"/>
      <c r="I84" s="367" t="n"/>
      <c r="J84" s="367" t="n"/>
      <c r="K84" s="367" t="n"/>
      <c r="L84" s="367" t="n"/>
      <c r="M84" s="367" t="n"/>
      <c r="N84" s="367" t="n"/>
      <c r="O84" s="367" t="n"/>
      <c r="P84" s="367" t="n"/>
      <c r="Q84" s="367" t="n"/>
      <c r="R84" s="367" t="n"/>
      <c r="S84" s="367" t="n"/>
      <c r="T84" s="367" t="n"/>
      <c r="U84" s="367" t="n"/>
      <c r="V84" s="367" t="n"/>
      <c r="W84" s="367" t="n"/>
      <c r="X84" s="367" t="n"/>
      <c r="Y84" s="367" t="n"/>
      <c r="Z84" s="367" t="n"/>
    </row>
    <row r="85" ht="120" customHeight="1" s="348">
      <c r="A85" s="76" t="inlineStr">
        <is>
          <t>B</t>
        </is>
      </c>
      <c r="B85" s="78" t="inlineStr">
        <is>
          <t>Of the initial 2015 cohort, how many did not persist and did not graduate for the following reasons: 
• Deceased
• Permanently Disabled
• Armed Forces
• Foreign Aid Service of the Federal Government
• Official church missions
• Report Total Allowable Exclusions</t>
        </is>
      </c>
      <c r="C85" s="74" t="n">
        <v>3</v>
      </c>
      <c r="D85" s="74" t="n">
        <v>0</v>
      </c>
      <c r="E85" s="74" t="n">
        <v>0</v>
      </c>
      <c r="F85" s="74">
        <f>SUM(C85:E85)</f>
        <v/>
      </c>
      <c r="G85" s="367" t="n"/>
      <c r="H85" s="367" t="n"/>
      <c r="I85" s="367" t="n"/>
      <c r="J85" s="367" t="n"/>
      <c r="K85" s="367" t="n"/>
      <c r="L85" s="367" t="n"/>
      <c r="M85" s="367" t="n"/>
      <c r="N85" s="367" t="n"/>
      <c r="O85" s="367" t="n"/>
      <c r="P85" s="367" t="n"/>
      <c r="Q85" s="367" t="n"/>
      <c r="R85" s="367" t="n"/>
      <c r="S85" s="367" t="n"/>
      <c r="T85" s="367" t="n"/>
      <c r="U85" s="367" t="n"/>
      <c r="V85" s="367" t="n"/>
      <c r="W85" s="367" t="n"/>
      <c r="X85" s="367" t="n"/>
      <c r="Y85" s="367" t="n"/>
      <c r="Z85" s="367" t="n"/>
    </row>
    <row r="86" ht="34.5" customHeight="1" s="348">
      <c r="A86" s="76" t="inlineStr">
        <is>
          <t>C</t>
        </is>
      </c>
      <c r="B86" s="77" t="inlineStr">
        <is>
          <t>Final 2015 cohort, after adjusting for allowable exclusions</t>
        </is>
      </c>
      <c r="C86" s="74">
        <f>(C84-C85)</f>
        <v/>
      </c>
      <c r="D86" s="74">
        <f>(D84-D85)</f>
        <v/>
      </c>
      <c r="E86" s="74">
        <f>(E84-E85)</f>
        <v/>
      </c>
      <c r="F86" s="74">
        <f>SUM(C86:E86)</f>
        <v/>
      </c>
      <c r="G86" s="367" t="n"/>
      <c r="H86" s="367" t="n"/>
      <c r="I86" s="367" t="n"/>
      <c r="J86" s="367" t="n"/>
      <c r="K86" s="367" t="n"/>
      <c r="L86" s="367" t="n"/>
      <c r="M86" s="367" t="n"/>
      <c r="N86" s="367" t="n"/>
      <c r="O86" s="367" t="n"/>
      <c r="P86" s="367" t="n"/>
      <c r="Q86" s="367" t="n"/>
      <c r="R86" s="367" t="n"/>
      <c r="S86" s="367" t="n"/>
      <c r="T86" s="367" t="n"/>
      <c r="U86" s="367" t="n"/>
      <c r="V86" s="367" t="n"/>
      <c r="W86" s="367" t="n"/>
      <c r="X86" s="367" t="n"/>
      <c r="Y86" s="367" t="n"/>
      <c r="Z86" s="367" t="n"/>
    </row>
    <row r="87" ht="52.5" customHeight="1" s="348">
      <c r="A87" s="76" t="inlineStr">
        <is>
          <t>D</t>
        </is>
      </c>
      <c r="B87" s="77" t="inlineStr">
        <is>
          <t>Of the initial 2015 cohort, how many completed the program in four years or less (by Aug. 31, 2019)</t>
        </is>
      </c>
      <c r="C87" s="74" t="n">
        <v>1027</v>
      </c>
      <c r="D87" s="74" t="n">
        <v>890</v>
      </c>
      <c r="E87" s="74" t="n">
        <v>3474</v>
      </c>
      <c r="F87" s="74">
        <f>SUM(C87:E87)</f>
        <v/>
      </c>
      <c r="G87" s="367" t="n"/>
      <c r="H87" s="367" t="n"/>
      <c r="I87" s="367" t="n"/>
      <c r="J87" s="367" t="n"/>
      <c r="K87" s="367" t="n"/>
      <c r="L87" s="367" t="n"/>
      <c r="M87" s="367" t="n"/>
      <c r="N87" s="367" t="n"/>
      <c r="O87" s="367" t="n"/>
      <c r="P87" s="367" t="n"/>
      <c r="Q87" s="367" t="n"/>
      <c r="R87" s="367" t="n"/>
      <c r="S87" s="367" t="n"/>
      <c r="T87" s="367" t="n"/>
      <c r="U87" s="367" t="n"/>
      <c r="V87" s="367" t="n"/>
      <c r="W87" s="367" t="n"/>
      <c r="X87" s="367" t="n"/>
      <c r="Y87" s="367" t="n"/>
      <c r="Z87" s="367" t="n"/>
    </row>
    <row r="88" ht="68.25" customHeight="1" s="348">
      <c r="A88" s="76" t="inlineStr">
        <is>
          <t>E</t>
        </is>
      </c>
      <c r="B88" s="77" t="inlineStr">
        <is>
          <t>Of the initial 2015 cohort, how many completed the program in more than four years but in five years or less (after Aug. 31, 2019 and by Aug. 31, 2020)</t>
        </is>
      </c>
      <c r="C88" s="74" t="n">
        <v>223</v>
      </c>
      <c r="D88" s="74" t="n">
        <v>125</v>
      </c>
      <c r="E88" s="74" t="n">
        <v>529</v>
      </c>
      <c r="F88" s="74">
        <f>SUM(C88:E88)</f>
        <v/>
      </c>
      <c r="G88" s="367" t="n"/>
      <c r="H88" s="367" t="n"/>
      <c r="I88" s="367" t="n"/>
      <c r="J88" s="367" t="n"/>
      <c r="K88" s="367" t="n"/>
      <c r="L88" s="367" t="n"/>
      <c r="M88" s="367" t="n"/>
      <c r="N88" s="367" t="n"/>
      <c r="O88" s="367" t="n"/>
      <c r="P88" s="367" t="n"/>
      <c r="Q88" s="367" t="n"/>
      <c r="R88" s="367" t="n"/>
      <c r="S88" s="367" t="n"/>
      <c r="T88" s="367" t="n"/>
      <c r="U88" s="367" t="n"/>
      <c r="V88" s="367" t="n"/>
      <c r="W88" s="367" t="n"/>
      <c r="X88" s="367" t="n"/>
      <c r="Y88" s="367" t="n"/>
      <c r="Z88" s="367" t="n"/>
    </row>
    <row r="89" ht="65.25" customHeight="1" s="348">
      <c r="A89" s="76" t="inlineStr">
        <is>
          <t>F</t>
        </is>
      </c>
      <c r="B89" s="75" t="inlineStr">
        <is>
          <t>Of the initial 2015 cohort, how many completed the program in more than five years but in six years or less (after Aug. 31, 2020 and by Aug. 31, 2021)</t>
        </is>
      </c>
      <c r="C89" s="74" t="n">
        <v>39</v>
      </c>
      <c r="D89" s="74" t="n">
        <v>23</v>
      </c>
      <c r="E89" s="74" t="n">
        <v>81</v>
      </c>
      <c r="F89" s="74">
        <f>SUM(C89:E89)</f>
        <v/>
      </c>
      <c r="G89" s="367" t="n"/>
      <c r="H89" s="367" t="n"/>
      <c r="I89" s="367" t="n"/>
      <c r="J89" s="367" t="n"/>
      <c r="K89" s="367" t="n"/>
      <c r="L89" s="367" t="n"/>
      <c r="M89" s="367" t="n"/>
      <c r="N89" s="367" t="n"/>
      <c r="O89" s="367" t="n"/>
      <c r="P89" s="367" t="n"/>
      <c r="Q89" s="367" t="n"/>
      <c r="R89" s="367" t="n"/>
      <c r="S89" s="367" t="n"/>
      <c r="T89" s="367" t="n"/>
      <c r="U89" s="367" t="n"/>
      <c r="V89" s="367" t="n"/>
      <c r="W89" s="367" t="n"/>
      <c r="X89" s="367" t="n"/>
      <c r="Y89" s="367" t="n"/>
      <c r="Z89" s="367" t="n"/>
    </row>
    <row r="90" ht="31.5" customHeight="1" s="348">
      <c r="A90" s="76" t="inlineStr">
        <is>
          <t>G</t>
        </is>
      </c>
      <c r="B90" s="75" t="inlineStr">
        <is>
          <t>Total graduating within six years (sum of lines D, E, and F)</t>
        </is>
      </c>
      <c r="C90" s="74">
        <f>SUM(C87:C89)</f>
        <v/>
      </c>
      <c r="D90" s="74">
        <f>SUM(D87:D89)</f>
        <v/>
      </c>
      <c r="E90" s="74">
        <f>SUM(E87:E89)</f>
        <v/>
      </c>
      <c r="F90" s="74">
        <f>SUM(C90:E90)</f>
        <v/>
      </c>
      <c r="G90" s="367" t="n"/>
      <c r="H90" s="367" t="n"/>
      <c r="I90" s="367" t="n"/>
      <c r="J90" s="367" t="n"/>
      <c r="K90" s="367" t="n"/>
      <c r="L90" s="367" t="n"/>
      <c r="M90" s="367" t="n"/>
      <c r="N90" s="367" t="n"/>
      <c r="O90" s="367" t="n"/>
      <c r="P90" s="367" t="n"/>
      <c r="Q90" s="367" t="n"/>
      <c r="R90" s="367" t="n"/>
      <c r="S90" s="367" t="n"/>
      <c r="T90" s="367" t="n"/>
      <c r="U90" s="367" t="n"/>
      <c r="V90" s="367" t="n"/>
      <c r="W90" s="367" t="n"/>
      <c r="X90" s="367" t="n"/>
      <c r="Y90" s="367" t="n"/>
      <c r="Z90" s="367" t="n"/>
    </row>
    <row r="91" ht="37.5" customHeight="1" s="348">
      <c r="A91" s="76" t="inlineStr">
        <is>
          <t>H</t>
        </is>
      </c>
      <c r="B91" s="75" t="inlineStr">
        <is>
          <t>Six-year graduation rate for 2015 cohort (G divided by C)</t>
        </is>
      </c>
      <c r="C91" s="74">
        <f>C90/C86</f>
        <v/>
      </c>
      <c r="D91" s="74">
        <f>D90/D86</f>
        <v/>
      </c>
      <c r="E91" s="74">
        <f>E90/E86</f>
        <v/>
      </c>
      <c r="F91" s="74">
        <f>F90/F86</f>
        <v/>
      </c>
      <c r="G91" s="367" t="n"/>
      <c r="H91" s="367" t="n"/>
      <c r="I91" s="367" t="n"/>
      <c r="J91" s="367" t="n"/>
      <c r="K91" s="367" t="n"/>
      <c r="L91" s="367" t="n"/>
      <c r="M91" s="367" t="n"/>
      <c r="N91" s="367" t="n"/>
      <c r="O91" s="367" t="n"/>
      <c r="P91" s="367" t="n"/>
      <c r="Q91" s="367" t="n"/>
      <c r="R91" s="367" t="n"/>
      <c r="S91" s="367" t="n"/>
      <c r="T91" s="367" t="n"/>
      <c r="U91" s="367" t="n"/>
      <c r="V91" s="367" t="n"/>
      <c r="W91" s="367" t="n"/>
      <c r="X91" s="367" t="n"/>
      <c r="Y91" s="367" t="n"/>
      <c r="Z91" s="367" t="n"/>
    </row>
    <row r="92" ht="21.75" customHeight="1" s="348">
      <c r="A92" s="415" t="n"/>
      <c r="B92" s="66" t="inlineStr">
        <is>
          <t>For Two-Year Institutions</t>
        </is>
      </c>
      <c r="C92" s="453" t="n"/>
      <c r="D92" s="453" t="n"/>
      <c r="E92" s="453" t="n"/>
      <c r="F92" s="453" t="n"/>
      <c r="G92" s="73" t="n"/>
      <c r="H92" s="73" t="n"/>
      <c r="I92" s="453" t="n"/>
      <c r="J92" s="453" t="n"/>
      <c r="K92" s="453" t="n"/>
      <c r="L92" s="453" t="n"/>
      <c r="M92" s="453" t="n"/>
      <c r="N92" s="453" t="n"/>
      <c r="O92" s="453" t="n"/>
      <c r="P92" s="453" t="n"/>
      <c r="Q92" s="453" t="n"/>
      <c r="R92" s="453" t="n"/>
      <c r="S92" s="453" t="n"/>
      <c r="T92" s="453" t="n"/>
      <c r="U92" s="453" t="n"/>
      <c r="V92" s="453" t="n"/>
      <c r="W92" s="453" t="n"/>
      <c r="X92" s="453" t="n"/>
      <c r="Y92" s="453" t="n"/>
      <c r="Z92" s="453" t="n"/>
      <c r="AA92" s="453" t="n"/>
      <c r="AB92" s="453" t="n"/>
    </row>
    <row r="93" ht="32.25" customHeight="1" s="348">
      <c r="A93" s="415" t="n"/>
      <c r="B93" s="367" t="inlineStr">
        <is>
          <t>Please provide data for the 2019 cohort if available. If 2019 cohort data are not available, provide data for the 2018 cohort.</t>
        </is>
      </c>
    </row>
    <row r="94" ht="12.75" customHeight="1" s="348">
      <c r="A94" s="415" t="n"/>
      <c r="B94" s="197" t="n"/>
      <c r="C94" s="494" t="n"/>
      <c r="D94" s="494" t="n"/>
      <c r="E94" s="495" t="n"/>
      <c r="F94" s="71" t="inlineStr">
        <is>
          <t>2019 Cohort</t>
        </is>
      </c>
      <c r="G94" s="71" t="inlineStr">
        <is>
          <t>2018 Cohort</t>
        </is>
      </c>
    </row>
    <row r="95" ht="23.25" customHeight="1" s="348">
      <c r="A95" s="426" t="inlineStr">
        <is>
          <t>B12</t>
        </is>
      </c>
      <c r="B95" s="377" t="inlineStr">
        <is>
          <t>Initial cohort, total of first-time, full-time degree/certificate-seeking students:</t>
        </is>
      </c>
      <c r="C95" s="494" t="n"/>
      <c r="D95" s="494" t="n"/>
      <c r="E95" s="494" t="n"/>
      <c r="F95" s="69" t="n"/>
      <c r="G95" s="68"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c r="AA95" s="453" t="n"/>
    </row>
    <row r="96" ht="94.5" customHeight="1" s="348">
      <c r="A96" s="426" t="inlineStr">
        <is>
          <t>B13</t>
        </is>
      </c>
      <c r="B96" s="376" t="inlineStr">
        <is>
          <t>Of the initial cohort, how many did not persist and did not graduate for the following reasons: 
• Death
• Permanently Disability
• Service in the armed forces, 
• Foreign aid service of the federal government
• Official church missions
• Report total allowable exclusions</t>
        </is>
      </c>
      <c r="C96" s="494" t="n"/>
      <c r="D96" s="494" t="n"/>
      <c r="E96" s="494" t="n"/>
      <c r="F96" s="69" t="n"/>
      <c r="G96" s="68"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c r="AA96" s="453" t="n"/>
    </row>
    <row r="97" ht="13.5" customHeight="1" s="348">
      <c r="A97" s="426" t="inlineStr">
        <is>
          <t>B14</t>
        </is>
      </c>
      <c r="B97" s="377" t="inlineStr">
        <is>
          <t>Final cohort, after adjusting for allowable exclusions:</t>
        </is>
      </c>
      <c r="C97" s="494" t="n"/>
      <c r="D97" s="494" t="n"/>
      <c r="E97" s="494" t="n"/>
      <c r="F97" s="68">
        <f>F95-F96</f>
        <v/>
      </c>
      <c r="G97" s="68">
        <f>G95-G96</f>
        <v/>
      </c>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c r="AA97" s="453" t="n"/>
    </row>
    <row r="98" ht="16.5" customHeight="1" s="348">
      <c r="A98" s="426" t="inlineStr">
        <is>
          <t>B15</t>
        </is>
      </c>
      <c r="B98" s="377" t="inlineStr">
        <is>
          <t>Completers of programs of less than two years duration (total):</t>
        </is>
      </c>
      <c r="C98" s="494" t="n"/>
      <c r="D98" s="494" t="n"/>
      <c r="E98" s="494" t="n"/>
      <c r="F98" s="69" t="n"/>
      <c r="G98" s="68"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c r="AA98" s="453" t="n"/>
    </row>
    <row r="99" ht="27.75" customHeight="1" s="348">
      <c r="A99" s="426" t="inlineStr">
        <is>
          <t>B16</t>
        </is>
      </c>
      <c r="B99" s="377" t="inlineStr">
        <is>
          <t>Completers of programs of less than two years within 150 percent of normal time:</t>
        </is>
      </c>
      <c r="C99" s="494" t="n"/>
      <c r="D99" s="494" t="n"/>
      <c r="E99" s="494" t="n"/>
      <c r="F99" s="69" t="n"/>
      <c r="G99" s="68"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c r="AA99" s="453" t="n"/>
    </row>
    <row r="100" ht="13.5" customHeight="1" s="348">
      <c r="A100" s="426" t="inlineStr">
        <is>
          <t>B17</t>
        </is>
      </c>
      <c r="B100" s="377" t="inlineStr">
        <is>
          <t>Completers of programs of at least two but less than four years (total):</t>
        </is>
      </c>
      <c r="C100" s="494" t="n"/>
      <c r="D100" s="494" t="n"/>
      <c r="E100" s="494" t="n"/>
      <c r="F100" s="69" t="n"/>
      <c r="G100" s="68"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c r="AA100" s="453" t="n"/>
    </row>
    <row r="101" ht="27" customHeight="1" s="348">
      <c r="A101" s="426" t="inlineStr">
        <is>
          <t>B18</t>
        </is>
      </c>
      <c r="B101" s="377" t="inlineStr">
        <is>
          <t>Completers of programs of at least two but less than four-years within 150 percent of normal time:</t>
        </is>
      </c>
      <c r="C101" s="494" t="n"/>
      <c r="D101" s="494" t="n"/>
      <c r="E101" s="494" t="n"/>
      <c r="F101" s="69" t="n"/>
      <c r="G101" s="68"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c r="AA101" s="453" t="n"/>
    </row>
    <row r="102" ht="12.75" customHeight="1" s="348">
      <c r="A102" s="426" t="inlineStr">
        <is>
          <t>B19</t>
        </is>
      </c>
      <c r="B102" s="377" t="inlineStr">
        <is>
          <t>Total transfers-out (within three years) to other institutions:</t>
        </is>
      </c>
      <c r="C102" s="494" t="n"/>
      <c r="D102" s="494" t="n"/>
      <c r="E102" s="494" t="n"/>
      <c r="F102" s="69" t="n"/>
      <c r="G102" s="68"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c r="AA102" s="453" t="n"/>
    </row>
    <row r="103" ht="12.75" customHeight="1" s="348">
      <c r="A103" s="426" t="inlineStr">
        <is>
          <t>B20</t>
        </is>
      </c>
      <c r="B103" s="377" t="inlineStr">
        <is>
          <t>Total transfers to two-year institutions:</t>
        </is>
      </c>
      <c r="C103" s="494" t="n"/>
      <c r="D103" s="494" t="n"/>
      <c r="E103" s="494" t="n"/>
      <c r="F103" s="69" t="n"/>
      <c r="G103" s="68"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c r="AA103" s="453" t="n"/>
    </row>
    <row r="104" ht="12.75" customHeight="1" s="348">
      <c r="A104" s="426" t="inlineStr">
        <is>
          <t>B21</t>
        </is>
      </c>
      <c r="B104" s="377" t="inlineStr">
        <is>
          <t>Total transfers to four-year institutions:</t>
        </is>
      </c>
      <c r="C104" s="494" t="n"/>
      <c r="D104" s="494" t="n"/>
      <c r="E104" s="494" t="n"/>
      <c r="F104" s="69" t="n"/>
      <c r="G104" s="68"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c r="AA104" s="453" t="n"/>
    </row>
    <row r="105" ht="16.5" customHeight="1" s="348">
      <c r="A105" s="415" t="n"/>
      <c r="B105" s="66" t="inlineStr">
        <is>
          <t>B22. Retention Rates</t>
        </is>
      </c>
    </row>
    <row r="106" ht="30.75" customHeight="1" s="348">
      <c r="A106" s="415" t="n"/>
      <c r="B106" s="382" t="inlineStr">
        <is>
          <t xml:space="preserve">Report for the cohort of all full-time, first-time bachelor’s (or equivalent) degree-seeking undergraduate students who entered in Fall 2021 (or the preceding summer term). </t>
        </is>
      </c>
    </row>
    <row r="107" ht="18" customHeight="1" s="348">
      <c r="A107" s="415" t="n"/>
      <c r="B107" s="382" t="inlineStr">
        <is>
          <t xml:space="preserve">•      The initial cohort may be adjusted for students who departed for the following reasons:
</t>
        </is>
      </c>
    </row>
    <row r="108" ht="88.5" customHeight="1" s="348">
      <c r="A108" s="415" t="n"/>
      <c r="B108" s="387" t="inlineStr">
        <is>
          <t>* Death
* Permanent Disability
* Service in the armed forces
* Foreign aid service of the federal government
* Official church missions
* No other adjustments to the initial cohort should be made.</t>
        </is>
      </c>
      <c r="C108" s="498" t="n"/>
      <c r="D108" s="498" t="n"/>
      <c r="E108" s="498" t="n"/>
      <c r="F108" s="498" t="n"/>
      <c r="G108" s="498" t="n"/>
    </row>
    <row r="109" ht="59.25" customHeight="1" s="348">
      <c r="A109" s="426" t="inlineStr">
        <is>
          <t>B22</t>
        </is>
      </c>
      <c r="B109" s="508" t="inlineStr">
        <is>
          <t>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2022.</t>
        </is>
      </c>
      <c r="F109" s="509" t="n"/>
      <c r="G109" s="63" t="n">
        <v>0.9332</v>
      </c>
    </row>
    <row r="110" ht="12.75" customHeight="1" s="348">
      <c r="A110" s="415" t="n"/>
    </row>
    <row r="111" ht="12.75" customHeight="1" s="348">
      <c r="A111" s="415" t="n"/>
    </row>
    <row r="112" hidden="1" ht="65.25" customHeight="1" s="348">
      <c r="A112" s="415" t="n"/>
    </row>
    <row r="113" hidden="1" ht="51.75" customHeight="1" s="348">
      <c r="A113" s="415" t="n"/>
    </row>
    <row r="114" ht="12.75" customHeight="1" s="348">
      <c r="A114" s="415" t="n"/>
    </row>
    <row r="115" ht="12.75" customHeight="1" s="348">
      <c r="A115" s="415" t="n"/>
    </row>
    <row r="116" ht="12.75" customHeight="1" s="348">
      <c r="A116" s="415" t="n"/>
    </row>
    <row r="117" ht="12.75" customHeight="1" s="348">
      <c r="A117" s="415" t="n"/>
    </row>
    <row r="118" ht="12.75" customHeight="1" s="348">
      <c r="A118" s="415" t="n"/>
    </row>
    <row r="119" ht="12.75" customHeight="1" s="348">
      <c r="A119" s="415" t="n"/>
    </row>
    <row r="120" ht="12.75" customHeight="1" s="348">
      <c r="A120" s="415" t="n"/>
    </row>
    <row r="121" ht="12.75" customHeight="1" s="348">
      <c r="A121" s="415" t="n"/>
    </row>
    <row r="122" ht="12.75" customHeight="1" s="348">
      <c r="A122" s="415" t="n"/>
    </row>
    <row r="123" ht="12.75" customHeight="1" s="348">
      <c r="A123" s="415" t="n"/>
    </row>
    <row r="124" ht="12.75" customHeight="1" s="348">
      <c r="A124" s="415" t="n"/>
    </row>
    <row r="125" ht="12.75" customHeight="1" s="348">
      <c r="A125" s="415" t="n"/>
    </row>
    <row r="126" ht="12.75" customHeight="1" s="348">
      <c r="A126" s="415" t="n"/>
    </row>
    <row r="127" ht="12.75" customHeight="1" s="348">
      <c r="A127" s="415" t="n"/>
    </row>
    <row r="128" ht="12.75" customHeight="1" s="348">
      <c r="A128" s="415" t="n"/>
    </row>
    <row r="129" ht="12.75" customHeight="1" s="348">
      <c r="A129" s="415" t="n"/>
    </row>
    <row r="130" ht="12.75" customHeight="1" s="348">
      <c r="A130" s="415" t="n"/>
    </row>
    <row r="131" ht="12.75" customHeight="1" s="348">
      <c r="A131" s="415" t="n"/>
    </row>
    <row r="132" ht="12.75" customHeight="1" s="348">
      <c r="A132" s="415" t="n"/>
    </row>
    <row r="133" ht="12.75" customHeight="1" s="348">
      <c r="A133" s="415" t="n"/>
    </row>
    <row r="134" ht="12.75" customHeight="1" s="348">
      <c r="A134" s="415" t="n"/>
    </row>
    <row r="135" ht="12.75" customHeight="1" s="348">
      <c r="A135" s="415" t="n"/>
    </row>
    <row r="136" ht="12.75" customHeight="1" s="348">
      <c r="A136" s="415" t="n"/>
    </row>
    <row r="137" ht="12.75" customHeight="1" s="348">
      <c r="A137" s="415" t="n"/>
    </row>
    <row r="138" ht="12.75" customHeight="1" s="348">
      <c r="A138" s="415" t="n"/>
    </row>
    <row r="139" ht="12.75" customHeight="1" s="348">
      <c r="A139" s="415" t="n"/>
    </row>
    <row r="140" ht="12.75" customHeight="1" s="348">
      <c r="A140" s="415" t="n"/>
    </row>
    <row r="141" ht="12.75" customHeight="1" s="348">
      <c r="A141" s="415" t="n"/>
    </row>
    <row r="142" ht="12.75" customHeight="1" s="348">
      <c r="A142" s="415" t="n"/>
    </row>
    <row r="143" ht="12.75" customHeight="1" s="348">
      <c r="A143" s="415" t="n"/>
    </row>
    <row r="144" ht="12.75" customHeight="1" s="348">
      <c r="A144" s="415" t="n"/>
    </row>
    <row r="145" ht="12.75" customHeight="1" s="348">
      <c r="A145" s="415" t="n"/>
    </row>
    <row r="146" ht="12.75" customHeight="1" s="348">
      <c r="A146" s="415" t="n"/>
    </row>
    <row r="147" ht="12.75" customHeight="1" s="348">
      <c r="A147" s="415" t="n"/>
    </row>
    <row r="148" ht="12.75" customHeight="1" s="348">
      <c r="A148" s="415" t="n"/>
    </row>
    <row r="149" ht="12.75" customHeight="1" s="348">
      <c r="A149" s="415" t="n"/>
    </row>
    <row r="150" ht="12.75" customHeight="1" s="348">
      <c r="A150" s="415" t="n"/>
    </row>
    <row r="151" ht="12.75" customHeight="1" s="348">
      <c r="A151" s="415" t="n"/>
    </row>
    <row r="152" ht="12.75" customHeight="1" s="348">
      <c r="A152" s="415" t="n"/>
    </row>
    <row r="153" ht="12.75" customHeight="1" s="348">
      <c r="A153" s="415" t="n"/>
    </row>
    <row r="154" ht="12.75" customHeight="1" s="348">
      <c r="A154" s="415" t="n"/>
    </row>
    <row r="155" ht="12.75" customHeight="1" s="348">
      <c r="A155" s="415" t="n"/>
    </row>
    <row r="156" ht="12.75" customHeight="1" s="348">
      <c r="A156" s="415" t="n"/>
    </row>
    <row r="157" ht="12.75" customHeight="1" s="348">
      <c r="A157" s="415" t="n"/>
    </row>
    <row r="158" ht="12.75" customHeight="1" s="348">
      <c r="A158" s="415" t="n"/>
    </row>
    <row r="159" ht="12.75" customHeight="1" s="348">
      <c r="A159" s="415" t="n"/>
    </row>
    <row r="160" ht="12.75" customHeight="1" s="348">
      <c r="A160" s="415" t="n"/>
    </row>
    <row r="161" ht="12.75" customHeight="1" s="348">
      <c r="A161" s="415" t="n"/>
    </row>
    <row r="162" ht="12.75" customHeight="1" s="348">
      <c r="A162" s="415" t="n"/>
    </row>
    <row r="163" ht="12.75" customHeight="1" s="348">
      <c r="A163" s="415" t="n"/>
    </row>
    <row r="164" ht="12.75" customHeight="1" s="348">
      <c r="A164" s="415" t="n"/>
    </row>
    <row r="165" ht="12.75" customHeight="1" s="348">
      <c r="A165" s="415" t="n"/>
    </row>
    <row r="166" ht="12.75" customHeight="1" s="348">
      <c r="A166" s="415" t="n"/>
    </row>
    <row r="167" ht="12.75" customHeight="1" s="348">
      <c r="A167" s="415" t="n"/>
    </row>
    <row r="168" ht="12.75" customHeight="1" s="348">
      <c r="A168" s="415" t="n"/>
    </row>
    <row r="169" ht="12.75" customHeight="1" s="348">
      <c r="A169" s="415" t="n"/>
    </row>
    <row r="170" ht="12.75" customHeight="1" s="348">
      <c r="A170" s="415" t="n"/>
    </row>
    <row r="171" ht="12.75" customHeight="1" s="348">
      <c r="A171" s="415" t="n"/>
    </row>
    <row r="172" ht="12.75" customHeight="1" s="348">
      <c r="A172" s="415" t="n"/>
    </row>
    <row r="173" ht="12.75" customHeight="1" s="348">
      <c r="A173" s="415" t="n"/>
    </row>
    <row r="174" ht="12.75" customHeight="1" s="348">
      <c r="A174" s="415" t="n"/>
    </row>
    <row r="175" ht="12.75" customHeight="1" s="348">
      <c r="A175" s="415" t="n"/>
    </row>
    <row r="176" ht="12.75" customHeight="1" s="348">
      <c r="A176" s="415" t="n"/>
    </row>
    <row r="177" ht="12.75" customHeight="1" s="348">
      <c r="A177" s="415" t="n"/>
    </row>
    <row r="178" ht="12.75" customHeight="1" s="348">
      <c r="A178" s="415" t="n"/>
    </row>
    <row r="179" ht="12.75" customHeight="1" s="348">
      <c r="A179" s="415" t="n"/>
    </row>
    <row r="180" ht="12.75" customHeight="1" s="348">
      <c r="A180" s="415" t="n"/>
    </row>
    <row r="181" ht="12.75" customHeight="1" s="348">
      <c r="A181" s="415" t="n"/>
    </row>
    <row r="182" ht="12.75" customHeight="1" s="348">
      <c r="A182" s="415" t="n"/>
    </row>
    <row r="183" ht="12.75" customHeight="1" s="348">
      <c r="A183" s="415" t="n"/>
    </row>
    <row r="184" ht="12.75" customHeight="1" s="348">
      <c r="A184" s="415" t="n"/>
    </row>
    <row r="185" ht="12.75" customHeight="1" s="348">
      <c r="A185" s="415" t="n"/>
    </row>
    <row r="186" ht="12.75" customHeight="1" s="348">
      <c r="A186" s="415" t="n"/>
    </row>
    <row r="187" ht="12.75" customHeight="1" s="348">
      <c r="A187" s="415" t="n"/>
    </row>
    <row r="188" ht="12.75" customHeight="1" s="348">
      <c r="A188" s="415" t="n"/>
    </row>
    <row r="189" ht="12.75" customHeight="1" s="348">
      <c r="A189" s="415" t="n"/>
    </row>
    <row r="190" ht="12.75" customHeight="1" s="348">
      <c r="A190" s="415" t="n"/>
    </row>
    <row r="191" ht="12.75" customHeight="1" s="348">
      <c r="A191" s="415" t="n"/>
    </row>
    <row r="192" ht="12.75" customHeight="1" s="348">
      <c r="A192" s="415" t="n"/>
    </row>
    <row r="193" ht="12.75" customHeight="1" s="348">
      <c r="A193" s="415" t="n"/>
    </row>
    <row r="194" ht="12.75" customHeight="1" s="348">
      <c r="A194" s="415" t="n"/>
    </row>
    <row r="195" ht="12.75" customHeight="1" s="348">
      <c r="A195" s="415" t="n"/>
    </row>
    <row r="196" ht="12.75" customHeight="1" s="348">
      <c r="A196" s="415" t="n"/>
    </row>
    <row r="197" ht="12.75" customHeight="1" s="348">
      <c r="A197" s="415" t="n"/>
    </row>
    <row r="198" ht="12.75" customHeight="1" s="348">
      <c r="A198" s="415" t="n"/>
    </row>
    <row r="199" ht="12.75" customHeight="1" s="348">
      <c r="A199" s="415" t="n"/>
    </row>
    <row r="200" ht="12.75" customHeight="1" s="348">
      <c r="A200" s="415" t="n"/>
    </row>
    <row r="201" ht="12.75" customHeight="1" s="348">
      <c r="A201" s="415" t="n"/>
    </row>
    <row r="202" ht="12.75" customHeight="1" s="348">
      <c r="A202" s="415" t="n"/>
    </row>
    <row r="203" ht="12.75" customHeight="1" s="348">
      <c r="A203" s="415" t="n"/>
    </row>
    <row r="204" ht="12.75" customHeight="1" s="348">
      <c r="A204" s="415" t="n"/>
    </row>
    <row r="205" ht="12.75" customHeight="1" s="348">
      <c r="A205" s="415" t="n"/>
    </row>
    <row r="206" ht="12.75" customHeight="1" s="348">
      <c r="A206" s="415" t="n"/>
    </row>
    <row r="207" ht="12.75" customHeight="1" s="348">
      <c r="A207" s="415" t="n"/>
    </row>
    <row r="208" ht="12.75" customHeight="1" s="348">
      <c r="A208" s="415" t="n"/>
    </row>
    <row r="209" ht="12.75" customHeight="1" s="348">
      <c r="A209" s="415" t="n"/>
    </row>
    <row r="210" ht="12.75" customHeight="1" s="348">
      <c r="A210" s="415" t="n"/>
    </row>
    <row r="211" ht="12.75" customHeight="1" s="348">
      <c r="A211" s="415" t="n"/>
    </row>
    <row r="212" ht="12.75" customHeight="1" s="348">
      <c r="A212" s="415" t="n"/>
    </row>
    <row r="213" ht="12.75" customHeight="1" s="348">
      <c r="A213" s="415" t="n"/>
    </row>
    <row r="214" ht="12.75" customHeight="1" s="348">
      <c r="A214" s="415" t="n"/>
    </row>
    <row r="215" ht="12.75" customHeight="1" s="348">
      <c r="A215" s="415" t="n"/>
    </row>
    <row r="216" ht="12.75" customHeight="1" s="348">
      <c r="A216" s="415" t="n"/>
    </row>
    <row r="217" ht="12.75" customHeight="1" s="348">
      <c r="A217" s="415" t="n"/>
    </row>
    <row r="218" ht="12.75" customHeight="1" s="348">
      <c r="A218" s="415" t="n"/>
    </row>
    <row r="219" ht="12.75" customHeight="1" s="348">
      <c r="A219" s="415" t="n"/>
    </row>
    <row r="220" ht="12.75" customHeight="1" s="348">
      <c r="A220" s="415" t="n"/>
    </row>
    <row r="221" ht="12.75" customHeight="1" s="348">
      <c r="A221" s="415" t="n"/>
    </row>
    <row r="222" ht="12.75" customHeight="1" s="348">
      <c r="A222" s="415" t="n"/>
    </row>
    <row r="223" ht="12.75" customHeight="1" s="348">
      <c r="A223" s="415" t="n"/>
    </row>
    <row r="224" ht="12.75" customHeight="1" s="348">
      <c r="A224" s="415" t="n"/>
    </row>
    <row r="225" ht="12.75" customHeight="1" s="348">
      <c r="A225" s="415" t="n"/>
    </row>
    <row r="226" ht="12.75" customHeight="1" s="348">
      <c r="A226" s="415" t="n"/>
    </row>
    <row r="227" ht="12.75" customHeight="1" s="348">
      <c r="A227" s="415" t="n"/>
    </row>
    <row r="228" ht="12.75" customHeight="1" s="348">
      <c r="A228" s="415" t="n"/>
    </row>
    <row r="229" ht="12.75" customHeight="1" s="348">
      <c r="A229" s="415" t="n"/>
    </row>
    <row r="230" ht="12.75" customHeight="1" s="348">
      <c r="A230" s="415" t="n"/>
    </row>
    <row r="231" ht="12.75" customHeight="1" s="348">
      <c r="A231" s="415" t="n"/>
    </row>
    <row r="232" ht="12.75" customHeight="1" s="348">
      <c r="A232" s="415" t="n"/>
    </row>
    <row r="233" ht="12.75" customHeight="1" s="348">
      <c r="A233" s="415" t="n"/>
    </row>
    <row r="234" ht="12.75" customHeight="1" s="348">
      <c r="A234" s="415" t="n"/>
    </row>
    <row r="235" ht="12.75" customHeight="1" s="348">
      <c r="A235" s="415" t="n"/>
    </row>
    <row r="236" ht="12.75" customHeight="1" s="348">
      <c r="A236" s="415" t="n"/>
    </row>
    <row r="237" ht="12.75" customHeight="1" s="348">
      <c r="A237" s="415" t="n"/>
    </row>
    <row r="238" ht="12.75" customHeight="1" s="348">
      <c r="A238" s="415" t="n"/>
    </row>
    <row r="239" ht="12.75" customHeight="1" s="348">
      <c r="A239" s="415" t="n"/>
    </row>
    <row r="240" ht="12.75" customHeight="1" s="348">
      <c r="A240" s="415" t="n"/>
    </row>
    <row r="241" ht="12.75" customHeight="1" s="348">
      <c r="A241" s="415" t="n"/>
    </row>
    <row r="242" ht="12.75" customHeight="1" s="348">
      <c r="A242" s="415" t="n"/>
    </row>
    <row r="243" ht="12.75" customHeight="1" s="348">
      <c r="A243" s="415" t="n"/>
    </row>
    <row r="244" ht="12.75" customHeight="1" s="348">
      <c r="A244" s="415" t="n"/>
    </row>
    <row r="245" ht="12.75" customHeight="1" s="348">
      <c r="A245" s="415" t="n"/>
    </row>
    <row r="246" ht="12.75" customHeight="1" s="348">
      <c r="A246" s="415" t="n"/>
    </row>
    <row r="247" ht="12.75" customHeight="1" s="348">
      <c r="A247" s="415" t="n"/>
    </row>
    <row r="248" ht="12.75" customHeight="1" s="348">
      <c r="A248" s="415" t="n"/>
    </row>
    <row r="249" ht="12.75" customHeight="1" s="348">
      <c r="A249" s="415" t="n"/>
    </row>
    <row r="250" ht="12.75" customHeight="1" s="348">
      <c r="A250" s="415" t="n"/>
    </row>
    <row r="251" ht="12.75" customHeight="1" s="348">
      <c r="A251" s="415" t="n"/>
    </row>
    <row r="252" ht="12.75" customHeight="1" s="348">
      <c r="A252" s="415" t="n"/>
    </row>
    <row r="253" ht="12.75" customHeight="1" s="348">
      <c r="A253" s="415" t="n"/>
    </row>
    <row r="254" ht="12.75" customHeight="1" s="348">
      <c r="A254" s="415" t="n"/>
    </row>
    <row r="255" ht="12.75" customHeight="1" s="348">
      <c r="A255" s="415" t="n"/>
    </row>
    <row r="256" ht="12.75" customHeight="1" s="348">
      <c r="A256" s="415" t="n"/>
    </row>
    <row r="257" ht="12.75" customHeight="1" s="348">
      <c r="A257" s="415" t="n"/>
    </row>
    <row r="258" ht="12.75" customHeight="1" s="348">
      <c r="A258" s="415" t="n"/>
    </row>
    <row r="259" ht="12.75" customHeight="1" s="348">
      <c r="A259" s="415" t="n"/>
    </row>
    <row r="260" ht="12.75" customHeight="1" s="348">
      <c r="A260" s="415" t="n"/>
    </row>
    <row r="261" ht="12.75" customHeight="1" s="348">
      <c r="A261" s="415" t="n"/>
    </row>
    <row r="262" ht="12.75" customHeight="1" s="348">
      <c r="A262" s="415" t="n"/>
    </row>
    <row r="263" ht="12.75" customHeight="1" s="348">
      <c r="A263" s="415" t="n"/>
    </row>
    <row r="264" ht="12.75" customHeight="1" s="348">
      <c r="A264" s="415" t="n"/>
    </row>
    <row r="265" ht="12.75" customHeight="1" s="348">
      <c r="A265" s="415" t="n"/>
    </row>
    <row r="266" ht="12.75" customHeight="1" s="348">
      <c r="A266" s="415" t="n"/>
    </row>
    <row r="267" ht="12.75" customHeight="1" s="348">
      <c r="A267" s="415" t="n"/>
    </row>
    <row r="268" ht="12.75" customHeight="1" s="348">
      <c r="A268" s="415" t="n"/>
    </row>
    <row r="269" ht="12.75" customHeight="1" s="348">
      <c r="A269" s="415" t="n"/>
    </row>
    <row r="270" ht="12.75" customHeight="1" s="348">
      <c r="A270" s="415" t="n"/>
    </row>
    <row r="271" ht="12.75" customHeight="1" s="348">
      <c r="A271" s="415" t="n"/>
    </row>
    <row r="272" ht="12.75" customHeight="1" s="348">
      <c r="A272" s="415" t="n"/>
    </row>
    <row r="273" ht="12.75" customHeight="1" s="348">
      <c r="A273" s="415" t="n"/>
    </row>
    <row r="274" ht="12.75" customHeight="1" s="348">
      <c r="A274" s="415" t="n"/>
    </row>
    <row r="275" ht="12.75" customHeight="1" s="348">
      <c r="A275" s="415" t="n"/>
    </row>
    <row r="276" ht="12.75" customHeight="1" s="348">
      <c r="A276" s="415" t="n"/>
    </row>
    <row r="277" ht="12.75" customHeight="1" s="348">
      <c r="A277" s="415" t="n"/>
    </row>
    <row r="278" ht="12.75" customHeight="1" s="348">
      <c r="A278" s="415" t="n"/>
    </row>
    <row r="279" ht="12.75" customHeight="1" s="348">
      <c r="A279" s="415" t="n"/>
    </row>
    <row r="280" ht="12.75" customHeight="1" s="348">
      <c r="A280" s="415" t="n"/>
    </row>
    <row r="281" ht="12.75" customHeight="1" s="348">
      <c r="A281" s="415" t="n"/>
    </row>
    <row r="282" ht="12.75" customHeight="1" s="348">
      <c r="A282" s="415" t="n"/>
    </row>
    <row r="283" ht="12.75" customHeight="1" s="348">
      <c r="A283" s="415" t="n"/>
    </row>
    <row r="284" ht="12.75" customHeight="1" s="348">
      <c r="A284" s="415" t="n"/>
    </row>
    <row r="285" ht="12.75" customHeight="1" s="348">
      <c r="A285" s="415" t="n"/>
    </row>
    <row r="286" ht="12.75" customHeight="1" s="348">
      <c r="A286" s="415" t="n"/>
    </row>
    <row r="287" ht="12.75" customHeight="1" s="348">
      <c r="A287" s="415" t="n"/>
    </row>
    <row r="288" ht="12.75" customHeight="1" s="348">
      <c r="A288" s="415" t="n"/>
    </row>
    <row r="289" ht="12.75" customHeight="1" s="348">
      <c r="A289" s="415" t="n"/>
    </row>
    <row r="290" ht="12.75" customHeight="1" s="348">
      <c r="A290" s="415" t="n"/>
    </row>
    <row r="291" ht="12.75" customHeight="1" s="348">
      <c r="A291" s="415" t="n"/>
    </row>
    <row r="292" ht="12.75" customHeight="1" s="348">
      <c r="A292" s="415" t="n"/>
    </row>
    <row r="293" ht="12.75" customHeight="1" s="348">
      <c r="A293" s="415" t="n"/>
    </row>
    <row r="294" ht="12.75" customHeight="1" s="348">
      <c r="A294" s="415" t="n"/>
    </row>
    <row r="295" ht="12.75" customHeight="1" s="348">
      <c r="A295" s="415" t="n"/>
    </row>
    <row r="296" ht="12.75" customHeight="1" s="348">
      <c r="A296" s="415" t="n"/>
    </row>
    <row r="297" ht="12.75" customHeight="1" s="348">
      <c r="A297" s="415" t="n"/>
    </row>
    <row r="298" ht="12.75" customHeight="1" s="348">
      <c r="A298" s="415" t="n"/>
    </row>
    <row r="299" ht="12.75" customHeight="1" s="348">
      <c r="A299" s="415" t="n"/>
    </row>
    <row r="300" ht="12.75" customHeight="1" s="348">
      <c r="A300" s="415" t="n"/>
    </row>
    <row r="301" ht="12.75" customHeight="1" s="348">
      <c r="A301" s="415" t="n"/>
    </row>
    <row r="302" ht="12.75" customHeight="1" s="348">
      <c r="A302" s="415" t="n"/>
    </row>
    <row r="303" ht="12.75" customHeight="1" s="348">
      <c r="A303" s="415" t="n"/>
    </row>
    <row r="304" ht="12.75" customHeight="1" s="348">
      <c r="A304" s="415" t="n"/>
    </row>
    <row r="305" ht="12.75" customHeight="1" s="348">
      <c r="A305" s="415" t="n"/>
    </row>
    <row r="306" ht="12.75" customHeight="1" s="348">
      <c r="A306" s="415" t="n"/>
    </row>
    <row r="307" ht="12.75" customHeight="1" s="348">
      <c r="A307" s="415" t="n"/>
    </row>
    <row r="308" ht="12.75" customHeight="1" s="348">
      <c r="A308" s="415" t="n"/>
    </row>
    <row r="309" ht="12.75" customHeight="1" s="348">
      <c r="A309" s="415" t="n"/>
    </row>
    <row r="310" ht="12.75" customHeight="1" s="348">
      <c r="A310" s="415" t="n"/>
    </row>
    <row r="311" ht="12.75" customHeight="1" s="348">
      <c r="A311" s="415" t="n"/>
    </row>
    <row r="312" ht="12.75" customHeight="1" s="348">
      <c r="A312" s="415" t="n"/>
    </row>
    <row r="313" ht="12.75" customHeight="1" s="348">
      <c r="A313" s="415" t="n"/>
    </row>
    <row r="314" ht="12.75" customHeight="1" s="348">
      <c r="A314" s="415" t="n"/>
    </row>
    <row r="315" ht="12.75" customHeight="1" s="348">
      <c r="A315" s="415" t="n"/>
    </row>
    <row r="316" ht="12.75" customHeight="1" s="348">
      <c r="A316" s="415" t="n"/>
    </row>
    <row r="317" ht="12.75" customHeight="1" s="348">
      <c r="A317" s="415" t="n"/>
    </row>
    <row r="318" ht="12.75" customHeight="1" s="348">
      <c r="A318" s="415" t="n"/>
    </row>
    <row r="319" ht="12.75" customHeight="1" s="348">
      <c r="A319" s="415" t="n"/>
    </row>
    <row r="320" ht="12.75" customHeight="1" s="348">
      <c r="A320" s="415" t="n"/>
    </row>
    <row r="321" ht="12.75" customHeight="1" s="348">
      <c r="A321" s="415" t="n"/>
    </row>
    <row r="322" ht="12.75" customHeight="1" s="348">
      <c r="A322" s="415" t="n"/>
    </row>
    <row r="323" ht="12.75" customHeight="1" s="348">
      <c r="A323" s="415" t="n"/>
    </row>
    <row r="324" ht="12.75" customHeight="1" s="348">
      <c r="A324" s="415" t="n"/>
    </row>
    <row r="325" ht="12.75" customHeight="1" s="348">
      <c r="A325" s="415" t="n"/>
    </row>
    <row r="326" ht="12.75" customHeight="1" s="348">
      <c r="A326" s="415" t="n"/>
    </row>
    <row r="327" ht="12.75" customHeight="1" s="348">
      <c r="A327" s="415" t="n"/>
    </row>
    <row r="328" ht="12.75" customHeight="1" s="348">
      <c r="A328" s="415" t="n"/>
    </row>
    <row r="329" ht="12.75" customHeight="1" s="348">
      <c r="A329" s="415" t="n"/>
    </row>
    <row r="330" ht="12.75" customHeight="1" s="348">
      <c r="A330" s="415" t="n"/>
    </row>
    <row r="331" ht="12.75" customHeight="1" s="348">
      <c r="A331" s="415" t="n"/>
    </row>
    <row r="332" ht="12.75" customHeight="1" s="348">
      <c r="A332" s="415" t="n"/>
    </row>
    <row r="333" ht="12.75" customHeight="1" s="348">
      <c r="A333" s="415" t="n"/>
    </row>
    <row r="334" ht="12.75" customHeight="1" s="348">
      <c r="A334" s="415" t="n"/>
    </row>
    <row r="335" ht="12.75" customHeight="1" s="348">
      <c r="A335" s="415" t="n"/>
    </row>
    <row r="336" ht="12.75" customHeight="1" s="348">
      <c r="A336" s="415" t="n"/>
    </row>
    <row r="337" ht="12.75" customHeight="1" s="348">
      <c r="A337" s="415" t="n"/>
    </row>
    <row r="338" ht="12.75" customHeight="1" s="348">
      <c r="A338" s="415" t="n"/>
    </row>
    <row r="339" ht="12.75" customHeight="1" s="348">
      <c r="A339" s="415" t="n"/>
    </row>
    <row r="340" ht="12.75" customHeight="1" s="348">
      <c r="A340" s="415" t="n"/>
    </row>
    <row r="341" ht="12.75" customHeight="1" s="348">
      <c r="A341" s="415" t="n"/>
    </row>
    <row r="342" ht="12.75" customHeight="1" s="348">
      <c r="A342" s="415" t="n"/>
    </row>
    <row r="343" ht="12.75" customHeight="1" s="348">
      <c r="A343" s="415" t="n"/>
    </row>
    <row r="344" ht="12.75" customHeight="1" s="348">
      <c r="A344" s="415" t="n"/>
    </row>
    <row r="345" ht="12.75" customHeight="1" s="348">
      <c r="A345" s="415" t="n"/>
    </row>
    <row r="346" ht="12.75" customHeight="1" s="348">
      <c r="A346" s="415" t="n"/>
    </row>
    <row r="347" ht="12.75" customHeight="1" s="348">
      <c r="A347" s="415" t="n"/>
    </row>
    <row r="348" ht="12.75" customHeight="1" s="348">
      <c r="A348" s="415" t="n"/>
    </row>
    <row r="349" ht="12.75" customHeight="1" s="348">
      <c r="A349" s="415" t="n"/>
    </row>
    <row r="350" ht="12.75" customHeight="1" s="348">
      <c r="A350" s="415" t="n"/>
    </row>
    <row r="351" ht="12.75" customHeight="1" s="348">
      <c r="A351" s="415" t="n"/>
    </row>
    <row r="352" ht="12.75" customHeight="1" s="348">
      <c r="A352" s="415" t="n"/>
    </row>
    <row r="353" ht="12.75" customHeight="1" s="348">
      <c r="A353" s="415" t="n"/>
    </row>
    <row r="354" ht="12.75" customHeight="1" s="348">
      <c r="A354" s="415" t="n"/>
    </row>
    <row r="355" ht="12.75" customHeight="1" s="348">
      <c r="A355" s="415" t="n"/>
    </row>
    <row r="356" ht="12.75" customHeight="1" s="348">
      <c r="A356" s="415" t="n"/>
    </row>
    <row r="357" ht="12.75" customHeight="1" s="348">
      <c r="A357" s="415" t="n"/>
    </row>
    <row r="358" ht="12.75" customHeight="1" s="348">
      <c r="A358" s="415" t="n"/>
    </row>
    <row r="359" ht="12.75" customHeight="1" s="348">
      <c r="A359" s="415" t="n"/>
    </row>
    <row r="360" ht="12.75" customHeight="1" s="348">
      <c r="A360" s="415" t="n"/>
    </row>
    <row r="361" ht="12.75" customHeight="1" s="348">
      <c r="A361" s="415" t="n"/>
    </row>
    <row r="362" ht="12.75" customHeight="1" s="348">
      <c r="A362" s="415" t="n"/>
    </row>
    <row r="363" ht="12.75" customHeight="1" s="348">
      <c r="A363" s="415" t="n"/>
    </row>
    <row r="364" ht="12.75" customHeight="1" s="348">
      <c r="A364" s="415" t="n"/>
    </row>
    <row r="365" ht="12.75" customHeight="1" s="348">
      <c r="A365" s="415" t="n"/>
    </row>
    <row r="366" ht="12.75" customHeight="1" s="348">
      <c r="A366" s="415" t="n"/>
    </row>
    <row r="367" ht="12.75" customHeight="1" s="348">
      <c r="A367" s="415" t="n"/>
    </row>
    <row r="368" ht="12.75" customHeight="1" s="348">
      <c r="A368" s="415" t="n"/>
    </row>
    <row r="369" ht="12.75" customHeight="1" s="348">
      <c r="A369" s="415" t="n"/>
    </row>
    <row r="370" ht="12.75" customHeight="1" s="348">
      <c r="A370" s="415" t="n"/>
    </row>
    <row r="371" ht="12.75" customHeight="1" s="348">
      <c r="A371" s="415" t="n"/>
    </row>
    <row r="372" ht="12.75" customHeight="1" s="348">
      <c r="A372" s="415" t="n"/>
    </row>
    <row r="373" ht="12.75" customHeight="1" s="348">
      <c r="A373" s="415" t="n"/>
    </row>
    <row r="374" ht="12.75" customHeight="1" s="348">
      <c r="A374" s="415" t="n"/>
    </row>
    <row r="375" ht="12.75" customHeight="1" s="348">
      <c r="A375" s="415" t="n"/>
    </row>
    <row r="376" ht="12.75" customHeight="1" s="348">
      <c r="A376" s="415" t="n"/>
    </row>
    <row r="377" ht="12.75" customHeight="1" s="348">
      <c r="A377" s="415" t="n"/>
    </row>
    <row r="378" ht="12.75" customHeight="1" s="348">
      <c r="A378" s="415" t="n"/>
    </row>
    <row r="379" ht="12.75" customHeight="1" s="348">
      <c r="A379" s="415" t="n"/>
    </row>
    <row r="380" ht="12.75" customHeight="1" s="348">
      <c r="A380" s="415" t="n"/>
    </row>
    <row r="381" ht="12.75" customHeight="1" s="348">
      <c r="A381" s="415" t="n"/>
    </row>
    <row r="382" ht="12.75" customHeight="1" s="348">
      <c r="A382" s="415" t="n"/>
    </row>
    <row r="383" ht="12.75" customHeight="1" s="348">
      <c r="A383" s="415" t="n"/>
    </row>
    <row r="384" ht="12.75" customHeight="1" s="348">
      <c r="A384" s="415" t="n"/>
    </row>
    <row r="385" ht="12.75" customHeight="1" s="348">
      <c r="A385" s="415" t="n"/>
    </row>
    <row r="386" ht="12.75" customHeight="1" s="348">
      <c r="A386" s="415" t="n"/>
    </row>
    <row r="387" ht="12.75" customHeight="1" s="348">
      <c r="A387" s="415" t="n"/>
    </row>
    <row r="388" ht="12.75" customHeight="1" s="348">
      <c r="A388" s="415" t="n"/>
    </row>
    <row r="389" ht="12.75" customHeight="1" s="348">
      <c r="A389" s="415" t="n"/>
    </row>
    <row r="390" ht="12.75" customHeight="1" s="348">
      <c r="A390" s="415" t="n"/>
    </row>
    <row r="391" ht="12.75" customHeight="1" s="348">
      <c r="A391" s="415" t="n"/>
    </row>
    <row r="392" ht="12.75" customHeight="1" s="348">
      <c r="A392" s="415" t="n"/>
    </row>
    <row r="393" ht="12.75" customHeight="1" s="348">
      <c r="A393" s="415" t="n"/>
    </row>
    <row r="394" ht="12.75" customHeight="1" s="348">
      <c r="A394" s="415" t="n"/>
    </row>
    <row r="395" ht="12.75" customHeight="1" s="348">
      <c r="A395" s="415" t="n"/>
    </row>
    <row r="396" ht="12.75" customHeight="1" s="348">
      <c r="A396" s="415" t="n"/>
    </row>
    <row r="397" ht="12.75" customHeight="1" s="348">
      <c r="A397" s="415" t="n"/>
    </row>
    <row r="398" ht="12.75" customHeight="1" s="348">
      <c r="A398" s="415" t="n"/>
    </row>
    <row r="399" ht="12.75" customHeight="1" s="348">
      <c r="A399" s="415" t="n"/>
    </row>
    <row r="400" ht="12.75" customHeight="1" s="348">
      <c r="A400" s="415" t="n"/>
    </row>
    <row r="401" ht="12.75" customHeight="1" s="348">
      <c r="A401" s="415" t="n"/>
    </row>
    <row r="402" ht="12.75" customHeight="1" s="348">
      <c r="A402" s="415" t="n"/>
    </row>
    <row r="403" ht="12.75" customHeight="1" s="348">
      <c r="A403" s="415" t="n"/>
    </row>
    <row r="404" ht="12.75" customHeight="1" s="348">
      <c r="A404" s="415" t="n"/>
    </row>
    <row r="405" ht="12.75" customHeight="1" s="348">
      <c r="A405" s="415" t="n"/>
    </row>
    <row r="406" ht="12.75" customHeight="1" s="348">
      <c r="A406" s="415" t="n"/>
    </row>
    <row r="407" ht="12.75" customHeight="1" s="348">
      <c r="A407" s="415" t="n"/>
    </row>
    <row r="408" ht="12.75" customHeight="1" s="348">
      <c r="A408" s="415" t="n"/>
    </row>
    <row r="409" ht="12.75" customHeight="1" s="348">
      <c r="A409" s="415" t="n"/>
    </row>
    <row r="410" ht="12.75" customHeight="1" s="348">
      <c r="A410" s="415" t="n"/>
    </row>
    <row r="411" ht="12.75" customHeight="1" s="348">
      <c r="A411" s="415" t="n"/>
    </row>
    <row r="412" ht="12.75" customHeight="1" s="348">
      <c r="A412" s="415" t="n"/>
    </row>
    <row r="413" ht="12.75" customHeight="1" s="348">
      <c r="A413" s="415" t="n"/>
    </row>
    <row r="414" ht="12.75" customHeight="1" s="348">
      <c r="A414" s="415" t="n"/>
    </row>
    <row r="415" ht="12.75" customHeight="1" s="348">
      <c r="A415" s="415" t="n"/>
    </row>
    <row r="416" ht="12.75" customHeight="1" s="348">
      <c r="A416" s="415" t="n"/>
    </row>
    <row r="417" ht="12.75" customHeight="1" s="348">
      <c r="A417" s="415" t="n"/>
    </row>
    <row r="418" ht="12.75" customHeight="1" s="348">
      <c r="A418" s="415" t="n"/>
    </row>
    <row r="419" ht="12.75" customHeight="1" s="348">
      <c r="A419" s="415" t="n"/>
    </row>
    <row r="420" ht="12.75" customHeight="1" s="348">
      <c r="A420" s="415" t="n"/>
    </row>
    <row r="421" ht="12.75" customHeight="1" s="348">
      <c r="A421" s="415" t="n"/>
    </row>
    <row r="422" ht="12.75" customHeight="1" s="348">
      <c r="A422" s="415" t="n"/>
    </row>
    <row r="423" ht="12.75" customHeight="1" s="348">
      <c r="A423" s="415" t="n"/>
    </row>
    <row r="424" ht="12.75" customHeight="1" s="348">
      <c r="A424" s="415" t="n"/>
    </row>
    <row r="425" ht="12.75" customHeight="1" s="348">
      <c r="A425" s="415" t="n"/>
    </row>
    <row r="426" ht="12.75" customHeight="1" s="348">
      <c r="A426" s="415" t="n"/>
    </row>
    <row r="427" ht="12.75" customHeight="1" s="348">
      <c r="A427" s="415" t="n"/>
    </row>
    <row r="428" ht="12.75" customHeight="1" s="348">
      <c r="A428" s="415" t="n"/>
    </row>
    <row r="429" ht="12.75" customHeight="1" s="348">
      <c r="A429" s="415" t="n"/>
    </row>
    <row r="430" ht="12.75" customHeight="1" s="348">
      <c r="A430" s="415" t="n"/>
    </row>
    <row r="431" ht="12.75" customHeight="1" s="348">
      <c r="A431" s="415" t="n"/>
    </row>
    <row r="432" ht="12.75" customHeight="1" s="348">
      <c r="A432" s="415" t="n"/>
    </row>
    <row r="433" ht="12.75" customHeight="1" s="348">
      <c r="A433" s="415" t="n"/>
    </row>
    <row r="434" ht="12.75" customHeight="1" s="348">
      <c r="A434" s="415" t="n"/>
    </row>
    <row r="435" ht="12.75" customHeight="1" s="348">
      <c r="A435" s="415" t="n"/>
    </row>
    <row r="436" ht="12.75" customHeight="1" s="348">
      <c r="A436" s="415" t="n"/>
    </row>
    <row r="437" ht="12.75" customHeight="1" s="348">
      <c r="A437" s="415" t="n"/>
    </row>
    <row r="438" ht="12.75" customHeight="1" s="348">
      <c r="A438" s="415" t="n"/>
    </row>
    <row r="439" ht="12.75" customHeight="1" s="348">
      <c r="A439" s="415" t="n"/>
    </row>
    <row r="440" ht="12.75" customHeight="1" s="348">
      <c r="A440" s="415" t="n"/>
    </row>
    <row r="441" ht="12.75" customHeight="1" s="348">
      <c r="A441" s="415" t="n"/>
    </row>
    <row r="442" ht="12.75" customHeight="1" s="348">
      <c r="A442" s="415" t="n"/>
    </row>
    <row r="443" ht="12.75" customHeight="1" s="348">
      <c r="A443" s="415" t="n"/>
    </row>
    <row r="444" ht="12.75" customHeight="1" s="348">
      <c r="A444" s="415" t="n"/>
    </row>
    <row r="445" ht="12.75" customHeight="1" s="348">
      <c r="A445" s="415" t="n"/>
    </row>
    <row r="446" ht="12.75" customHeight="1" s="348">
      <c r="A446" s="415" t="n"/>
    </row>
    <row r="447" ht="12.75" customHeight="1" s="348">
      <c r="A447" s="415" t="n"/>
    </row>
    <row r="448" ht="12.75" customHeight="1" s="348">
      <c r="A448" s="415" t="n"/>
    </row>
    <row r="449" ht="12.75" customHeight="1" s="348">
      <c r="A449" s="415" t="n"/>
    </row>
    <row r="450" ht="12.75" customHeight="1" s="348">
      <c r="A450" s="415" t="n"/>
    </row>
    <row r="451" ht="12.75" customHeight="1" s="348">
      <c r="A451" s="415" t="n"/>
    </row>
    <row r="452" ht="12.75" customHeight="1" s="348">
      <c r="A452" s="415" t="n"/>
    </row>
    <row r="453" ht="12.75" customHeight="1" s="348">
      <c r="A453" s="415" t="n"/>
    </row>
    <row r="454" ht="12.75" customHeight="1" s="348">
      <c r="A454" s="415" t="n"/>
    </row>
    <row r="455" ht="12.75" customHeight="1" s="348">
      <c r="A455" s="415" t="n"/>
    </row>
    <row r="456" ht="12.75" customHeight="1" s="348">
      <c r="A456" s="415" t="n"/>
    </row>
    <row r="457" ht="12.75" customHeight="1" s="348">
      <c r="A457" s="415" t="n"/>
    </row>
    <row r="458" ht="12.75" customHeight="1" s="348">
      <c r="A458" s="415" t="n"/>
    </row>
    <row r="459" ht="12.75" customHeight="1" s="348">
      <c r="A459" s="415" t="n"/>
    </row>
    <row r="460" ht="12.75" customHeight="1" s="348">
      <c r="A460" s="415" t="n"/>
    </row>
    <row r="461" ht="12.75" customHeight="1" s="348">
      <c r="A461" s="415" t="n"/>
    </row>
    <row r="462" ht="12.75" customHeight="1" s="348">
      <c r="A462" s="415" t="n"/>
    </row>
    <row r="463" ht="12.75" customHeight="1" s="348">
      <c r="A463" s="415" t="n"/>
    </row>
    <row r="464" ht="12.75" customHeight="1" s="348">
      <c r="A464" s="415" t="n"/>
    </row>
    <row r="465" ht="12.75" customHeight="1" s="348">
      <c r="A465" s="415" t="n"/>
    </row>
    <row r="466" ht="12.75" customHeight="1" s="348">
      <c r="A466" s="415" t="n"/>
    </row>
    <row r="467" ht="12.75" customHeight="1" s="348">
      <c r="A467" s="415" t="n"/>
    </row>
    <row r="468" ht="12.75" customHeight="1" s="348">
      <c r="A468" s="415" t="n"/>
    </row>
    <row r="469" ht="12.75" customHeight="1" s="348">
      <c r="A469" s="415" t="n"/>
    </row>
    <row r="470" ht="12.75" customHeight="1" s="348">
      <c r="A470" s="415" t="n"/>
    </row>
    <row r="471" ht="12.75" customHeight="1" s="348">
      <c r="A471" s="415" t="n"/>
    </row>
    <row r="472" ht="12.75" customHeight="1" s="348">
      <c r="A472" s="415" t="n"/>
    </row>
    <row r="473" ht="12.75" customHeight="1" s="348">
      <c r="A473" s="415" t="n"/>
    </row>
    <row r="474" ht="12.75" customHeight="1" s="348">
      <c r="A474" s="415" t="n"/>
    </row>
    <row r="475" ht="12.75" customHeight="1" s="348">
      <c r="A475" s="415" t="n"/>
    </row>
    <row r="476" ht="12.75" customHeight="1" s="348">
      <c r="A476" s="415" t="n"/>
    </row>
    <row r="477" ht="12.75" customHeight="1" s="348">
      <c r="A477" s="415" t="n"/>
    </row>
    <row r="478" ht="12.75" customHeight="1" s="348">
      <c r="A478" s="415" t="n"/>
    </row>
    <row r="479" ht="12.75" customHeight="1" s="348">
      <c r="A479" s="415" t="n"/>
    </row>
    <row r="480" ht="12.75" customHeight="1" s="348">
      <c r="A480" s="415" t="n"/>
    </row>
    <row r="481" ht="12.75" customHeight="1" s="348">
      <c r="A481" s="415" t="n"/>
    </row>
    <row r="482" ht="12.75" customHeight="1" s="348">
      <c r="A482" s="415" t="n"/>
    </row>
    <row r="483" ht="12.75" customHeight="1" s="348">
      <c r="A483" s="415" t="n"/>
    </row>
    <row r="484" ht="12.75" customHeight="1" s="348">
      <c r="A484" s="415" t="n"/>
    </row>
    <row r="485" ht="12.75" customHeight="1" s="348">
      <c r="A485" s="415" t="n"/>
    </row>
    <row r="486" ht="12.75" customHeight="1" s="348">
      <c r="A486" s="415" t="n"/>
    </row>
    <row r="487" ht="12.75" customHeight="1" s="348">
      <c r="A487" s="415" t="n"/>
    </row>
    <row r="488" ht="12.75" customHeight="1" s="348">
      <c r="A488" s="415" t="n"/>
    </row>
    <row r="489" ht="12.75" customHeight="1" s="348">
      <c r="A489" s="415" t="n"/>
    </row>
    <row r="490" ht="12.75" customHeight="1" s="348">
      <c r="A490" s="415" t="n"/>
    </row>
    <row r="491" ht="12.75" customHeight="1" s="348">
      <c r="A491" s="415" t="n"/>
    </row>
    <row r="492" ht="12.75" customHeight="1" s="348">
      <c r="A492" s="415" t="n"/>
    </row>
    <row r="493" ht="12.75" customHeight="1" s="348">
      <c r="A493" s="415" t="n"/>
    </row>
    <row r="494" ht="12.75" customHeight="1" s="348">
      <c r="A494" s="415" t="n"/>
    </row>
    <row r="495" ht="12.75" customHeight="1" s="348">
      <c r="A495" s="415" t="n"/>
    </row>
    <row r="496" ht="12.75" customHeight="1" s="348">
      <c r="A496" s="415" t="n"/>
    </row>
    <row r="497" ht="12.75" customHeight="1" s="348">
      <c r="A497" s="415" t="n"/>
    </row>
    <row r="498" ht="12.75" customHeight="1" s="348">
      <c r="A498" s="415" t="n"/>
    </row>
    <row r="499" ht="12.75" customHeight="1" s="348">
      <c r="A499" s="415" t="n"/>
    </row>
    <row r="500" ht="12.75" customHeight="1" s="348">
      <c r="A500" s="415" t="n"/>
    </row>
    <row r="501" ht="12.75" customHeight="1" s="348">
      <c r="A501" s="415" t="n"/>
    </row>
    <row r="502" ht="12.75" customHeight="1" s="348">
      <c r="A502" s="415" t="n"/>
    </row>
    <row r="503" ht="12.75" customHeight="1" s="348">
      <c r="A503" s="415" t="n"/>
    </row>
    <row r="504" ht="12.75" customHeight="1" s="348">
      <c r="A504" s="415" t="n"/>
    </row>
    <row r="505" ht="12.75" customHeight="1" s="348">
      <c r="A505" s="415" t="n"/>
    </row>
    <row r="506" ht="12.75" customHeight="1" s="348">
      <c r="A506" s="415" t="n"/>
    </row>
    <row r="507" ht="12.75" customHeight="1" s="348">
      <c r="A507" s="415" t="n"/>
    </row>
    <row r="508" ht="12.75" customHeight="1" s="348">
      <c r="A508" s="415" t="n"/>
    </row>
    <row r="509" ht="12.75" customHeight="1" s="348">
      <c r="A509" s="415" t="n"/>
    </row>
    <row r="510" ht="12.75" customHeight="1" s="348">
      <c r="A510" s="415" t="n"/>
    </row>
    <row r="511" ht="12.75" customHeight="1" s="348">
      <c r="A511" s="415" t="n"/>
    </row>
    <row r="512" ht="12.75" customHeight="1" s="348">
      <c r="A512" s="415" t="n"/>
    </row>
    <row r="513" ht="12.75" customHeight="1" s="348">
      <c r="A513" s="415" t="n"/>
    </row>
    <row r="514" ht="12.75" customHeight="1" s="348">
      <c r="A514" s="415" t="n"/>
    </row>
    <row r="515" ht="12.75" customHeight="1" s="348">
      <c r="A515" s="415" t="n"/>
    </row>
    <row r="516" ht="12.75" customHeight="1" s="348">
      <c r="A516" s="415" t="n"/>
    </row>
    <row r="517" ht="12.75" customHeight="1" s="348">
      <c r="A517" s="415" t="n"/>
    </row>
    <row r="518" ht="12.75" customHeight="1" s="348">
      <c r="A518" s="415" t="n"/>
    </row>
    <row r="519" ht="12.75" customHeight="1" s="348">
      <c r="A519" s="415" t="n"/>
    </row>
    <row r="520" ht="12.75" customHeight="1" s="348">
      <c r="A520" s="415" t="n"/>
    </row>
    <row r="521" ht="12.75" customHeight="1" s="348">
      <c r="A521" s="415" t="n"/>
    </row>
    <row r="522" ht="12.75" customHeight="1" s="348">
      <c r="A522" s="415" t="n"/>
    </row>
    <row r="523" ht="12.75" customHeight="1" s="348">
      <c r="A523" s="415" t="n"/>
    </row>
    <row r="524" ht="12.75" customHeight="1" s="348">
      <c r="A524" s="415" t="n"/>
    </row>
    <row r="525" ht="12.75" customHeight="1" s="348">
      <c r="A525" s="415" t="n"/>
    </row>
    <row r="526" ht="12.75" customHeight="1" s="348">
      <c r="A526" s="415" t="n"/>
    </row>
    <row r="527" ht="12.75" customHeight="1" s="348">
      <c r="A527" s="415" t="n"/>
    </row>
    <row r="528" ht="12.75" customHeight="1" s="348">
      <c r="A528" s="415" t="n"/>
    </row>
    <row r="529" ht="12.75" customHeight="1" s="348">
      <c r="A529" s="415" t="n"/>
    </row>
    <row r="530" ht="12.75" customHeight="1" s="348">
      <c r="A530" s="415" t="n"/>
    </row>
    <row r="531" ht="12.75" customHeight="1" s="348">
      <c r="A531" s="415" t="n"/>
    </row>
    <row r="532" ht="12.75" customHeight="1" s="348">
      <c r="A532" s="415" t="n"/>
    </row>
    <row r="533" ht="12.75" customHeight="1" s="348">
      <c r="A533" s="415" t="n"/>
    </row>
    <row r="534" ht="12.75" customHeight="1" s="348">
      <c r="A534" s="415" t="n"/>
    </row>
    <row r="535" ht="12.75" customHeight="1" s="348">
      <c r="A535" s="415" t="n"/>
    </row>
    <row r="536" ht="12.75" customHeight="1" s="348">
      <c r="A536" s="415" t="n"/>
    </row>
    <row r="537" ht="12.75" customHeight="1" s="348">
      <c r="A537" s="415" t="n"/>
    </row>
    <row r="538" ht="12.75" customHeight="1" s="348">
      <c r="A538" s="415" t="n"/>
    </row>
    <row r="539" ht="12.75" customHeight="1" s="348">
      <c r="A539" s="415" t="n"/>
    </row>
    <row r="540" ht="12.75" customHeight="1" s="348">
      <c r="A540" s="415" t="n"/>
    </row>
    <row r="541" ht="12.75" customHeight="1" s="348">
      <c r="A541" s="415" t="n"/>
    </row>
    <row r="542" ht="12.75" customHeight="1" s="348">
      <c r="A542" s="415" t="n"/>
    </row>
    <row r="543" ht="12.75" customHeight="1" s="348">
      <c r="A543" s="415" t="n"/>
    </row>
    <row r="544" ht="12.75" customHeight="1" s="348">
      <c r="A544" s="415" t="n"/>
    </row>
    <row r="545" ht="12.75" customHeight="1" s="348">
      <c r="A545" s="415" t="n"/>
    </row>
    <row r="546" ht="12.75" customHeight="1" s="348">
      <c r="A546" s="415" t="n"/>
    </row>
    <row r="547" ht="12.75" customHeight="1" s="348">
      <c r="A547" s="415" t="n"/>
    </row>
    <row r="548" ht="12.75" customHeight="1" s="348">
      <c r="A548" s="415" t="n"/>
    </row>
    <row r="549" ht="12.75" customHeight="1" s="348">
      <c r="A549" s="415" t="n"/>
    </row>
    <row r="550" ht="12.75" customHeight="1" s="348">
      <c r="A550" s="415" t="n"/>
    </row>
    <row r="551" ht="12.75" customHeight="1" s="348">
      <c r="A551" s="415" t="n"/>
    </row>
    <row r="552" ht="12.75" customHeight="1" s="348">
      <c r="A552" s="415" t="n"/>
    </row>
    <row r="553" ht="12.75" customHeight="1" s="348">
      <c r="A553" s="415" t="n"/>
    </row>
    <row r="554" ht="12.75" customHeight="1" s="348">
      <c r="A554" s="415" t="n"/>
    </row>
    <row r="555" ht="12.75" customHeight="1" s="348">
      <c r="A555" s="415" t="n"/>
    </row>
    <row r="556" ht="12.75" customHeight="1" s="348">
      <c r="A556" s="415" t="n"/>
    </row>
    <row r="557" ht="12.75" customHeight="1" s="348">
      <c r="A557" s="415" t="n"/>
    </row>
    <row r="558" ht="12.75" customHeight="1" s="348">
      <c r="A558" s="415" t="n"/>
    </row>
    <row r="559" ht="12.75" customHeight="1" s="348">
      <c r="A559" s="415" t="n"/>
    </row>
    <row r="560" ht="12.75" customHeight="1" s="348">
      <c r="A560" s="415" t="n"/>
    </row>
    <row r="561" ht="12.75" customHeight="1" s="348">
      <c r="A561" s="415" t="n"/>
    </row>
    <row r="562" ht="12.75" customHeight="1" s="348">
      <c r="A562" s="415" t="n"/>
    </row>
    <row r="563" ht="12.75" customHeight="1" s="348">
      <c r="A563" s="415" t="n"/>
    </row>
    <row r="564" ht="12.75" customHeight="1" s="348">
      <c r="A564" s="415" t="n"/>
    </row>
    <row r="565" ht="12.75" customHeight="1" s="348">
      <c r="A565" s="415" t="n"/>
    </row>
    <row r="566" ht="12.75" customHeight="1" s="348">
      <c r="A566" s="415" t="n"/>
    </row>
    <row r="567" ht="12.75" customHeight="1" s="348">
      <c r="A567" s="415" t="n"/>
    </row>
    <row r="568" ht="12.75" customHeight="1" s="348">
      <c r="A568" s="415" t="n"/>
    </row>
    <row r="569" ht="12.75" customHeight="1" s="348">
      <c r="A569" s="415" t="n"/>
    </row>
    <row r="570" ht="12.75" customHeight="1" s="348">
      <c r="A570" s="415" t="n"/>
    </row>
    <row r="571" ht="12.75" customHeight="1" s="348">
      <c r="A571" s="415" t="n"/>
    </row>
    <row r="572" ht="12.75" customHeight="1" s="348">
      <c r="A572" s="415" t="n"/>
    </row>
    <row r="573" ht="12.75" customHeight="1" s="348">
      <c r="A573" s="415" t="n"/>
    </row>
    <row r="574" ht="12.75" customHeight="1" s="348">
      <c r="A574" s="415" t="n"/>
    </row>
    <row r="575" ht="12.75" customHeight="1" s="348">
      <c r="A575" s="415" t="n"/>
    </row>
    <row r="576" ht="12.75" customHeight="1" s="348">
      <c r="A576" s="415" t="n"/>
    </row>
    <row r="577" ht="12.75" customHeight="1" s="348">
      <c r="A577" s="415" t="n"/>
    </row>
    <row r="578" ht="12.75" customHeight="1" s="348">
      <c r="A578" s="415" t="n"/>
    </row>
    <row r="579" ht="12.75" customHeight="1" s="348">
      <c r="A579" s="415" t="n"/>
    </row>
    <row r="580" ht="12.75" customHeight="1" s="348">
      <c r="A580" s="415" t="n"/>
    </row>
    <row r="581" ht="12.75" customHeight="1" s="348">
      <c r="A581" s="415" t="n"/>
    </row>
    <row r="582" ht="12.75" customHeight="1" s="348">
      <c r="A582" s="415" t="n"/>
    </row>
    <row r="583" ht="12.75" customHeight="1" s="348">
      <c r="A583" s="415" t="n"/>
    </row>
    <row r="584" ht="12.75" customHeight="1" s="348">
      <c r="A584" s="415" t="n"/>
    </row>
    <row r="585" ht="12.75" customHeight="1" s="348">
      <c r="A585" s="415" t="n"/>
    </row>
    <row r="586" ht="12.75" customHeight="1" s="348">
      <c r="A586" s="415" t="n"/>
    </row>
    <row r="587" ht="12.75" customHeight="1" s="348">
      <c r="A587" s="415" t="n"/>
    </row>
    <row r="588" ht="12.75" customHeight="1" s="348">
      <c r="A588" s="415" t="n"/>
    </row>
    <row r="589" ht="12.75" customHeight="1" s="348">
      <c r="A589" s="415" t="n"/>
    </row>
    <row r="590" ht="12.75" customHeight="1" s="348">
      <c r="A590" s="415" t="n"/>
    </row>
    <row r="591" ht="12.75" customHeight="1" s="348">
      <c r="A591" s="415" t="n"/>
    </row>
    <row r="592" ht="12.75" customHeight="1" s="348">
      <c r="A592" s="415" t="n"/>
    </row>
    <row r="593" ht="12.75" customHeight="1" s="348">
      <c r="A593" s="415" t="n"/>
    </row>
    <row r="594" ht="12.75" customHeight="1" s="348">
      <c r="A594" s="415" t="n"/>
    </row>
    <row r="595" ht="12.75" customHeight="1" s="348">
      <c r="A595" s="415" t="n"/>
    </row>
    <row r="596" ht="12.75" customHeight="1" s="348">
      <c r="A596" s="415" t="n"/>
    </row>
    <row r="597" ht="12.75" customHeight="1" s="348">
      <c r="A597" s="415" t="n"/>
    </row>
    <row r="598" ht="12.75" customHeight="1" s="348">
      <c r="A598" s="415" t="n"/>
    </row>
    <row r="599" ht="12.75" customHeight="1" s="348">
      <c r="A599" s="415" t="n"/>
    </row>
    <row r="600" ht="12.75" customHeight="1" s="348">
      <c r="A600" s="415" t="n"/>
    </row>
    <row r="601" ht="12.75" customHeight="1" s="348">
      <c r="A601" s="415" t="n"/>
    </row>
    <row r="602" ht="12.75" customHeight="1" s="348">
      <c r="A602" s="415" t="n"/>
    </row>
    <row r="603" ht="12.75" customHeight="1" s="348">
      <c r="A603" s="415" t="n"/>
    </row>
    <row r="604" ht="12.75" customHeight="1" s="348">
      <c r="A604" s="415" t="n"/>
    </row>
    <row r="605" ht="12.75" customHeight="1" s="348">
      <c r="A605" s="415" t="n"/>
    </row>
    <row r="606" ht="12.75" customHeight="1" s="348">
      <c r="A606" s="415" t="n"/>
    </row>
    <row r="607" ht="12.75" customHeight="1" s="348">
      <c r="A607" s="415" t="n"/>
    </row>
    <row r="608" ht="12.75" customHeight="1" s="348">
      <c r="A608" s="415" t="n"/>
    </row>
    <row r="609" ht="12.75" customHeight="1" s="348">
      <c r="A609" s="415" t="n"/>
    </row>
    <row r="610" ht="12.75" customHeight="1" s="348">
      <c r="A610" s="415" t="n"/>
    </row>
    <row r="611" ht="12.75" customHeight="1" s="348">
      <c r="A611" s="415" t="n"/>
    </row>
    <row r="612" ht="12.75" customHeight="1" s="348">
      <c r="A612" s="415" t="n"/>
    </row>
    <row r="613" ht="12.75" customHeight="1" s="348">
      <c r="A613" s="415" t="n"/>
    </row>
    <row r="614" ht="12.75" customHeight="1" s="348">
      <c r="A614" s="415" t="n"/>
    </row>
    <row r="615" ht="12.75" customHeight="1" s="348">
      <c r="A615" s="415" t="n"/>
    </row>
    <row r="616" ht="12.75" customHeight="1" s="348">
      <c r="A616" s="415" t="n"/>
    </row>
    <row r="617" ht="12.75" customHeight="1" s="348">
      <c r="A617" s="415" t="n"/>
    </row>
    <row r="618" ht="12.75" customHeight="1" s="348">
      <c r="A618" s="415" t="n"/>
    </row>
    <row r="619" ht="12.75" customHeight="1" s="348">
      <c r="A619" s="415" t="n"/>
    </row>
    <row r="620" ht="12.75" customHeight="1" s="348">
      <c r="A620" s="415" t="n"/>
    </row>
    <row r="621" ht="12.75" customHeight="1" s="348">
      <c r="A621" s="415" t="n"/>
    </row>
    <row r="622" ht="12.75" customHeight="1" s="348">
      <c r="A622" s="415" t="n"/>
    </row>
    <row r="623" ht="12.75" customHeight="1" s="348">
      <c r="A623" s="415" t="n"/>
    </row>
    <row r="624" ht="12.75" customHeight="1" s="348">
      <c r="A624" s="415" t="n"/>
    </row>
    <row r="625" ht="12.75" customHeight="1" s="348">
      <c r="A625" s="415" t="n"/>
    </row>
    <row r="626" ht="12.75" customHeight="1" s="348">
      <c r="A626" s="415" t="n"/>
    </row>
    <row r="627" ht="12.75" customHeight="1" s="348">
      <c r="A627" s="415" t="n"/>
    </row>
    <row r="628" ht="12.75" customHeight="1" s="348">
      <c r="A628" s="415" t="n"/>
    </row>
    <row r="629" ht="12.75" customHeight="1" s="348">
      <c r="A629" s="415" t="n"/>
    </row>
    <row r="630" ht="12.75" customHeight="1" s="348">
      <c r="A630" s="415" t="n"/>
    </row>
    <row r="631" ht="12.75" customHeight="1" s="348">
      <c r="A631" s="415" t="n"/>
    </row>
    <row r="632" ht="12.75" customHeight="1" s="348">
      <c r="A632" s="415" t="n"/>
    </row>
    <row r="633" ht="12.75" customHeight="1" s="348">
      <c r="A633" s="415" t="n"/>
    </row>
    <row r="634" ht="12.75" customHeight="1" s="348">
      <c r="A634" s="415" t="n"/>
    </row>
    <row r="635" ht="12.75" customHeight="1" s="348">
      <c r="A635" s="415" t="n"/>
    </row>
    <row r="636" ht="12.75" customHeight="1" s="348">
      <c r="A636" s="415" t="n"/>
    </row>
    <row r="637" ht="12.75" customHeight="1" s="348">
      <c r="A637" s="415" t="n"/>
    </row>
    <row r="638" ht="12.75" customHeight="1" s="348">
      <c r="A638" s="415" t="n"/>
    </row>
    <row r="639" ht="12.75" customHeight="1" s="348">
      <c r="A639" s="415" t="n"/>
    </row>
    <row r="640" ht="12.75" customHeight="1" s="348">
      <c r="A640" s="415" t="n"/>
    </row>
    <row r="641" ht="12.75" customHeight="1" s="348">
      <c r="A641" s="415" t="n"/>
    </row>
    <row r="642" ht="12.75" customHeight="1" s="348">
      <c r="A642" s="415" t="n"/>
    </row>
    <row r="643" ht="12.75" customHeight="1" s="348">
      <c r="A643" s="415" t="n"/>
    </row>
    <row r="644" ht="12.75" customHeight="1" s="348">
      <c r="A644" s="415" t="n"/>
    </row>
    <row r="645" ht="12.75" customHeight="1" s="348">
      <c r="A645" s="415" t="n"/>
    </row>
    <row r="646" ht="12.75" customHeight="1" s="348">
      <c r="A646" s="415" t="n"/>
    </row>
    <row r="647" ht="12.75" customHeight="1" s="348">
      <c r="A647" s="415" t="n"/>
    </row>
    <row r="648" ht="12.75" customHeight="1" s="348">
      <c r="A648" s="415" t="n"/>
    </row>
    <row r="649" ht="12.75" customHeight="1" s="348">
      <c r="A649" s="415" t="n"/>
    </row>
    <row r="650" ht="12.75" customHeight="1" s="348">
      <c r="A650" s="415" t="n"/>
    </row>
    <row r="651" ht="12.75" customHeight="1" s="348">
      <c r="A651" s="415" t="n"/>
    </row>
    <row r="652" ht="12.75" customHeight="1" s="348">
      <c r="A652" s="415" t="n"/>
    </row>
    <row r="653" ht="12.75" customHeight="1" s="348">
      <c r="A653" s="415" t="n"/>
    </row>
    <row r="654" ht="12.75" customHeight="1" s="348">
      <c r="A654" s="415" t="n"/>
    </row>
    <row r="655" ht="12.75" customHeight="1" s="348">
      <c r="A655" s="415" t="n"/>
    </row>
    <row r="656" ht="12.75" customHeight="1" s="348">
      <c r="A656" s="415" t="n"/>
    </row>
    <row r="657" ht="12.75" customHeight="1" s="348">
      <c r="A657" s="415" t="n"/>
    </row>
    <row r="658" ht="12.75" customHeight="1" s="348">
      <c r="A658" s="415" t="n"/>
    </row>
    <row r="659" ht="12.75" customHeight="1" s="348">
      <c r="A659" s="415" t="n"/>
    </row>
    <row r="660" ht="12.75" customHeight="1" s="348">
      <c r="A660" s="415" t="n"/>
    </row>
    <row r="661" ht="12.75" customHeight="1" s="348">
      <c r="A661" s="415" t="n"/>
    </row>
    <row r="662" ht="12.75" customHeight="1" s="348">
      <c r="A662" s="415" t="n"/>
    </row>
    <row r="663" ht="12.75" customHeight="1" s="348">
      <c r="A663" s="415" t="n"/>
    </row>
    <row r="664" ht="12.75" customHeight="1" s="348">
      <c r="A664" s="415" t="n"/>
    </row>
    <row r="665" ht="12.75" customHeight="1" s="348">
      <c r="A665" s="415" t="n"/>
    </row>
    <row r="666" ht="12.75" customHeight="1" s="348">
      <c r="A666" s="415" t="n"/>
    </row>
    <row r="667" ht="12.75" customHeight="1" s="348">
      <c r="A667" s="415" t="n"/>
    </row>
    <row r="668" ht="12.75" customHeight="1" s="348">
      <c r="A668" s="415" t="n"/>
    </row>
    <row r="669" ht="12.75" customHeight="1" s="348">
      <c r="A669" s="415" t="n"/>
    </row>
    <row r="670" ht="12.75" customHeight="1" s="348">
      <c r="A670" s="415" t="n"/>
    </row>
    <row r="671" ht="12.75" customHeight="1" s="348">
      <c r="A671" s="415" t="n"/>
    </row>
    <row r="672" ht="12.75" customHeight="1" s="348">
      <c r="A672" s="415" t="n"/>
    </row>
    <row r="673" ht="12.75" customHeight="1" s="348">
      <c r="A673" s="415" t="n"/>
    </row>
    <row r="674" ht="12.75" customHeight="1" s="348">
      <c r="A674" s="415" t="n"/>
    </row>
    <row r="675" ht="12.75" customHeight="1" s="348">
      <c r="A675" s="415" t="n"/>
    </row>
    <row r="676" ht="12.75" customHeight="1" s="348">
      <c r="A676" s="415" t="n"/>
    </row>
    <row r="677" ht="12.75" customHeight="1" s="348">
      <c r="A677" s="415" t="n"/>
    </row>
    <row r="678" ht="12.75" customHeight="1" s="348">
      <c r="A678" s="415" t="n"/>
    </row>
    <row r="679" ht="12.75" customHeight="1" s="348">
      <c r="A679" s="415" t="n"/>
    </row>
    <row r="680" ht="12.75" customHeight="1" s="348">
      <c r="A680" s="415" t="n"/>
    </row>
    <row r="681" ht="12.75" customHeight="1" s="348">
      <c r="A681" s="415" t="n"/>
    </row>
    <row r="682" ht="12.75" customHeight="1" s="348">
      <c r="A682" s="415" t="n"/>
    </row>
    <row r="683" ht="12.75" customHeight="1" s="348">
      <c r="A683" s="415" t="n"/>
    </row>
    <row r="684" ht="12.75" customHeight="1" s="348">
      <c r="A684" s="415" t="n"/>
    </row>
    <row r="685" ht="12.75" customHeight="1" s="348">
      <c r="A685" s="415" t="n"/>
    </row>
    <row r="686" ht="12.75" customHeight="1" s="348">
      <c r="A686" s="415" t="n"/>
    </row>
    <row r="687" ht="12.75" customHeight="1" s="348">
      <c r="A687" s="415" t="n"/>
    </row>
    <row r="688" ht="12.75" customHeight="1" s="348">
      <c r="A688" s="415" t="n"/>
    </row>
    <row r="689" ht="12.75" customHeight="1" s="348">
      <c r="A689" s="415" t="n"/>
    </row>
    <row r="690" ht="12.75" customHeight="1" s="348">
      <c r="A690" s="415" t="n"/>
    </row>
    <row r="691" ht="12.75" customHeight="1" s="348">
      <c r="A691" s="415" t="n"/>
    </row>
    <row r="692" ht="12.75" customHeight="1" s="348">
      <c r="A692" s="415" t="n"/>
    </row>
    <row r="693" ht="12.75" customHeight="1" s="348">
      <c r="A693" s="415" t="n"/>
    </row>
    <row r="694" ht="12.75" customHeight="1" s="348">
      <c r="A694" s="415" t="n"/>
    </row>
    <row r="695" ht="12.75" customHeight="1" s="348">
      <c r="A695" s="415" t="n"/>
    </row>
    <row r="696" ht="12.75" customHeight="1" s="348">
      <c r="A696" s="415" t="n"/>
    </row>
    <row r="697" ht="12.75" customHeight="1" s="348">
      <c r="A697" s="415" t="n"/>
    </row>
    <row r="698" ht="12.75" customHeight="1" s="348">
      <c r="A698" s="415" t="n"/>
    </row>
    <row r="699" ht="12.75" customHeight="1" s="348">
      <c r="A699" s="415" t="n"/>
    </row>
    <row r="700" ht="12.75" customHeight="1" s="348">
      <c r="A700" s="415" t="n"/>
    </row>
    <row r="701" ht="12.75" customHeight="1" s="348">
      <c r="A701" s="415" t="n"/>
    </row>
    <row r="702" ht="12.75" customHeight="1" s="348">
      <c r="A702" s="415" t="n"/>
    </row>
    <row r="703" ht="12.75" customHeight="1" s="348">
      <c r="A703" s="415" t="n"/>
    </row>
    <row r="704" ht="12.75" customHeight="1" s="348">
      <c r="A704" s="415" t="n"/>
    </row>
    <row r="705" ht="12.75" customHeight="1" s="348">
      <c r="A705" s="415" t="n"/>
    </row>
    <row r="706" ht="12.75" customHeight="1" s="348">
      <c r="A706" s="415" t="n"/>
    </row>
    <row r="707" ht="12.75" customHeight="1" s="348">
      <c r="A707" s="415" t="n"/>
    </row>
    <row r="708" ht="12.75" customHeight="1" s="348">
      <c r="A708" s="415" t="n"/>
    </row>
    <row r="709" ht="12.75" customHeight="1" s="348">
      <c r="A709" s="415" t="n"/>
    </row>
    <row r="710" ht="12.75" customHeight="1" s="348">
      <c r="A710" s="415" t="n"/>
    </row>
    <row r="711" ht="12.75" customHeight="1" s="348">
      <c r="A711" s="415" t="n"/>
    </row>
    <row r="712" ht="12.75" customHeight="1" s="348">
      <c r="A712" s="415" t="n"/>
    </row>
    <row r="713" ht="12.75" customHeight="1" s="348">
      <c r="A713" s="415" t="n"/>
    </row>
    <row r="714" ht="12.75" customHeight="1" s="348">
      <c r="A714" s="415" t="n"/>
    </row>
    <row r="715" ht="12.75" customHeight="1" s="348">
      <c r="A715" s="415" t="n"/>
    </row>
    <row r="716" ht="12.75" customHeight="1" s="348">
      <c r="A716" s="415" t="n"/>
    </row>
    <row r="717" ht="12.75" customHeight="1" s="348">
      <c r="A717" s="415" t="n"/>
    </row>
    <row r="718" ht="12.75" customHeight="1" s="348">
      <c r="A718" s="415" t="n"/>
    </row>
    <row r="719" ht="12.75" customHeight="1" s="348">
      <c r="A719" s="415" t="n"/>
    </row>
    <row r="720" ht="12.75" customHeight="1" s="348">
      <c r="A720" s="415" t="n"/>
    </row>
    <row r="721" ht="12.75" customHeight="1" s="348">
      <c r="A721" s="415" t="n"/>
    </row>
    <row r="722" ht="12.75" customHeight="1" s="348">
      <c r="A722" s="415" t="n"/>
    </row>
    <row r="723" ht="12.75" customHeight="1" s="348">
      <c r="A723" s="415" t="n"/>
    </row>
    <row r="724" ht="12.75" customHeight="1" s="348">
      <c r="A724" s="415" t="n"/>
    </row>
    <row r="725" ht="12.75" customHeight="1" s="348">
      <c r="A725" s="415" t="n"/>
    </row>
    <row r="726" ht="12.75" customHeight="1" s="348">
      <c r="A726" s="415" t="n"/>
    </row>
    <row r="727" ht="12.75" customHeight="1" s="348">
      <c r="A727" s="415" t="n"/>
    </row>
    <row r="728" ht="12.75" customHeight="1" s="348">
      <c r="A728" s="415" t="n"/>
    </row>
    <row r="729" ht="12.75" customHeight="1" s="348">
      <c r="A729" s="415" t="n"/>
    </row>
    <row r="730" ht="12.75" customHeight="1" s="348">
      <c r="A730" s="415" t="n"/>
    </row>
    <row r="731" ht="12.75" customHeight="1" s="348">
      <c r="A731" s="415" t="n"/>
    </row>
    <row r="732" ht="12.75" customHeight="1" s="348">
      <c r="A732" s="415" t="n"/>
    </row>
    <row r="733" ht="12.75" customHeight="1" s="348">
      <c r="A733" s="415" t="n"/>
    </row>
    <row r="734" ht="12.75" customHeight="1" s="348">
      <c r="A734" s="415" t="n"/>
    </row>
    <row r="735" ht="12.75" customHeight="1" s="348">
      <c r="A735" s="415" t="n"/>
    </row>
    <row r="736" ht="12.75" customHeight="1" s="348">
      <c r="A736" s="415" t="n"/>
    </row>
    <row r="737" ht="12.75" customHeight="1" s="348">
      <c r="A737" s="415" t="n"/>
    </row>
    <row r="738" ht="12.75" customHeight="1" s="348">
      <c r="A738" s="415" t="n"/>
    </row>
    <row r="739" ht="12.75" customHeight="1" s="348">
      <c r="A739" s="415" t="n"/>
    </row>
    <row r="740" ht="12.75" customHeight="1" s="348">
      <c r="A740" s="415" t="n"/>
    </row>
    <row r="741" ht="12.75" customHeight="1" s="348">
      <c r="A741" s="415" t="n"/>
    </row>
    <row r="742" ht="12.75" customHeight="1" s="348">
      <c r="A742" s="415" t="n"/>
    </row>
    <row r="743" ht="12.75" customHeight="1" s="348">
      <c r="A743" s="415" t="n"/>
    </row>
    <row r="744" ht="12.75" customHeight="1" s="348">
      <c r="A744" s="415" t="n"/>
    </row>
    <row r="745" ht="12.75" customHeight="1" s="348">
      <c r="A745" s="415" t="n"/>
    </row>
    <row r="746" ht="12.75" customHeight="1" s="348">
      <c r="A746" s="415" t="n"/>
    </row>
    <row r="747" ht="12.75" customHeight="1" s="348">
      <c r="A747" s="415" t="n"/>
    </row>
    <row r="748" ht="12.75" customHeight="1" s="348">
      <c r="A748" s="415" t="n"/>
    </row>
    <row r="749" ht="12.75" customHeight="1" s="348">
      <c r="A749" s="415" t="n"/>
    </row>
    <row r="750" ht="12.75" customHeight="1" s="348">
      <c r="A750" s="415" t="n"/>
    </row>
    <row r="751" ht="12.75" customHeight="1" s="348">
      <c r="A751" s="415" t="n"/>
    </row>
    <row r="752" ht="12.75" customHeight="1" s="348">
      <c r="A752" s="415" t="n"/>
    </row>
    <row r="753" ht="12.75" customHeight="1" s="348">
      <c r="A753" s="415" t="n"/>
    </row>
    <row r="754" ht="12.75" customHeight="1" s="348">
      <c r="A754" s="415" t="n"/>
    </row>
    <row r="755" ht="12.75" customHeight="1" s="348">
      <c r="A755" s="415" t="n"/>
    </row>
    <row r="756" ht="12.75" customHeight="1" s="348">
      <c r="A756" s="415" t="n"/>
    </row>
    <row r="757" ht="12.75" customHeight="1" s="348">
      <c r="A757" s="415" t="n"/>
    </row>
    <row r="758" ht="12.75" customHeight="1" s="348">
      <c r="A758" s="415" t="n"/>
    </row>
    <row r="759" ht="12.75" customHeight="1" s="348">
      <c r="A759" s="415" t="n"/>
    </row>
    <row r="760" ht="12.75" customHeight="1" s="348">
      <c r="A760" s="415" t="n"/>
    </row>
    <row r="761" ht="12.75" customHeight="1" s="348">
      <c r="A761" s="415" t="n"/>
    </row>
    <row r="762" ht="12.75" customHeight="1" s="348">
      <c r="A762" s="415" t="n"/>
    </row>
    <row r="763" ht="12.75" customHeight="1" s="348">
      <c r="A763" s="415" t="n"/>
    </row>
    <row r="764" ht="12.75" customHeight="1" s="348">
      <c r="A764" s="415" t="n"/>
    </row>
    <row r="765" ht="12.75" customHeight="1" s="348">
      <c r="A765" s="415" t="n"/>
    </row>
    <row r="766" ht="12.75" customHeight="1" s="348">
      <c r="A766" s="415" t="n"/>
    </row>
    <row r="767" ht="12.75" customHeight="1" s="348">
      <c r="A767" s="415" t="n"/>
    </row>
    <row r="768" ht="12.75" customHeight="1" s="348">
      <c r="A768" s="415" t="n"/>
    </row>
    <row r="769" ht="12.75" customHeight="1" s="348">
      <c r="A769" s="415" t="n"/>
    </row>
    <row r="770" ht="12.75" customHeight="1" s="348">
      <c r="A770" s="415" t="n"/>
    </row>
    <row r="771" ht="12.75" customHeight="1" s="348">
      <c r="A771" s="415" t="n"/>
    </row>
    <row r="772" ht="12.75" customHeight="1" s="348">
      <c r="A772" s="415" t="n"/>
    </row>
    <row r="773" ht="12.75" customHeight="1" s="348">
      <c r="A773" s="415" t="n"/>
    </row>
    <row r="774" ht="12.75" customHeight="1" s="348">
      <c r="A774" s="415" t="n"/>
    </row>
    <row r="775" ht="12.75" customHeight="1" s="348">
      <c r="A775" s="415" t="n"/>
    </row>
    <row r="776" ht="12.75" customHeight="1" s="348">
      <c r="A776" s="415" t="n"/>
    </row>
    <row r="777" ht="12.75" customHeight="1" s="348">
      <c r="A777" s="415" t="n"/>
    </row>
    <row r="778" ht="12.75" customHeight="1" s="348">
      <c r="A778" s="415" t="n"/>
    </row>
    <row r="779" ht="12.75" customHeight="1" s="348">
      <c r="A779" s="415" t="n"/>
    </row>
    <row r="780" ht="12.75" customHeight="1" s="348">
      <c r="A780" s="415" t="n"/>
    </row>
    <row r="781" ht="12.75" customHeight="1" s="348">
      <c r="A781" s="415" t="n"/>
    </row>
    <row r="782" ht="12.75" customHeight="1" s="348">
      <c r="A782" s="415" t="n"/>
    </row>
    <row r="783" ht="12.75" customHeight="1" s="348">
      <c r="A783" s="415" t="n"/>
    </row>
    <row r="784" ht="12.75" customHeight="1" s="348">
      <c r="A784" s="415" t="n"/>
    </row>
    <row r="785" ht="12.75" customHeight="1" s="348">
      <c r="A785" s="415" t="n"/>
    </row>
    <row r="786" ht="12.75" customHeight="1" s="348">
      <c r="A786" s="415" t="n"/>
    </row>
    <row r="787" ht="12.75" customHeight="1" s="348">
      <c r="A787" s="415" t="n"/>
    </row>
    <row r="788" ht="12.75" customHeight="1" s="348">
      <c r="A788" s="415" t="n"/>
    </row>
    <row r="789" ht="12.75" customHeight="1" s="348">
      <c r="A789" s="415" t="n"/>
    </row>
    <row r="790" ht="12.75" customHeight="1" s="348">
      <c r="A790" s="415" t="n"/>
    </row>
    <row r="791" ht="12.75" customHeight="1" s="348">
      <c r="A791" s="415" t="n"/>
    </row>
    <row r="792" ht="12.75" customHeight="1" s="348">
      <c r="A792" s="415" t="n"/>
    </row>
    <row r="793" ht="12.75" customHeight="1" s="348">
      <c r="A793" s="415" t="n"/>
    </row>
    <row r="794" ht="12.75" customHeight="1" s="348">
      <c r="A794" s="415" t="n"/>
    </row>
    <row r="795" ht="12.75" customHeight="1" s="348">
      <c r="A795" s="415" t="n"/>
    </row>
    <row r="796" ht="12.75" customHeight="1" s="348">
      <c r="A796" s="415" t="n"/>
    </row>
    <row r="797" ht="12.75" customHeight="1" s="348">
      <c r="A797" s="415" t="n"/>
    </row>
    <row r="798" ht="12.75" customHeight="1" s="348">
      <c r="A798" s="415" t="n"/>
    </row>
    <row r="799" ht="12.75" customHeight="1" s="348">
      <c r="A799" s="415" t="n"/>
    </row>
    <row r="800" ht="12.75" customHeight="1" s="348">
      <c r="A800" s="415" t="n"/>
    </row>
    <row r="801" ht="12.75" customHeight="1" s="348">
      <c r="A801" s="415" t="n"/>
    </row>
    <row r="802" ht="12.75" customHeight="1" s="348">
      <c r="A802" s="415" t="n"/>
    </row>
    <row r="803" ht="12.75" customHeight="1" s="348">
      <c r="A803" s="415" t="n"/>
    </row>
    <row r="804" ht="12.75" customHeight="1" s="348">
      <c r="A804" s="415" t="n"/>
    </row>
    <row r="805" ht="12.75" customHeight="1" s="348">
      <c r="A805" s="415" t="n"/>
    </row>
    <row r="806" ht="12.75" customHeight="1" s="348">
      <c r="A806" s="415" t="n"/>
    </row>
    <row r="807" ht="12.75" customHeight="1" s="348">
      <c r="A807" s="415" t="n"/>
    </row>
    <row r="808" ht="12.75" customHeight="1" s="348">
      <c r="A808" s="415" t="n"/>
    </row>
    <row r="809" ht="12.75" customHeight="1" s="348">
      <c r="A809" s="415" t="n"/>
    </row>
    <row r="810" ht="12.75" customHeight="1" s="348">
      <c r="A810" s="415" t="n"/>
    </row>
    <row r="811" ht="12.75" customHeight="1" s="348">
      <c r="A811" s="415" t="n"/>
    </row>
    <row r="812" ht="12.75" customHeight="1" s="348">
      <c r="A812" s="415" t="n"/>
    </row>
    <row r="813" ht="12.75" customHeight="1" s="348">
      <c r="A813" s="415" t="n"/>
    </row>
    <row r="814" ht="12.75" customHeight="1" s="348">
      <c r="A814" s="415" t="n"/>
    </row>
    <row r="815" ht="12.75" customHeight="1" s="348">
      <c r="A815" s="415" t="n"/>
    </row>
    <row r="816" ht="12.75" customHeight="1" s="348">
      <c r="A816" s="415" t="n"/>
    </row>
    <row r="817" ht="12.75" customHeight="1" s="348">
      <c r="A817" s="415" t="n"/>
    </row>
    <row r="818" ht="12.75" customHeight="1" s="348">
      <c r="A818" s="415" t="n"/>
    </row>
    <row r="819" ht="12.75" customHeight="1" s="348">
      <c r="A819" s="415" t="n"/>
    </row>
    <row r="820" ht="12.75" customHeight="1" s="348">
      <c r="A820" s="415" t="n"/>
    </row>
    <row r="821" ht="12.75" customHeight="1" s="348">
      <c r="A821" s="415" t="n"/>
    </row>
    <row r="822" ht="12.75" customHeight="1" s="348">
      <c r="A822" s="415" t="n"/>
    </row>
    <row r="823" ht="12.75" customHeight="1" s="348">
      <c r="A823" s="415" t="n"/>
    </row>
    <row r="824" ht="12.75" customHeight="1" s="348">
      <c r="A824" s="415" t="n"/>
    </row>
    <row r="825" ht="12.75" customHeight="1" s="348">
      <c r="A825" s="415" t="n"/>
    </row>
    <row r="826" ht="12.75" customHeight="1" s="348">
      <c r="A826" s="415" t="n"/>
    </row>
    <row r="827" ht="12.75" customHeight="1" s="348">
      <c r="A827" s="415" t="n"/>
    </row>
    <row r="828" ht="12.75" customHeight="1" s="348">
      <c r="A828" s="415" t="n"/>
    </row>
    <row r="829" ht="12.75" customHeight="1" s="348">
      <c r="A829" s="415" t="n"/>
    </row>
    <row r="830" ht="12.75" customHeight="1" s="348">
      <c r="A830" s="415" t="n"/>
    </row>
    <row r="831" ht="12.75" customHeight="1" s="348">
      <c r="A831" s="415" t="n"/>
    </row>
    <row r="832" ht="12.75" customHeight="1" s="348">
      <c r="A832" s="415" t="n"/>
    </row>
    <row r="833" ht="12.75" customHeight="1" s="348">
      <c r="A833" s="415" t="n"/>
    </row>
    <row r="834" ht="12.75" customHeight="1" s="348">
      <c r="A834" s="415" t="n"/>
    </row>
    <row r="835" ht="12.75" customHeight="1" s="348">
      <c r="A835" s="415" t="n"/>
    </row>
    <row r="836" ht="12.75" customHeight="1" s="348">
      <c r="A836" s="415" t="n"/>
    </row>
    <row r="837" ht="12.75" customHeight="1" s="348">
      <c r="A837" s="415" t="n"/>
    </row>
    <row r="838" ht="12.75" customHeight="1" s="348">
      <c r="A838" s="415" t="n"/>
    </row>
    <row r="839" ht="12.75" customHeight="1" s="348">
      <c r="A839" s="415" t="n"/>
    </row>
    <row r="840" ht="12.75" customHeight="1" s="348">
      <c r="A840" s="415" t="n"/>
    </row>
    <row r="841" ht="12.75" customHeight="1" s="348">
      <c r="A841" s="415" t="n"/>
    </row>
    <row r="842" ht="12.75" customHeight="1" s="348">
      <c r="A842" s="415" t="n"/>
    </row>
    <row r="843" ht="12.75" customHeight="1" s="348">
      <c r="A843" s="415" t="n"/>
    </row>
    <row r="844" ht="12.75" customHeight="1" s="348">
      <c r="A844" s="415" t="n"/>
    </row>
    <row r="845" ht="12.75" customHeight="1" s="348">
      <c r="A845" s="415" t="n"/>
    </row>
    <row r="846" ht="12.75" customHeight="1" s="348">
      <c r="A846" s="415" t="n"/>
    </row>
    <row r="847" ht="12.75" customHeight="1" s="348">
      <c r="A847" s="415" t="n"/>
    </row>
    <row r="848" ht="12.75" customHeight="1" s="348">
      <c r="A848" s="415" t="n"/>
    </row>
    <row r="849" ht="12.75" customHeight="1" s="348">
      <c r="A849" s="415" t="n"/>
    </row>
    <row r="850" ht="12.75" customHeight="1" s="348">
      <c r="A850" s="415" t="n"/>
    </row>
    <row r="851" ht="12.75" customHeight="1" s="348">
      <c r="A851" s="415" t="n"/>
    </row>
    <row r="852" ht="12.75" customHeight="1" s="348">
      <c r="A852" s="415" t="n"/>
    </row>
    <row r="853" ht="12.75" customHeight="1" s="348">
      <c r="A853" s="415" t="n"/>
    </row>
    <row r="854" ht="12.75" customHeight="1" s="348">
      <c r="A854" s="415" t="n"/>
    </row>
    <row r="855" ht="12.75" customHeight="1" s="348">
      <c r="A855" s="415" t="n"/>
    </row>
    <row r="856" ht="12.75" customHeight="1" s="348">
      <c r="A856" s="415" t="n"/>
    </row>
    <row r="857" ht="12.75" customHeight="1" s="348">
      <c r="A857" s="415" t="n"/>
    </row>
    <row r="858" ht="12.75" customHeight="1" s="348">
      <c r="A858" s="415" t="n"/>
    </row>
    <row r="859" ht="12.75" customHeight="1" s="348">
      <c r="A859" s="415" t="n"/>
    </row>
    <row r="860" ht="12.75" customHeight="1" s="348">
      <c r="A860" s="415" t="n"/>
    </row>
    <row r="861" ht="12.75" customHeight="1" s="348">
      <c r="A861" s="415" t="n"/>
    </row>
    <row r="862" ht="12.75" customHeight="1" s="348">
      <c r="A862" s="415" t="n"/>
    </row>
    <row r="863" ht="12.75" customHeight="1" s="348">
      <c r="A863" s="415" t="n"/>
    </row>
    <row r="864" ht="12.75" customHeight="1" s="348">
      <c r="A864" s="415" t="n"/>
    </row>
    <row r="865" ht="12.75" customHeight="1" s="348">
      <c r="A865" s="415" t="n"/>
    </row>
    <row r="866" ht="12.75" customHeight="1" s="348">
      <c r="A866" s="415" t="n"/>
    </row>
    <row r="867" ht="12.75" customHeight="1" s="348">
      <c r="A867" s="415" t="n"/>
    </row>
    <row r="868" ht="12.75" customHeight="1" s="348">
      <c r="A868" s="415" t="n"/>
    </row>
    <row r="869" ht="12.75" customHeight="1" s="348">
      <c r="A869" s="415" t="n"/>
    </row>
    <row r="870" ht="12.75" customHeight="1" s="348">
      <c r="A870" s="415" t="n"/>
    </row>
    <row r="871" ht="12.75" customHeight="1" s="348">
      <c r="A871" s="415" t="n"/>
    </row>
    <row r="872" ht="12.75" customHeight="1" s="348">
      <c r="A872" s="415" t="n"/>
    </row>
    <row r="873" ht="12.75" customHeight="1" s="348">
      <c r="A873" s="415" t="n"/>
    </row>
    <row r="874" ht="12.75" customHeight="1" s="348">
      <c r="A874" s="415" t="n"/>
    </row>
    <row r="875" ht="12.75" customHeight="1" s="348">
      <c r="A875" s="415" t="n"/>
    </row>
    <row r="876" ht="12.75" customHeight="1" s="348">
      <c r="A876" s="415" t="n"/>
    </row>
    <row r="877" ht="12.75" customHeight="1" s="348">
      <c r="A877" s="415" t="n"/>
    </row>
    <row r="878" ht="12.75" customHeight="1" s="348">
      <c r="A878" s="415" t="n"/>
    </row>
    <row r="879" ht="12.75" customHeight="1" s="348">
      <c r="A879" s="415" t="n"/>
    </row>
    <row r="880" ht="12.75" customHeight="1" s="348">
      <c r="A880" s="415" t="n"/>
    </row>
    <row r="881" ht="12.75" customHeight="1" s="348">
      <c r="A881" s="415" t="n"/>
    </row>
    <row r="882" ht="12.75" customHeight="1" s="348">
      <c r="A882" s="415" t="n"/>
    </row>
    <row r="883" ht="12.75" customHeight="1" s="348">
      <c r="A883" s="415" t="n"/>
    </row>
    <row r="884" ht="12.75" customHeight="1" s="348">
      <c r="A884" s="415" t="n"/>
    </row>
    <row r="885" ht="12.75" customHeight="1" s="348">
      <c r="A885" s="415" t="n"/>
    </row>
    <row r="886" ht="12.75" customHeight="1" s="348">
      <c r="A886" s="415" t="n"/>
    </row>
    <row r="887" ht="12.75" customHeight="1" s="348">
      <c r="A887" s="415" t="n"/>
    </row>
    <row r="888" ht="12.75" customHeight="1" s="348">
      <c r="A888" s="415" t="n"/>
    </row>
    <row r="889" ht="12.75" customHeight="1" s="348">
      <c r="A889" s="415" t="n"/>
    </row>
    <row r="890" ht="12.75" customHeight="1" s="348">
      <c r="A890" s="415" t="n"/>
    </row>
    <row r="891" ht="12.75" customHeight="1" s="348">
      <c r="A891" s="415" t="n"/>
    </row>
    <row r="892" ht="12.75" customHeight="1" s="348">
      <c r="A892" s="415" t="n"/>
    </row>
    <row r="893" ht="12.75" customHeight="1" s="348">
      <c r="A893" s="415" t="n"/>
    </row>
    <row r="894" ht="12.75" customHeight="1" s="348">
      <c r="A894" s="415" t="n"/>
    </row>
    <row r="895" ht="12.75" customHeight="1" s="348">
      <c r="A895" s="415" t="n"/>
    </row>
    <row r="896" ht="12.75" customHeight="1" s="348">
      <c r="A896" s="415" t="n"/>
    </row>
    <row r="897" ht="12.75" customHeight="1" s="348">
      <c r="A897" s="415" t="n"/>
    </row>
    <row r="898" ht="12.75" customHeight="1" s="348">
      <c r="A898" s="415" t="n"/>
    </row>
    <row r="899" ht="12.75" customHeight="1" s="348">
      <c r="A899" s="415" t="n"/>
    </row>
    <row r="900" ht="12.75" customHeight="1" s="348">
      <c r="A900" s="415" t="n"/>
    </row>
    <row r="901" ht="12.75" customHeight="1" s="348">
      <c r="A901" s="415" t="n"/>
    </row>
    <row r="902" ht="12.75" customHeight="1" s="348">
      <c r="A902" s="415" t="n"/>
    </row>
    <row r="903" ht="12.75" customHeight="1" s="348">
      <c r="A903" s="415" t="n"/>
    </row>
    <row r="904" ht="12.75" customHeight="1" s="348">
      <c r="A904" s="415" t="n"/>
    </row>
    <row r="905" ht="12.75" customHeight="1" s="348">
      <c r="A905" s="415" t="n"/>
    </row>
    <row r="906" ht="12.75" customHeight="1" s="348">
      <c r="A906" s="415" t="n"/>
    </row>
    <row r="907" ht="12.75" customHeight="1" s="348">
      <c r="A907" s="415" t="n"/>
    </row>
    <row r="908" ht="12.75" customHeight="1" s="348">
      <c r="A908" s="415" t="n"/>
    </row>
    <row r="909" ht="12.75" customHeight="1" s="348">
      <c r="A909" s="415" t="n"/>
    </row>
    <row r="910" ht="12.75" customHeight="1" s="348">
      <c r="A910" s="415" t="n"/>
    </row>
    <row r="911" ht="12.75" customHeight="1" s="348">
      <c r="A911" s="415" t="n"/>
    </row>
    <row r="912" ht="12.75" customHeight="1" s="348">
      <c r="A912" s="415" t="n"/>
    </row>
    <row r="913" ht="12.75" customHeight="1" s="348">
      <c r="A913" s="415" t="n"/>
    </row>
    <row r="914" ht="12.75" customHeight="1" s="348">
      <c r="A914" s="415" t="n"/>
    </row>
    <row r="915" ht="12.75" customHeight="1" s="348">
      <c r="A915" s="415" t="n"/>
    </row>
    <row r="916" ht="12.75" customHeight="1" s="348">
      <c r="A916" s="415" t="n"/>
    </row>
    <row r="917" ht="12.75" customHeight="1" s="348">
      <c r="A917" s="415" t="n"/>
    </row>
    <row r="918" ht="12.75" customHeight="1" s="348">
      <c r="A918" s="415" t="n"/>
    </row>
    <row r="919" ht="12.75" customHeight="1" s="348">
      <c r="A919" s="415" t="n"/>
    </row>
    <row r="920" ht="12.75" customHeight="1" s="348">
      <c r="A920" s="415" t="n"/>
    </row>
    <row r="921" ht="12.75" customHeight="1" s="348">
      <c r="A921" s="415" t="n"/>
    </row>
    <row r="922" ht="12.75" customHeight="1" s="348">
      <c r="A922" s="415" t="n"/>
    </row>
    <row r="923" ht="12.75" customHeight="1" s="348">
      <c r="A923" s="415" t="n"/>
    </row>
    <row r="924" ht="12.75" customHeight="1" s="348">
      <c r="A924" s="415" t="n"/>
    </row>
    <row r="925" ht="12.75" customHeight="1" s="348">
      <c r="A925" s="415" t="n"/>
    </row>
    <row r="926" ht="12.75" customHeight="1" s="348">
      <c r="A926" s="415" t="n"/>
    </row>
    <row r="927" ht="12.75" customHeight="1" s="348">
      <c r="A927" s="415" t="n"/>
    </row>
    <row r="928" ht="12.75" customHeight="1" s="348">
      <c r="A928" s="415" t="n"/>
    </row>
    <row r="929" ht="12.75" customHeight="1" s="348">
      <c r="A929" s="415" t="n"/>
    </row>
    <row r="930" ht="12.75" customHeight="1" s="348">
      <c r="A930" s="415" t="n"/>
    </row>
    <row r="931" ht="12.75" customHeight="1" s="348">
      <c r="A931" s="415" t="n"/>
    </row>
    <row r="932" ht="12.75" customHeight="1" s="348">
      <c r="A932" s="415" t="n"/>
    </row>
    <row r="933" ht="12.75" customHeight="1" s="348">
      <c r="A933" s="415" t="n"/>
    </row>
    <row r="934" ht="12.75" customHeight="1" s="348">
      <c r="A934" s="415" t="n"/>
    </row>
    <row r="935" ht="12.75" customHeight="1" s="348">
      <c r="A935" s="415" t="n"/>
    </row>
    <row r="936" ht="12.75" customHeight="1" s="348">
      <c r="A936" s="415" t="n"/>
    </row>
    <row r="937" ht="12.75" customHeight="1" s="348">
      <c r="A937" s="415" t="n"/>
    </row>
    <row r="938" ht="12.75" customHeight="1" s="348">
      <c r="A938" s="415" t="n"/>
    </row>
    <row r="939" ht="12.75" customHeight="1" s="348">
      <c r="A939" s="415" t="n"/>
    </row>
    <row r="940" ht="12.75" customHeight="1" s="348">
      <c r="A940" s="415" t="n"/>
    </row>
    <row r="941" ht="12.75" customHeight="1" s="348">
      <c r="A941" s="415" t="n"/>
    </row>
    <row r="942" ht="12.75" customHeight="1" s="348">
      <c r="A942" s="415" t="n"/>
    </row>
    <row r="943" ht="12.75" customHeight="1" s="348">
      <c r="A943" s="415" t="n"/>
    </row>
    <row r="944" ht="12.75" customHeight="1" s="348">
      <c r="A944" s="415" t="n"/>
    </row>
    <row r="945" ht="12.75" customHeight="1" s="348">
      <c r="A945" s="415" t="n"/>
    </row>
    <row r="946" ht="12.75" customHeight="1" s="348">
      <c r="A946" s="415" t="n"/>
    </row>
    <row r="947" ht="12.75" customHeight="1" s="348">
      <c r="A947" s="415" t="n"/>
    </row>
    <row r="948" ht="12.75" customHeight="1" s="348">
      <c r="A948" s="415" t="n"/>
    </row>
    <row r="949" ht="12.75" customHeight="1" s="348">
      <c r="A949" s="415" t="n"/>
    </row>
    <row r="950" ht="12.75" customHeight="1" s="348">
      <c r="A950" s="415" t="n"/>
    </row>
    <row r="951" ht="12.75" customHeight="1" s="348">
      <c r="A951" s="415" t="n"/>
    </row>
    <row r="952" ht="12.75" customHeight="1" s="348">
      <c r="A952" s="415" t="n"/>
    </row>
    <row r="953" ht="12.75" customHeight="1" s="348">
      <c r="A953" s="415" t="n"/>
    </row>
    <row r="954" ht="12.75" customHeight="1" s="348">
      <c r="A954" s="415" t="n"/>
    </row>
    <row r="955" ht="12.75" customHeight="1" s="348">
      <c r="A955" s="415" t="n"/>
    </row>
    <row r="956" ht="12.75" customHeight="1" s="348">
      <c r="A956" s="415" t="n"/>
    </row>
    <row r="957" ht="12.75" customHeight="1" s="348">
      <c r="A957" s="415" t="n"/>
    </row>
    <row r="958" ht="12.75" customHeight="1" s="348">
      <c r="A958" s="415" t="n"/>
    </row>
    <row r="959" ht="12.75" customHeight="1" s="348">
      <c r="A959" s="415" t="n"/>
    </row>
    <row r="960" ht="12.75" customHeight="1" s="348">
      <c r="A960" s="415" t="n"/>
    </row>
    <row r="961" ht="12.75" customHeight="1" s="348">
      <c r="A961" s="415" t="n"/>
    </row>
    <row r="962" ht="12.75" customHeight="1" s="348">
      <c r="A962" s="415" t="n"/>
    </row>
    <row r="963" ht="12.75" customHeight="1" s="348">
      <c r="A963" s="415" t="n"/>
    </row>
    <row r="964" ht="12.75" customHeight="1" s="348">
      <c r="A964" s="415" t="n"/>
    </row>
    <row r="965" ht="12.75" customHeight="1" s="348">
      <c r="A965" s="415" t="n"/>
    </row>
    <row r="966" ht="12.75" customHeight="1" s="348">
      <c r="A966" s="415" t="n"/>
    </row>
    <row r="967" ht="12.75" customHeight="1" s="348">
      <c r="A967" s="415" t="n"/>
    </row>
    <row r="968" ht="12.75" customHeight="1" s="348">
      <c r="A968" s="415" t="n"/>
    </row>
    <row r="969" ht="12.75" customHeight="1" s="348">
      <c r="A969" s="415" t="n"/>
    </row>
    <row r="970" ht="12.75" customHeight="1" s="348">
      <c r="A970" s="415" t="n"/>
    </row>
    <row r="971" ht="12.75" customHeight="1" s="348">
      <c r="A971" s="415" t="n"/>
    </row>
    <row r="972" ht="12.75" customHeight="1" s="348">
      <c r="A972" s="415" t="n"/>
    </row>
    <row r="973" ht="12.75" customHeight="1" s="348">
      <c r="A973" s="415" t="n"/>
    </row>
    <row r="974" ht="12.75" customHeight="1" s="348">
      <c r="A974" s="415" t="n"/>
    </row>
    <row r="975" ht="12.75" customHeight="1" s="348">
      <c r="A975" s="415" t="n"/>
    </row>
    <row r="976" ht="12.75" customHeight="1" s="348">
      <c r="A976" s="415" t="n"/>
    </row>
    <row r="977" ht="12.75" customHeight="1" s="348">
      <c r="A977" s="415" t="n"/>
    </row>
    <row r="978" ht="12.75" customHeight="1" s="348">
      <c r="A978" s="415" t="n"/>
    </row>
    <row r="979" ht="12.75" customHeight="1" s="348">
      <c r="A979" s="415" t="n"/>
    </row>
    <row r="980" ht="12.75" customHeight="1" s="348">
      <c r="A980" s="415" t="n"/>
    </row>
    <row r="981" ht="12.75" customHeight="1" s="348">
      <c r="A981" s="415" t="n"/>
    </row>
    <row r="982" ht="12.75" customHeight="1" s="348">
      <c r="A982" s="415" t="n"/>
    </row>
    <row r="983" ht="12.75" customHeight="1" s="348">
      <c r="A983" s="415" t="n"/>
    </row>
    <row r="984" ht="12.75" customHeight="1" s="348">
      <c r="A984" s="415" t="n"/>
    </row>
    <row r="985" ht="12.75" customHeight="1" s="348">
      <c r="A985" s="415" t="n"/>
    </row>
    <row r="986" ht="12.75" customHeight="1" s="348">
      <c r="A986" s="415" t="n"/>
    </row>
    <row r="987" ht="12.75" customHeight="1" s="348">
      <c r="A987" s="415" t="n"/>
    </row>
    <row r="988" ht="12.75" customHeight="1" s="348">
      <c r="A988" s="415" t="n"/>
    </row>
    <row r="989" ht="12.75" customHeight="1" s="348">
      <c r="A989" s="415" t="n"/>
    </row>
    <row r="990" ht="12.75" customHeight="1" s="348">
      <c r="A990" s="415" t="n"/>
    </row>
    <row r="991" ht="12.75" customHeight="1" s="348">
      <c r="A991" s="415" t="n"/>
    </row>
    <row r="992" ht="12.75" customHeight="1" s="348">
      <c r="A992" s="415" t="n"/>
    </row>
    <row r="993" ht="12.75" customHeight="1" s="348">
      <c r="A993" s="415" t="n"/>
    </row>
    <row r="994" ht="12.75" customHeight="1" s="348">
      <c r="A994" s="415" t="n"/>
    </row>
    <row r="995" ht="12.75" customHeight="1" s="348">
      <c r="A995" s="415" t="n"/>
    </row>
    <row r="996" ht="12.75" customHeight="1" s="348">
      <c r="A996" s="415" t="n"/>
    </row>
    <row r="997" ht="12.75" customHeight="1" s="348">
      <c r="A997" s="415" t="n"/>
    </row>
    <row r="998" ht="12.75" customHeight="1" s="348">
      <c r="A998" s="415" t="n"/>
    </row>
    <row r="999" ht="12.75" customHeight="1" s="348">
      <c r="A999" s="415" t="n"/>
    </row>
    <row r="1000" ht="12.75" customHeight="1" s="348">
      <c r="A1000" s="415" t="n"/>
    </row>
    <row r="1001" ht="12.75" customHeight="1" s="348">
      <c r="A1001" s="415" t="n"/>
    </row>
    <row r="1002" ht="12.75" customHeight="1" s="348">
      <c r="A1002" s="415" t="n"/>
    </row>
    <row r="1003" ht="12.75" customHeight="1" s="348">
      <c r="A1003" s="415" t="n"/>
    </row>
    <row r="1004" ht="12.75" customHeight="1" s="348">
      <c r="A1004" s="415" t="n"/>
    </row>
    <row r="1005" ht="12.75" customHeight="1" s="348">
      <c r="A1005" s="415" t="n"/>
    </row>
    <row r="1006" ht="12.75" customHeight="1" s="348">
      <c r="A1006" s="415" t="n"/>
    </row>
    <row r="1007" ht="12.75" customHeight="1" s="348">
      <c r="A1007" s="415" t="n"/>
    </row>
    <row r="1008" ht="12.75" customHeight="1" s="348">
      <c r="A1008" s="415" t="n"/>
    </row>
  </sheetData>
  <mergeCells count="64">
    <mergeCell ref="B47:C47"/>
    <mergeCell ref="B109:F109"/>
    <mergeCell ref="B81:F81"/>
    <mergeCell ref="B70:B71"/>
    <mergeCell ref="E82:E83"/>
    <mergeCell ref="D70:D71"/>
    <mergeCell ref="B46:C46"/>
    <mergeCell ref="C9:E9"/>
    <mergeCell ref="B6:H6"/>
    <mergeCell ref="F70:F71"/>
    <mergeCell ref="B104:E104"/>
    <mergeCell ref="B30:H30"/>
    <mergeCell ref="B33:H33"/>
    <mergeCell ref="A1:H1"/>
    <mergeCell ref="B95:E95"/>
    <mergeCell ref="B5:H5"/>
    <mergeCell ref="B82:B83"/>
    <mergeCell ref="B37:H37"/>
    <mergeCell ref="B63:H63"/>
    <mergeCell ref="B43:C43"/>
    <mergeCell ref="B39:C39"/>
    <mergeCell ref="B36:H36"/>
    <mergeCell ref="B94:E94"/>
    <mergeCell ref="B32:H32"/>
    <mergeCell ref="B48:C48"/>
    <mergeCell ref="B35:H35"/>
    <mergeCell ref="B108:G108"/>
    <mergeCell ref="B106:H106"/>
    <mergeCell ref="B97:E97"/>
    <mergeCell ref="B4:H4"/>
    <mergeCell ref="B42:C42"/>
    <mergeCell ref="B100:E100"/>
    <mergeCell ref="B67:F67"/>
    <mergeCell ref="B62:H62"/>
    <mergeCell ref="B7:H7"/>
    <mergeCell ref="F9:H9"/>
    <mergeCell ref="B68:G68"/>
    <mergeCell ref="B3:H3"/>
    <mergeCell ref="B31:H31"/>
    <mergeCell ref="C70:C71"/>
    <mergeCell ref="B9:B10"/>
    <mergeCell ref="B44:C44"/>
    <mergeCell ref="B102:E102"/>
    <mergeCell ref="B93:H93"/>
    <mergeCell ref="B69:F69"/>
    <mergeCell ref="B38:C38"/>
    <mergeCell ref="E70:E71"/>
    <mergeCell ref="B96:E96"/>
    <mergeCell ref="C82:C83"/>
    <mergeCell ref="F82:F83"/>
    <mergeCell ref="B40:C40"/>
    <mergeCell ref="B101:E101"/>
    <mergeCell ref="B98:E98"/>
    <mergeCell ref="B107:H107"/>
    <mergeCell ref="B8:H8"/>
    <mergeCell ref="B64:AB66"/>
    <mergeCell ref="D82:D83"/>
    <mergeCell ref="B45:C45"/>
    <mergeCell ref="B29:H29"/>
    <mergeCell ref="B103:E103"/>
    <mergeCell ref="B41:C41"/>
    <mergeCell ref="B34:H34"/>
    <mergeCell ref="B99:E99"/>
    <mergeCell ref="B28:H28"/>
  </mergeCells>
  <hyperlinks>
    <hyperlink xmlns:r="http://schemas.openxmlformats.org/officeDocument/2006/relationships" ref="B35" r:id="rId1"/>
  </hyperlinks>
  <pageMargins left="0.75" right="0.75" top="1" bottom="1" header="0" footer="0"/>
  <pageSetup orientation="portrait" scale="75"/>
  <headerFooter>
    <oddHeader>&amp;LCommon Data Set 2021-2022</oddHeader>
    <oddFooter>&amp;LCDS-B&amp;RPage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992"/>
  <sheetViews>
    <sheetView showGridLines="0" workbookViewId="0">
      <selection activeCell="A1" sqref="A1:F1"/>
    </sheetView>
  </sheetViews>
  <sheetFormatPr baseColWidth="8" defaultColWidth="12.7109375" defaultRowHeight="15" customHeight="1"/>
  <cols>
    <col width="4.42578125" customWidth="1" style="366" min="1" max="1"/>
    <col width="29" customWidth="1" style="366" min="2" max="2"/>
    <col width="14.7109375" customWidth="1" style="366" min="3" max="5"/>
    <col width="14.85546875" customWidth="1" style="366" min="6" max="6"/>
    <col width="12" customWidth="1" style="366" min="7" max="7"/>
    <col width="0.7109375" customWidth="1" style="366" min="8" max="8"/>
    <col width="8.7109375" customWidth="1" style="366" min="9" max="26"/>
    <col width="12.7109375" customWidth="1" style="366" min="27" max="16384"/>
  </cols>
  <sheetData>
    <row r="1" ht="12.75" customHeight="1" s="348">
      <c r="A1" s="363" t="inlineStr">
        <is>
          <t>C. FIRST-TIME, FIRST-YEAR ADMISSION</t>
        </is>
      </c>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90" t="inlineStr">
        <is>
          <t>C1-C2: Applications</t>
        </is>
      </c>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26" t="inlineStr">
        <is>
          <t>C1</t>
        </is>
      </c>
      <c r="B3" s="382" t="inlineStr">
        <is>
          <t xml:space="preserve">First-time, first-year students: Provide the number of degree-seeking, first-time, first-year students who applied, were admitted, and enrolled (full- or part-time) in Fall 2022. </t>
        </is>
      </c>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19.5" customHeight="1" s="348">
      <c r="G4" s="453"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15.75" customHeight="1" s="348">
      <c r="A5" s="339" t="n"/>
      <c r="B5" s="367" t="inlineStr">
        <is>
          <t>•     Include early decision, early action, and students who began studies during summer in this cohort.</t>
        </is>
      </c>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56.25" customHeight="1" s="348">
      <c r="A6" s="126" t="n"/>
      <c r="B6" s="367" t="inlineStr">
        <is>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is>
      </c>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25.9" customHeight="1" s="348">
      <c r="A7" s="415" t="n"/>
      <c r="B7" s="367" t="inlineStr">
        <is>
          <t>•     Since the total may include students who did not provide gender data, the detail need not sum to the total.</t>
        </is>
      </c>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30" customHeight="1" s="348">
      <c r="A8" s="415" t="n"/>
      <c r="B8" s="367" t="inlineStr">
        <is>
          <t>•     If your institution collects and reports non-binary gender data, please use the "Another Gender" category.</t>
        </is>
      </c>
      <c r="G8" s="453" t="n"/>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46.5" customHeight="1" s="348">
      <c r="A9" s="415" t="n"/>
      <c r="B9" s="367" t="inlineStr">
        <is>
          <t>•     Note that recent high school graduates and other students without prior postsecondary experience will still be considered "first-time students" for fall enrollment reporting purposes even if they enrolled in the summer prior to  fall enrollment.</t>
        </is>
      </c>
      <c r="G9" s="453" t="n"/>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12.75" customHeight="1" s="348">
      <c r="A10" s="426" t="n"/>
      <c r="B10" s="178" t="inlineStr">
        <is>
          <t>Total first-time, first-year men who applied</t>
        </is>
      </c>
      <c r="C10" s="494" t="n"/>
      <c r="D10" s="495" t="n"/>
      <c r="E10" s="245" t="n">
        <v>36223</v>
      </c>
      <c r="F10" s="453" t="n"/>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12.75" customHeight="1" s="348">
      <c r="A11" s="426" t="n"/>
      <c r="B11" s="182" t="inlineStr">
        <is>
          <t>Total first-time, first-year women who applied</t>
        </is>
      </c>
      <c r="C11" s="494" t="n"/>
      <c r="D11" s="495" t="n"/>
      <c r="E11" s="335" t="n">
        <v>27010</v>
      </c>
      <c r="F11" s="453" t="n"/>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c r="A12" s="426" t="n"/>
      <c r="B12" s="182" t="inlineStr">
        <is>
          <t>Total first-time, first-year of another gender who applied</t>
        </is>
      </c>
      <c r="C12" s="494" t="n"/>
      <c r="D12" s="495" t="n"/>
      <c r="E12" s="119" t="n">
        <v>24</v>
      </c>
      <c r="F12" s="453" t="n"/>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2.75" customHeight="1" s="348">
      <c r="A13" s="426" t="n"/>
      <c r="B13" s="453" t="n"/>
      <c r="C13" s="338" t="n"/>
      <c r="D13" s="338" t="n"/>
      <c r="E13" s="453" t="n"/>
      <c r="F13" s="453" t="n"/>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2.4" customHeight="1" s="348">
      <c r="A14" s="426" t="n"/>
      <c r="B14" s="182" t="inlineStr">
        <is>
          <t>Total first-time, first-year men who were admitted</t>
        </is>
      </c>
      <c r="C14" s="494" t="n"/>
      <c r="D14" s="495" t="n"/>
      <c r="E14" s="335" t="n">
        <v>13926</v>
      </c>
      <c r="F14" s="453" t="n"/>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2.75" customHeight="1" s="348">
      <c r="A15" s="426" t="n"/>
      <c r="B15" s="182" t="inlineStr">
        <is>
          <t>Total first-time, first-year women who were admitted</t>
        </is>
      </c>
      <c r="C15" s="494" t="n"/>
      <c r="D15" s="495" t="n"/>
      <c r="E15" s="335" t="n">
        <v>14418</v>
      </c>
      <c r="F15" s="453" t="n"/>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2.75" customHeight="1" s="348">
      <c r="A16" s="426" t="n"/>
      <c r="B16" s="182" t="inlineStr">
        <is>
          <t>Total first-time, first-year of another gender who were admitted</t>
        </is>
      </c>
      <c r="C16" s="494" t="n"/>
      <c r="D16" s="495" t="n"/>
      <c r="E16" s="119" t="n">
        <v>10</v>
      </c>
      <c r="F16" s="453" t="n"/>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2.75" customHeight="1" s="348">
      <c r="A17" s="426" t="n"/>
      <c r="B17" s="453" t="n"/>
      <c r="C17" s="161" t="n"/>
      <c r="D17" s="161" t="n"/>
      <c r="E17" s="453" t="n"/>
      <c r="F17" s="453" t="n"/>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c r="A18" s="426" t="n"/>
      <c r="B18" s="182" t="inlineStr">
        <is>
          <t>Total full-time, first-time, first-year men who enrolled</t>
        </is>
      </c>
      <c r="C18" s="494" t="n"/>
      <c r="D18" s="495" t="n"/>
      <c r="E18" s="335" t="n">
        <v>4076</v>
      </c>
      <c r="F18" s="453" t="n"/>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2.75" customHeight="1" s="348">
      <c r="A19" s="426" t="n"/>
      <c r="B19" s="182" t="inlineStr">
        <is>
          <t>Total part-time, first-time, first-year men who enrolled</t>
        </is>
      </c>
      <c r="C19" s="494" t="n"/>
      <c r="D19" s="495" t="n"/>
      <c r="E19" s="119" t="n">
        <v>0</v>
      </c>
      <c r="F19" s="453"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c r="A20" s="426" t="n"/>
      <c r="B20" s="453" t="n"/>
      <c r="C20" s="161" t="n"/>
      <c r="D20" s="161" t="n"/>
      <c r="E20" s="453" t="n"/>
      <c r="F20" s="453" t="n"/>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c r="A21" s="426" t="n"/>
      <c r="B21" s="270" t="inlineStr">
        <is>
          <t>Total full-time, first-time, first-year women who enrolled</t>
        </is>
      </c>
      <c r="C21" s="494" t="n"/>
      <c r="D21" s="495" t="n"/>
      <c r="E21" s="335" t="n">
        <v>3879</v>
      </c>
      <c r="F21" s="453" t="n"/>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c r="A22" s="426" t="n"/>
      <c r="B22" s="182" t="inlineStr">
        <is>
          <t>Total part-time, first-time, first-year women who enrolled</t>
        </is>
      </c>
      <c r="C22" s="494" t="n"/>
      <c r="D22" s="495" t="n"/>
      <c r="E22" s="119" t="n">
        <v>0</v>
      </c>
      <c r="F22" s="453" t="n"/>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c r="A23" s="426" t="n"/>
      <c r="B23" s="99" t="n"/>
      <c r="C23" s="370" t="n"/>
      <c r="D23" s="370" t="n"/>
      <c r="E23" s="337" t="n"/>
      <c r="F23" s="453" t="n"/>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c r="A24" s="426" t="n"/>
      <c r="B24" s="270" t="inlineStr">
        <is>
          <t>Total full-time, first-time, first-year of another gender who enrolled</t>
        </is>
      </c>
      <c r="C24" s="494" t="n"/>
      <c r="D24" s="495" t="n"/>
      <c r="E24" s="119" t="n">
        <v>2</v>
      </c>
      <c r="F24" s="453" t="n"/>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2.75" customHeight="1" s="348">
      <c r="A25" s="426" t="n"/>
      <c r="B25" s="182" t="inlineStr">
        <is>
          <t>Total part-time, first-time, first-year of another gender who enrolled</t>
        </is>
      </c>
      <c r="C25" s="494" t="n"/>
      <c r="D25" s="495" t="n"/>
      <c r="E25" s="119" t="n">
        <v>0</v>
      </c>
      <c r="F25" s="453" t="n"/>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c r="A26" s="426" t="n"/>
      <c r="B26" s="453" t="n"/>
      <c r="C26" s="364" t="n"/>
      <c r="D26" s="364" t="n"/>
      <c r="E26" s="160" t="n"/>
      <c r="F26" s="453"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n"/>
      <c r="B27" s="182" t="inlineStr">
        <is>
          <t>Total first-time, first-year (degree-seeking) who applied</t>
        </is>
      </c>
      <c r="C27" s="494" t="n"/>
      <c r="D27" s="495" t="n"/>
      <c r="E27" s="335" t="n">
        <v>63257</v>
      </c>
      <c r="F27" s="453" t="n"/>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182" t="inlineStr">
        <is>
          <t>Total first-time, first-year (degree-seeking) who were admitted</t>
        </is>
      </c>
      <c r="C28" s="494" t="n"/>
      <c r="D28" s="495" t="n"/>
      <c r="E28" s="335" t="n">
        <v>28354</v>
      </c>
      <c r="F28" s="453"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2.75" customHeight="1" s="348">
      <c r="A29" s="415" t="n"/>
      <c r="B29" s="182" t="inlineStr">
        <is>
          <t>Total first-time, first-year (degree-seeking) enrolled</t>
        </is>
      </c>
      <c r="C29" s="494" t="n"/>
      <c r="D29" s="495" t="n"/>
      <c r="E29" s="335" t="n">
        <v>7957</v>
      </c>
      <c r="F29" s="453" t="n"/>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c r="A30" s="415" t="n"/>
      <c r="B30" s="453" t="n"/>
      <c r="C30" s="364" t="n"/>
      <c r="D30" s="364" t="n"/>
      <c r="E30" s="160" t="n"/>
      <c r="F30" s="453" t="n"/>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8" customHeight="1" s="348">
      <c r="A31" s="426" t="inlineStr">
        <is>
          <t>C2</t>
        </is>
      </c>
      <c r="B31" s="401" t="inlineStr">
        <is>
          <t>First-time, first-year wait-listed students</t>
        </is>
      </c>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6.5" customHeight="1" s="348">
      <c r="A32" s="426" t="n"/>
      <c r="B32" s="367" t="inlineStr">
        <is>
          <t>Students who met admission requirements but whose final admission was contingent on space availability</t>
        </is>
      </c>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13.5" customHeight="1" s="348">
      <c r="A33" s="426" t="n"/>
      <c r="B33" s="367" t="n"/>
      <c r="C33" s="367" t="n"/>
      <c r="D33" s="367" t="n"/>
      <c r="E33" s="367" t="n"/>
      <c r="F33" s="367" t="n"/>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2.75" customHeight="1" s="348">
      <c r="A34" s="426" t="n"/>
      <c r="B34" s="402" t="n"/>
      <c r="C34" s="453" t="n"/>
      <c r="D34" s="187" t="inlineStr">
        <is>
          <t>Yes</t>
        </is>
      </c>
      <c r="E34" s="187" t="inlineStr">
        <is>
          <t>No</t>
        </is>
      </c>
      <c r="F34" s="453" t="n"/>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c r="A35" s="426" t="n"/>
      <c r="B35" s="397" t="inlineStr">
        <is>
          <t>Do you have a policy of placing students on a waiting list?</t>
        </is>
      </c>
      <c r="D35" s="119" t="inlineStr">
        <is>
          <t>X</t>
        </is>
      </c>
      <c r="E35" s="119" t="n"/>
      <c r="F35" s="453" t="n"/>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26" t="n"/>
      <c r="B36" s="397" t="n"/>
      <c r="C36" s="397" t="n"/>
      <c r="D36" s="160" t="n"/>
      <c r="E36" s="160" t="n"/>
      <c r="F36" s="453" t="n"/>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12.75" customHeight="1" s="348">
      <c r="A37" s="426" t="n"/>
      <c r="B37" s="410" t="inlineStr">
        <is>
          <t>If yes, please answer the questions below for Fall 2022 admissions:</t>
        </is>
      </c>
      <c r="E37" s="453" t="n"/>
      <c r="F37" s="161" t="n"/>
      <c r="G37" s="453"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c r="A38" s="426" t="n"/>
      <c r="B38" s="427" t="n"/>
      <c r="C38" s="427" t="n"/>
      <c r="D38" s="427" t="n"/>
      <c r="E38" s="175" t="n"/>
      <c r="F38" s="161" t="n"/>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12.75" customHeight="1" s="348">
      <c r="A39" s="426" t="n"/>
      <c r="B39" s="71" t="inlineStr">
        <is>
          <t>WAITING LIST</t>
        </is>
      </c>
      <c r="C39" s="494" t="n"/>
      <c r="D39" s="495" t="n"/>
      <c r="E39" s="71" t="inlineStr">
        <is>
          <t>TOTAL</t>
        </is>
      </c>
      <c r="F39" s="161" t="n"/>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426" t="n"/>
      <c r="B40" s="182" t="inlineStr">
        <is>
          <t>Number of qualified applicants offered a place on waiting list:</t>
        </is>
      </c>
      <c r="C40" s="494" t="n"/>
      <c r="D40" s="495" t="n"/>
      <c r="E40" s="335" t="n">
        <v>6423</v>
      </c>
      <c r="F40" s="161"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426" t="n"/>
      <c r="B41" s="182" t="inlineStr">
        <is>
          <t>Number accepting a place on the waiting list:</t>
        </is>
      </c>
      <c r="C41" s="494" t="n"/>
      <c r="D41" s="495" t="n"/>
      <c r="E41" s="335" t="n">
        <v>4080</v>
      </c>
      <c r="F41" s="161" t="n"/>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c r="A42" s="426" t="n"/>
      <c r="B42" s="182" t="inlineStr">
        <is>
          <t>Number of wait-listed students admitted:</t>
        </is>
      </c>
      <c r="C42" s="494" t="n"/>
      <c r="D42" s="495" t="n"/>
      <c r="E42" s="119" t="n">
        <v>166</v>
      </c>
      <c r="F42" s="453" t="n"/>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c r="A43" s="426" t="n"/>
      <c r="B43" s="402" t="n"/>
      <c r="E43" s="334" t="n"/>
      <c r="F43" s="160"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12.75" customHeight="1" s="348">
      <c r="A44" s="426" t="n"/>
      <c r="B44" s="400" t="inlineStr">
        <is>
          <t>Is your waiting list ranked?</t>
        </is>
      </c>
      <c r="C44" s="453" t="n"/>
      <c r="D44" s="187" t="inlineStr">
        <is>
          <t>Yes</t>
        </is>
      </c>
      <c r="E44" s="160" t="inlineStr">
        <is>
          <t>No</t>
        </is>
      </c>
      <c r="F44" s="453" t="n"/>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26" t="n"/>
      <c r="B45" s="510" t="inlineStr">
        <is>
          <t>If yes, do you release that information to students?</t>
        </is>
      </c>
      <c r="C45" s="509" t="n"/>
      <c r="D45" s="119" t="n"/>
      <c r="E45" s="119" t="inlineStr">
        <is>
          <t>X</t>
        </is>
      </c>
      <c r="F45" s="453"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26" t="n"/>
      <c r="B46" s="510" t="inlineStr">
        <is>
          <t>Do you release that information to school counselors?</t>
        </is>
      </c>
      <c r="C46" s="509" t="n"/>
      <c r="D46" s="119" t="n"/>
      <c r="E46" s="119"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15" t="n"/>
      <c r="B47" s="453" t="n"/>
      <c r="C47" s="453" t="n"/>
      <c r="D47" s="453" t="n"/>
      <c r="E47" s="453" t="n"/>
      <c r="F47" s="453" t="n"/>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30" t="n"/>
      <c r="B48" s="90" t="inlineStr">
        <is>
          <t>C3-C5: Admission Requirements</t>
        </is>
      </c>
      <c r="C48" s="453" t="n"/>
      <c r="D48" s="453" t="n"/>
      <c r="E48" s="453" t="n"/>
      <c r="F48" s="453" t="n"/>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30" t="n"/>
      <c r="B49" s="90" t="n"/>
      <c r="C49" s="453" t="n"/>
      <c r="D49" s="453" t="n"/>
      <c r="E49" s="453" t="n"/>
      <c r="F49" s="453" t="n"/>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inlineStr">
        <is>
          <t>C3</t>
        </is>
      </c>
      <c r="B50" s="66" t="inlineStr">
        <is>
          <t>High school completion requirement</t>
        </is>
      </c>
      <c r="C50" s="453" t="n"/>
      <c r="D50" s="453" t="n"/>
      <c r="E50" s="453" t="n"/>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33.75" customHeight="1" s="348">
      <c r="A51" s="426" t="n"/>
      <c r="B51" s="367" t="inlineStr">
        <is>
          <t>Check the appropriate box to identify your high school completion requirement for degree-seeking entering students:</t>
        </is>
      </c>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4.25" customHeight="1" s="348">
      <c r="A52" s="119" t="inlineStr">
        <is>
          <t>X</t>
        </is>
      </c>
      <c r="B52" s="394" t="inlineStr">
        <is>
          <t>High school diploma is required and GED is accepted</t>
        </is>
      </c>
      <c r="E52" s="453" t="n"/>
      <c r="F52" s="161"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4.25" customHeight="1" s="348">
      <c r="A53" s="119" t="n"/>
      <c r="B53" s="393" t="inlineStr">
        <is>
          <t>High school diploma is required and GED is not accepted</t>
        </is>
      </c>
      <c r="E53" s="453" t="n"/>
      <c r="F53" s="161"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3.5" customHeight="1" s="348">
      <c r="A54" s="119" t="n"/>
      <c r="B54" s="394" t="inlineStr">
        <is>
          <t>High school diploma or equivalent is not required</t>
        </is>
      </c>
      <c r="E54" s="453" t="n"/>
      <c r="F54" s="161"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30" customHeight="1" s="348">
      <c r="A56" s="426" t="inlineStr">
        <is>
          <t>C4</t>
        </is>
      </c>
      <c r="B56" s="395" t="inlineStr">
        <is>
          <t>Does your institution require or recommend a general college-preparatory program for degree-seeking students?</t>
        </is>
      </c>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119" t="inlineStr">
        <is>
          <t>X</t>
        </is>
      </c>
      <c r="B57" s="382" t="inlineStr">
        <is>
          <t>Require</t>
        </is>
      </c>
      <c r="D57" s="160" t="n"/>
      <c r="E57" s="453" t="n"/>
      <c r="F57" s="161"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119" t="n"/>
      <c r="B58" s="396" t="inlineStr">
        <is>
          <t>Recommend</t>
        </is>
      </c>
      <c r="D58" s="160" t="n"/>
      <c r="E58" s="453" t="n"/>
      <c r="F58" s="161"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119" t="n"/>
      <c r="B59" s="382" t="inlineStr">
        <is>
          <t>Neither require nor recommend</t>
        </is>
      </c>
      <c r="D59" s="160" t="n"/>
      <c r="E59" s="453" t="n"/>
      <c r="F59" s="161"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15" t="n"/>
      <c r="B60" s="453" t="n"/>
      <c r="C60" s="453" t="n"/>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54.75" customHeight="1" s="348">
      <c r="A61" s="426" t="inlineStr">
        <is>
          <t>C5</t>
        </is>
      </c>
      <c r="B61" s="401" t="inlineStr">
        <is>
          <t>Distribution of high school units required and/or recommended. Specify the distribution of academic high school course units required and/or recommended of all or most degree-seeking students using Carnegie units (one unit equals one year of study or its equivalent). If you use a different system for calculating units, please convert.</t>
        </is>
      </c>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26" t="n"/>
      <c r="B62" s="458" t="n"/>
      <c r="C62" s="226" t="inlineStr">
        <is>
          <t>Units
Required</t>
        </is>
      </c>
      <c r="D62" s="333" t="inlineStr">
        <is>
          <t>Units
Recommended</t>
        </is>
      </c>
      <c r="E62" s="162"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26" t="n"/>
      <c r="B63" s="331" t="inlineStr">
        <is>
          <t>Total academic units</t>
        </is>
      </c>
      <c r="C63" s="328" t="inlineStr">
        <is>
          <t>15 or 15.5</t>
        </is>
      </c>
      <c r="D63" s="327" t="inlineStr">
        <is>
          <t>24+</t>
        </is>
      </c>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26" t="n"/>
      <c r="B64" s="331" t="inlineStr">
        <is>
          <t>English</t>
        </is>
      </c>
      <c r="C64" s="328" t="n">
        <v>4</v>
      </c>
      <c r="D64" s="327" t="n">
        <v>4</v>
      </c>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26" t="n"/>
      <c r="B65" s="331" t="inlineStr">
        <is>
          <t>Mathematics</t>
        </is>
      </c>
      <c r="C65" s="328" t="inlineStr">
        <is>
          <t>3 or 3.5*</t>
        </is>
      </c>
      <c r="D65" s="327" t="n">
        <v>4</v>
      </c>
      <c r="E65" s="364" t="inlineStr">
        <is>
          <t>*additional semester of math required for certain majors</t>
        </is>
      </c>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26" t="n"/>
      <c r="B66" s="331" t="inlineStr">
        <is>
          <t>Science</t>
        </is>
      </c>
      <c r="C66" s="328" t="n">
        <v>2</v>
      </c>
      <c r="D66" s="327" t="n">
        <v>4</v>
      </c>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26" t="n"/>
      <c r="B67" s="332" t="inlineStr">
        <is>
          <t xml:space="preserve">    Of these, units that must be 
    lab</t>
        </is>
      </c>
      <c r="C67" s="328" t="n">
        <v>2</v>
      </c>
      <c r="D67" s="327" t="n">
        <v>4</v>
      </c>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26" t="n"/>
      <c r="B68" s="331" t="inlineStr">
        <is>
          <t>Foreign language</t>
        </is>
      </c>
      <c r="C68" s="328" t="n">
        <v>2</v>
      </c>
      <c r="D68" s="327" t="n">
        <v>4</v>
      </c>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26" t="n"/>
      <c r="B69" s="331" t="inlineStr">
        <is>
          <t>Social studies</t>
        </is>
      </c>
      <c r="C69" s="328" t="n">
        <v>2</v>
      </c>
      <c r="D69" s="327" t="n">
        <v>4</v>
      </c>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26" t="n"/>
      <c r="B70" s="331" t="inlineStr">
        <is>
          <t>History</t>
        </is>
      </c>
      <c r="C70" s="319" t="n"/>
      <c r="D70" s="330"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26" t="n"/>
      <c r="B71" s="329" t="inlineStr">
        <is>
          <t>Academic electives</t>
        </is>
      </c>
      <c r="C71" s="328" t="n">
        <v>2</v>
      </c>
      <c r="D71" s="327" t="inlineStr">
        <is>
          <t>4+</t>
        </is>
      </c>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26" t="n"/>
      <c r="B72" s="270" t="inlineStr">
        <is>
          <t>Computer Science</t>
        </is>
      </c>
      <c r="C72" s="325" t="n"/>
      <c r="D72" s="325"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26" t="n"/>
      <c r="B73" s="270" t="inlineStr">
        <is>
          <t>Visual/Performing Arts</t>
        </is>
      </c>
      <c r="C73" s="325" t="n"/>
      <c r="D73" s="325"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26" t="n"/>
      <c r="B74" s="326" t="inlineStr">
        <is>
          <t>Other (specify)</t>
        </is>
      </c>
      <c r="C74" s="119" t="n"/>
      <c r="D74" s="325"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15"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15" t="n"/>
      <c r="B76" s="253" t="inlineStr">
        <is>
          <t>C6-C7: Basis for Selection</t>
        </is>
      </c>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44.25" customHeight="1" s="348">
      <c r="A77" s="426" t="inlineStr">
        <is>
          <t>C6</t>
        </is>
      </c>
      <c r="B77" s="368" t="inlineStr">
        <is>
          <t>Do you have an open admission policy, under which virtually all secondary school graduates or students with GED equivalency diplomas are admitted without regard to academic record, test scores, or other qualifications? If so, check which applies:</t>
        </is>
      </c>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119" t="n"/>
      <c r="B78" s="412" t="inlineStr">
        <is>
          <t xml:space="preserve">Open admission policy as described above for all students </t>
        </is>
      </c>
      <c r="E78" s="381" t="n"/>
      <c r="F78" s="161"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21" customHeight="1" s="348">
      <c r="A79" s="426" t="n"/>
      <c r="B79" s="414" t="inlineStr">
        <is>
          <t>Open admission policy as described above for most students, but--</t>
        </is>
      </c>
      <c r="E79" s="381" t="n"/>
      <c r="F79" s="161"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119" t="n"/>
      <c r="B80" s="382" t="inlineStr">
        <is>
          <t>selective admission for out-of-state students</t>
        </is>
      </c>
      <c r="E80" s="381" t="n"/>
      <c r="F80" s="161"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119" t="n"/>
      <c r="B81" s="382" t="inlineStr">
        <is>
          <t>selective admission to some programs</t>
        </is>
      </c>
      <c r="E81" s="381" t="n"/>
      <c r="F81" s="161"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119" t="n"/>
      <c r="B82" s="396" t="inlineStr">
        <is>
          <t>other (explain):</t>
        </is>
      </c>
      <c r="C82" s="382" t="n"/>
      <c r="D82" s="382" t="n"/>
      <c r="E82" s="160" t="n"/>
      <c r="F82" s="161"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20" t="n"/>
      <c r="C83" s="498" t="n"/>
      <c r="D83" s="498" t="n"/>
      <c r="E83" s="498" t="n"/>
      <c r="F83" s="498"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15"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40.9" customHeight="1" s="348">
      <c r="A85" s="426" t="inlineStr">
        <is>
          <t>C7</t>
        </is>
      </c>
      <c r="B85" s="421" t="inlineStr">
        <is>
          <t>Relative importance of each of the following academic and nonacademic factors in your first-time, first-year, degree-seeking general (not including programs with specific criteria) admissions decisions.</t>
        </is>
      </c>
      <c r="C85" s="498" t="n"/>
      <c r="D85" s="498" t="n"/>
      <c r="E85" s="498" t="n"/>
      <c r="F85" s="498"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26" t="n"/>
      <c r="B86" s="158" t="n"/>
      <c r="C86" s="324" t="inlineStr">
        <is>
          <t>Very Important</t>
        </is>
      </c>
      <c r="D86" s="324" t="inlineStr">
        <is>
          <t>Important</t>
        </is>
      </c>
      <c r="E86" s="324" t="inlineStr">
        <is>
          <t>Considered</t>
        </is>
      </c>
      <c r="F86" s="324" t="inlineStr">
        <is>
          <t>Not Considered</t>
        </is>
      </c>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26" t="n"/>
      <c r="B87" s="322" t="inlineStr">
        <is>
          <t>Academic</t>
        </is>
      </c>
      <c r="C87" s="321" t="n"/>
      <c r="D87" s="321" t="n"/>
      <c r="E87" s="321" t="n"/>
      <c r="F87" s="320"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26" t="n"/>
      <c r="B88" s="323" t="inlineStr">
        <is>
          <t>Rigor of secondary school record</t>
        </is>
      </c>
      <c r="C88" s="319" t="inlineStr">
        <is>
          <t>x</t>
        </is>
      </c>
      <c r="D88" s="319" t="n"/>
      <c r="E88" s="319" t="n"/>
      <c r="F88" s="319"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26" t="n"/>
      <c r="B89" s="109" t="inlineStr">
        <is>
          <t>Class rank</t>
        </is>
      </c>
      <c r="C89" s="319" t="n"/>
      <c r="D89" s="319" t="n"/>
      <c r="E89" s="319" t="n"/>
      <c r="F89" s="319" t="inlineStr">
        <is>
          <t>x</t>
        </is>
      </c>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26" t="n"/>
      <c r="B90" s="270" t="inlineStr">
        <is>
          <t>Academic GPA</t>
        </is>
      </c>
      <c r="C90" s="319" t="inlineStr">
        <is>
          <t>x</t>
        </is>
      </c>
      <c r="D90" s="319" t="n"/>
      <c r="E90" s="319" t="n"/>
      <c r="F90" s="319"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26" t="n"/>
      <c r="B91" s="109" t="inlineStr">
        <is>
          <t>Standardized test scores</t>
        </is>
      </c>
      <c r="C91" s="319" t="n"/>
      <c r="D91" s="319" t="inlineStr">
        <is>
          <t>x</t>
        </is>
      </c>
      <c r="E91" s="319" t="n"/>
      <c r="F91" s="319"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26" t="n"/>
      <c r="B92" s="109" t="inlineStr">
        <is>
          <t>Application Essay</t>
        </is>
      </c>
      <c r="C92" s="319" t="n"/>
      <c r="D92" s="319" t="inlineStr">
        <is>
          <t>x</t>
        </is>
      </c>
      <c r="E92" s="319" t="n"/>
      <c r="F92" s="319"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26" t="n"/>
      <c r="B93" s="109" t="inlineStr">
        <is>
          <t>Recommendation(s)</t>
        </is>
      </c>
      <c r="C93" s="319" t="n"/>
      <c r="D93" s="319" t="n"/>
      <c r="E93" s="319" t="n"/>
      <c r="F93" s="319" t="inlineStr">
        <is>
          <t>x</t>
        </is>
      </c>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26" t="n"/>
      <c r="B94" s="322" t="inlineStr">
        <is>
          <t>Nonacademic</t>
        </is>
      </c>
      <c r="C94" s="321" t="n"/>
      <c r="D94" s="321" t="n"/>
      <c r="E94" s="321" t="n"/>
      <c r="F94" s="320"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26" t="n"/>
      <c r="B95" s="109" t="inlineStr">
        <is>
          <t>Interview</t>
        </is>
      </c>
      <c r="C95" s="319" t="n"/>
      <c r="D95" s="319" t="n"/>
      <c r="E95" s="319" t="n"/>
      <c r="F95" s="319" t="inlineStr">
        <is>
          <t>x</t>
        </is>
      </c>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26" t="n"/>
      <c r="B96" s="109" t="inlineStr">
        <is>
          <t>Extracurricular activities</t>
        </is>
      </c>
      <c r="C96" s="319" t="n"/>
      <c r="D96" s="319" t="inlineStr">
        <is>
          <t>x</t>
        </is>
      </c>
      <c r="E96" s="319" t="n"/>
      <c r="F96" s="319"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26" t="n"/>
      <c r="B97" s="109" t="inlineStr">
        <is>
          <t>Talent/ability</t>
        </is>
      </c>
      <c r="C97" s="319" t="n"/>
      <c r="D97" s="319" t="inlineStr">
        <is>
          <t>x</t>
        </is>
      </c>
      <c r="E97" s="319" t="n"/>
      <c r="F97" s="319"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26" t="n"/>
      <c r="B98" s="109" t="inlineStr">
        <is>
          <t>Character/personal qualities</t>
        </is>
      </c>
      <c r="C98" s="319" t="n"/>
      <c r="D98" s="319" t="inlineStr">
        <is>
          <t>x</t>
        </is>
      </c>
      <c r="E98" s="319" t="n"/>
      <c r="F98" s="319"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26" t="n"/>
      <c r="B99" s="109" t="inlineStr">
        <is>
          <t xml:space="preserve">First generation </t>
        </is>
      </c>
      <c r="C99" s="319" t="n"/>
      <c r="D99" s="319" t="inlineStr">
        <is>
          <t>x</t>
        </is>
      </c>
      <c r="E99" s="319" t="n"/>
      <c r="F99" s="319"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26" t="n"/>
      <c r="B100" s="109" t="inlineStr">
        <is>
          <t>Alumni/ae relation</t>
        </is>
      </c>
      <c r="C100" s="319" t="n"/>
      <c r="D100" s="319" t="n"/>
      <c r="E100" s="319" t="n"/>
      <c r="F100" s="319" t="inlineStr">
        <is>
          <t>x</t>
        </is>
      </c>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26" t="n"/>
      <c r="B101" s="109" t="inlineStr">
        <is>
          <t>Geographical residence</t>
        </is>
      </c>
      <c r="C101" s="319" t="n"/>
      <c r="D101" s="319" t="n"/>
      <c r="E101" s="319" t="inlineStr">
        <is>
          <t>x</t>
        </is>
      </c>
      <c r="F101" s="319"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26" t="n"/>
      <c r="B102" s="109" t="inlineStr">
        <is>
          <t>State residency</t>
        </is>
      </c>
      <c r="C102" s="319" t="n"/>
      <c r="D102" s="319" t="n"/>
      <c r="E102" s="319" t="inlineStr">
        <is>
          <t>x</t>
        </is>
      </c>
      <c r="F102" s="319"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3.5" customHeight="1" s="348">
      <c r="A103" s="426" t="n"/>
      <c r="B103" s="82" t="inlineStr">
        <is>
          <t>Religious affiliation/commitment</t>
        </is>
      </c>
      <c r="C103" s="319" t="n"/>
      <c r="D103" s="319" t="n"/>
      <c r="E103" s="319" t="n"/>
      <c r="F103" s="319" t="inlineStr">
        <is>
          <t>x</t>
        </is>
      </c>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26" t="n"/>
      <c r="B104" s="109" t="inlineStr">
        <is>
          <t>Racial/ethnic status</t>
        </is>
      </c>
      <c r="C104" s="319" t="n"/>
      <c r="D104" s="319" t="n"/>
      <c r="E104" s="319" t="inlineStr">
        <is>
          <t>x</t>
        </is>
      </c>
      <c r="F104" s="319"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26" t="n"/>
      <c r="B105" s="109" t="inlineStr">
        <is>
          <t>Volunteer work</t>
        </is>
      </c>
      <c r="C105" s="319" t="n"/>
      <c r="D105" s="319" t="n"/>
      <c r="E105" s="319" t="inlineStr">
        <is>
          <t>x</t>
        </is>
      </c>
      <c r="F105" s="319"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26" t="n"/>
      <c r="B106" s="109" t="inlineStr">
        <is>
          <t>Work experience</t>
        </is>
      </c>
      <c r="C106" s="319" t="n"/>
      <c r="D106" s="319" t="n"/>
      <c r="E106" s="319" t="inlineStr">
        <is>
          <t>x</t>
        </is>
      </c>
      <c r="F106" s="319"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26" t="n"/>
      <c r="B107" s="109" t="inlineStr">
        <is>
          <t>Level of applicant’s interest</t>
        </is>
      </c>
      <c r="C107" s="319" t="n"/>
      <c r="D107" s="319" t="n"/>
      <c r="E107" s="319" t="n"/>
      <c r="F107" s="319" t="inlineStr">
        <is>
          <t>x</t>
        </is>
      </c>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66" t="inlineStr">
        <is>
          <t>Please provide additional information if the importance of any specific academic or nonacademic factors differ by academic program.</t>
        </is>
      </c>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13" t="n"/>
      <c r="C110" s="498" t="n"/>
      <c r="D110" s="498" t="n"/>
      <c r="E110" s="498" t="n"/>
      <c r="F110" s="498"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24" customHeight="1" s="348">
      <c r="A111" s="415" t="n"/>
      <c r="B111" s="90" t="inlineStr">
        <is>
          <t>C8: SAT and ACT Policies</t>
        </is>
      </c>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26" t="n"/>
      <c r="B112" s="402" t="inlineStr">
        <is>
          <t xml:space="preserve">Entrance exams </t>
        </is>
      </c>
      <c r="C112" s="316" t="n"/>
      <c r="D112" s="316" t="n"/>
      <c r="E112" s="316" t="n"/>
      <c r="F112" s="316" t="n"/>
      <c r="G112" s="316" t="n"/>
      <c r="H112" s="476"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26" t="n"/>
      <c r="B113" s="511" t="n"/>
      <c r="D113" s="509" t="n"/>
      <c r="E113" s="119" t="inlineStr">
        <is>
          <t>Yes</t>
        </is>
      </c>
      <c r="F113" s="119" t="inlineStr">
        <is>
          <t>No</t>
        </is>
      </c>
      <c r="G113" s="316" t="n"/>
      <c r="H113" s="476"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39.75" customHeight="1" s="348">
      <c r="A114" s="426" t="n"/>
      <c r="B114" s="512" t="inlineStr">
        <is>
          <t xml:space="preserve">Does your institution make use of SAT, ACT, or SAT Subject Test scores in admission decisions for first-time, first-year, degree-seeking applicants?   </t>
        </is>
      </c>
      <c r="D114" s="509" t="n"/>
      <c r="E114" s="74" t="inlineStr">
        <is>
          <t>X</t>
        </is>
      </c>
      <c r="F114" s="314" t="n"/>
      <c r="G114" s="316" t="n"/>
      <c r="H114" s="316"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6.5" customHeight="1" s="348">
      <c r="A115" s="426" t="n"/>
      <c r="B115" s="396" t="n"/>
      <c r="C115" s="382" t="n"/>
      <c r="D115" s="382" t="n"/>
      <c r="E115" s="318" t="n"/>
      <c r="F115" s="317" t="n"/>
      <c r="G115" s="316" t="n"/>
      <c r="H115" s="316"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26.25" customHeight="1" s="348">
      <c r="A116" s="488" t="inlineStr">
        <is>
          <t>C8A</t>
        </is>
      </c>
      <c r="B116" s="403" t="inlineStr">
        <is>
          <t>If yes, place check marks in the appropriate boxes below to reflect your institution’s policies for use in admission for Fall 2023.</t>
        </is>
      </c>
      <c r="H116" s="453" t="n"/>
      <c r="I116" s="453" t="n"/>
      <c r="J116" s="453" t="n"/>
      <c r="K116" s="453" t="n"/>
      <c r="L116" s="453" t="n"/>
      <c r="M116" s="453" t="n"/>
      <c r="N116" s="453" t="n"/>
      <c r="O116" s="453" t="n"/>
      <c r="P116" s="453" t="n"/>
      <c r="Q116" s="453" t="n"/>
      <c r="R116" s="453" t="n"/>
      <c r="S116" s="453" t="n"/>
      <c r="T116" s="453" t="n"/>
      <c r="U116" s="453" t="n"/>
      <c r="V116" s="453" t="n"/>
      <c r="W116" s="453" t="n"/>
    </row>
    <row r="117" ht="12.75" customHeight="1" s="348">
      <c r="A117" s="426" t="n"/>
      <c r="B117" s="513" t="n"/>
      <c r="C117" s="514" t="inlineStr">
        <is>
          <t>ADMISSION</t>
        </is>
      </c>
      <c r="D117" s="494" t="n"/>
      <c r="E117" s="494" t="n"/>
      <c r="F117" s="494" t="n"/>
      <c r="G117" s="495" t="n"/>
      <c r="H117" s="428"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24" customHeight="1" s="348">
      <c r="A118" s="426" t="n"/>
      <c r="B118" s="503" t="n"/>
      <c r="C118" s="314" t="inlineStr">
        <is>
          <t>Require</t>
        </is>
      </c>
      <c r="D118" s="314" t="inlineStr">
        <is>
          <t>Recommend</t>
        </is>
      </c>
      <c r="E118" s="314" t="inlineStr">
        <is>
          <t>Require for Some</t>
        </is>
      </c>
      <c r="F118" s="315" t="inlineStr">
        <is>
          <t>Consider if Submitted</t>
        </is>
      </c>
      <c r="G118" s="314" t="inlineStr">
        <is>
          <t>Not Considered</t>
        </is>
      </c>
      <c r="H118" s="428"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26" t="n"/>
      <c r="B119" s="313" t="inlineStr">
        <is>
          <t>SAT or ACT</t>
        </is>
      </c>
      <c r="C119" s="74" t="n"/>
      <c r="D119" s="74" t="n"/>
      <c r="E119" s="74" t="n"/>
      <c r="F119" s="74" t="inlineStr">
        <is>
          <t>X</t>
        </is>
      </c>
      <c r="G119" s="312" t="n"/>
      <c r="H119" s="428"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26" t="n"/>
      <c r="B120" s="313" t="inlineStr">
        <is>
          <t>ACT Only</t>
        </is>
      </c>
      <c r="C120" s="74" t="n"/>
      <c r="D120" s="74" t="n"/>
      <c r="E120" s="74" t="n"/>
      <c r="F120" s="74" t="n"/>
      <c r="G120" s="312" t="n"/>
      <c r="H120" s="428"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26" t="n"/>
      <c r="B121" s="313" t="inlineStr">
        <is>
          <t>SAT Only</t>
        </is>
      </c>
      <c r="C121" s="74" t="n"/>
      <c r="D121" s="74" t="n"/>
      <c r="E121" s="74" t="n"/>
      <c r="F121" s="74" t="n"/>
      <c r="G121" s="312" t="n"/>
      <c r="H121" s="428"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26" t="n"/>
      <c r="B122" s="437" t="n"/>
      <c r="C122" s="476" t="n"/>
      <c r="D122" s="476" t="n"/>
      <c r="E122" s="476" t="n"/>
      <c r="F122" s="476" t="n"/>
      <c r="G122" s="428" t="n"/>
      <c r="H122" s="428"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5.6" customHeight="1" s="348">
      <c r="A123" s="395" t="inlineStr">
        <is>
          <t>C8B</t>
        </is>
      </c>
      <c r="B123" s="368" t="inlineStr">
        <is>
          <t>Has been removed from the CDS.</t>
        </is>
      </c>
      <c r="H123" s="428"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 customHeight="1" s="348">
      <c r="A124" s="395" t="n"/>
      <c r="B124" s="396" t="n"/>
      <c r="C124" s="396" t="n"/>
      <c r="D124" s="396" t="n"/>
      <c r="E124" s="368" t="n"/>
      <c r="F124" s="368" t="n"/>
      <c r="G124" s="428" t="n"/>
      <c r="H124" s="428" t="n"/>
      <c r="I124" s="368" t="n"/>
      <c r="J124" s="368" t="n"/>
      <c r="K124" s="368" t="n"/>
      <c r="L124" s="368" t="n"/>
      <c r="M124" s="368" t="n"/>
      <c r="N124" s="368" t="n"/>
      <c r="O124" s="368" t="n"/>
      <c r="P124" s="368" t="n"/>
      <c r="Q124" s="368" t="n"/>
      <c r="R124" s="368" t="n"/>
      <c r="S124" s="368" t="n"/>
      <c r="T124" s="368" t="n"/>
      <c r="U124" s="368" t="n"/>
      <c r="V124" s="368" t="n"/>
      <c r="W124" s="368" t="n"/>
      <c r="X124" s="368" t="n"/>
      <c r="Y124" s="368" t="n"/>
      <c r="Z124" s="368" t="n"/>
    </row>
    <row r="125" ht="12.75" customHeight="1" s="348">
      <c r="A125" s="395" t="inlineStr">
        <is>
          <t>C8C</t>
        </is>
      </c>
      <c r="B125" s="368" t="inlineStr">
        <is>
          <t>Has been removed from the CDS.</t>
        </is>
      </c>
      <c r="H125" s="428" t="n"/>
      <c r="I125" s="368" t="n"/>
      <c r="J125" s="368" t="n"/>
      <c r="K125" s="368" t="n"/>
      <c r="L125" s="368" t="n"/>
      <c r="M125" s="368" t="n"/>
      <c r="N125" s="368" t="n"/>
      <c r="O125" s="368" t="n"/>
      <c r="P125" s="368" t="n"/>
      <c r="Q125" s="368" t="n"/>
      <c r="R125" s="368" t="n"/>
      <c r="S125" s="368" t="n"/>
      <c r="T125" s="368" t="n"/>
      <c r="U125" s="368" t="n"/>
      <c r="V125" s="368" t="n"/>
      <c r="W125" s="368" t="n"/>
      <c r="X125" s="368" t="n"/>
      <c r="Y125" s="368" t="n"/>
      <c r="Z125" s="368" t="n"/>
    </row>
    <row r="126" ht="12.75" customHeight="1" s="348">
      <c r="A126" s="426" t="n"/>
      <c r="B126" s="437" t="n"/>
      <c r="C126" s="476" t="n"/>
      <c r="D126" s="476" t="n"/>
      <c r="E126" s="476" t="n"/>
      <c r="F126" s="476" t="n"/>
      <c r="G126" s="428" t="n"/>
      <c r="H126" s="428" t="n"/>
      <c r="I126" s="368" t="n"/>
      <c r="J126" s="368" t="n"/>
      <c r="K126" s="368" t="n"/>
      <c r="L126" s="368" t="n"/>
      <c r="M126" s="368" t="n"/>
      <c r="N126" s="368" t="n"/>
      <c r="O126" s="368" t="n"/>
      <c r="P126" s="368" t="n"/>
      <c r="Q126" s="368" t="n"/>
      <c r="R126" s="368" t="n"/>
      <c r="S126" s="368" t="n"/>
      <c r="T126" s="368" t="n"/>
      <c r="U126" s="368" t="n"/>
      <c r="V126" s="368" t="n"/>
      <c r="W126" s="368" t="n"/>
      <c r="X126" s="368" t="n"/>
      <c r="Y126" s="368" t="n"/>
      <c r="Z126" s="368" t="n"/>
    </row>
    <row r="127" ht="12.75" customHeight="1" s="348">
      <c r="A127" s="426" t="inlineStr">
        <is>
          <t>C8D</t>
        </is>
      </c>
      <c r="B127" s="400" t="inlineStr">
        <is>
          <t>In addition, does your institution use applicants' test scores for academic advising?</t>
        </is>
      </c>
      <c r="G127" s="428" t="n"/>
      <c r="H127" s="428"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26" t="n"/>
      <c r="B128" s="402" t="n"/>
      <c r="C128" s="453" t="n"/>
      <c r="D128" s="453" t="n"/>
      <c r="E128" s="453" t="n"/>
      <c r="F128" s="453" t="n"/>
      <c r="G128" s="428" t="n"/>
      <c r="H128" s="428"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119" t="inlineStr">
        <is>
          <t>X</t>
        </is>
      </c>
      <c r="B129" s="412" t="inlineStr">
        <is>
          <t>Yes</t>
        </is>
      </c>
      <c r="C129" s="160" t="n"/>
      <c r="D129" s="160" t="n"/>
      <c r="E129" s="453" t="n"/>
      <c r="F129" s="453" t="n"/>
      <c r="G129" s="428" t="n"/>
      <c r="H129" s="428"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119" t="n"/>
      <c r="B130" s="311" t="inlineStr">
        <is>
          <t>No</t>
        </is>
      </c>
      <c r="C130" s="310" t="n"/>
      <c r="D130" s="310" t="n"/>
      <c r="E130" s="428" t="n"/>
      <c r="F130" s="428" t="n"/>
      <c r="G130" s="428" t="n"/>
      <c r="H130" s="428"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276" t="n"/>
      <c r="D131" s="410" t="n"/>
      <c r="E131" s="453" t="n"/>
      <c r="F131" s="161" t="n"/>
      <c r="G131" s="453" t="n"/>
      <c r="H131" s="428"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26" t="inlineStr">
        <is>
          <t>C8E</t>
        </is>
      </c>
      <c r="B132" s="409" t="inlineStr">
        <is>
          <t>Latest date by which SAT or ACT scores must be received for fall-term admission</t>
        </is>
      </c>
      <c r="F132" s="309" t="n">
        <v>44937</v>
      </c>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 customHeight="1" s="348">
      <c r="A133" s="426" t="n"/>
      <c r="B133" s="382" t="inlineStr">
        <is>
          <t>Latest date by which SAT Subject Test scores must be received for fall-term admission</t>
        </is>
      </c>
      <c r="F133" s="88"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27" customHeight="1" s="348">
      <c r="A134" s="426" t="n"/>
      <c r="B134" s="382" t="n"/>
      <c r="C134" s="382" t="n"/>
      <c r="D134" s="382" t="n"/>
      <c r="E134" s="515" t="n"/>
      <c r="F134" s="161"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3.5" customHeight="1" s="348">
      <c r="A135" s="426" t="inlineStr">
        <is>
          <t>C8F</t>
        </is>
      </c>
      <c r="B135" s="382" t="inlineStr">
        <is>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is>
      </c>
      <c r="D135" s="178" t="n"/>
      <c r="E135" s="499" t="n"/>
      <c r="F135" s="516"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67.5" customHeight="1" s="348">
      <c r="A136" s="426" t="n"/>
      <c r="D136" s="517" t="n"/>
      <c r="E136" s="498" t="n"/>
      <c r="F136" s="518"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26" t="n"/>
      <c r="B137" s="415" t="n"/>
      <c r="C137" s="415" t="n"/>
      <c r="D137" s="415" t="n"/>
      <c r="E137" s="515" t="n"/>
      <c r="F137" s="161"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5.75" customHeight="1" s="348">
      <c r="A138" s="426" t="inlineStr">
        <is>
          <t>C8G</t>
        </is>
      </c>
      <c r="B138" s="428" t="inlineStr">
        <is>
          <t>Please indicate which tests your institution uses for placement (e.g., state tests):</t>
        </is>
      </c>
      <c r="G138" s="428"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307" t="inlineStr">
        <is>
          <t>X</t>
        </is>
      </c>
      <c r="B139" s="396" t="inlineStr">
        <is>
          <t>SAT</t>
        </is>
      </c>
      <c r="C139" s="414" t="n"/>
      <c r="D139" s="414" t="n"/>
      <c r="E139" s="308" t="n"/>
      <c r="F139" s="428"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307" t="inlineStr">
        <is>
          <t>X</t>
        </is>
      </c>
      <c r="B140" s="396" t="inlineStr">
        <is>
          <t>ACT</t>
        </is>
      </c>
      <c r="E140" s="160" t="n"/>
      <c r="F140" s="428"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307" t="n"/>
      <c r="B141" s="396" t="inlineStr">
        <is>
          <t>SAT Subject Tests</t>
        </is>
      </c>
      <c r="C141" s="414" t="n"/>
      <c r="D141" s="414" t="n"/>
      <c r="E141" s="160"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307" t="inlineStr">
        <is>
          <t>X</t>
        </is>
      </c>
      <c r="B142" s="396" t="inlineStr">
        <is>
          <t>AP</t>
        </is>
      </c>
      <c r="C142" s="414" t="n"/>
      <c r="D142" s="414" t="n"/>
      <c r="E142" s="160"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307" t="n"/>
      <c r="B143" s="382" t="inlineStr">
        <is>
          <t>CLEP</t>
        </is>
      </c>
      <c r="C143" s="414" t="n"/>
      <c r="D143" s="414" t="n"/>
      <c r="E143" s="515" t="n"/>
      <c r="F143" s="161"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307" t="inlineStr">
        <is>
          <t>X</t>
        </is>
      </c>
      <c r="B144" s="396" t="inlineStr">
        <is>
          <t>Institutional Exam</t>
        </is>
      </c>
      <c r="C144" s="410" t="n"/>
      <c r="D144" s="410" t="n"/>
      <c r="E144" s="160"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307" t="n"/>
      <c r="B145" s="396" t="inlineStr">
        <is>
          <t>State Exam (specify):</t>
        </is>
      </c>
      <c r="C145" s="427" t="n"/>
      <c r="D145" s="498" t="n"/>
      <c r="E145" s="498" t="n"/>
      <c r="F145" s="498"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26" t="n"/>
      <c r="B146" s="382" t="n"/>
      <c r="C146" s="382" t="n"/>
      <c r="D146" s="382" t="n"/>
      <c r="E146" s="515" t="n"/>
      <c r="F146" s="161"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26" t="n"/>
      <c r="B147" s="382" t="n"/>
      <c r="C147" s="382" t="n"/>
      <c r="D147" s="382" t="n"/>
      <c r="E147" s="515" t="n"/>
      <c r="F147" s="161"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26" t="n"/>
      <c r="B148" s="382" t="n"/>
      <c r="C148" s="382" t="n"/>
      <c r="D148" s="382" t="n"/>
      <c r="E148" s="515" t="n"/>
      <c r="F148" s="161"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26" t="n"/>
      <c r="B149" s="382" t="n"/>
      <c r="C149" s="382" t="n"/>
      <c r="D149" s="382" t="n"/>
      <c r="E149" s="515" t="n"/>
      <c r="F149" s="161"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26" t="n"/>
      <c r="B150" s="382" t="n"/>
      <c r="C150" s="382" t="n"/>
      <c r="D150" s="382" t="n"/>
      <c r="E150" s="515" t="n"/>
      <c r="F150" s="161"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26" t="n"/>
      <c r="B151" s="382" t="n"/>
      <c r="C151" s="382" t="n"/>
      <c r="D151" s="382" t="n"/>
      <c r="E151" s="515" t="n"/>
      <c r="F151" s="161"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26" t="n"/>
      <c r="B152" s="382" t="n"/>
      <c r="C152" s="382" t="n"/>
      <c r="D152" s="382" t="n"/>
      <c r="E152" s="515" t="n"/>
      <c r="F152" s="161"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26" t="n"/>
      <c r="B153" s="382" t="n"/>
      <c r="C153" s="382" t="n"/>
      <c r="D153" s="382" t="n"/>
      <c r="E153" s="515" t="n"/>
      <c r="F153" s="161"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26" t="n"/>
      <c r="B154" s="382" t="n"/>
      <c r="C154" s="382" t="n"/>
      <c r="D154" s="382" t="n"/>
      <c r="E154" s="515" t="n"/>
      <c r="F154" s="161"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26" t="n"/>
      <c r="B155" s="382" t="n"/>
      <c r="C155" s="382" t="n"/>
      <c r="D155" s="382" t="n"/>
      <c r="E155" s="515" t="n"/>
      <c r="F155" s="161"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26" t="n"/>
      <c r="B156" s="382" t="n"/>
      <c r="C156" s="382" t="n"/>
      <c r="D156" s="382" t="n"/>
      <c r="E156" s="515" t="n"/>
      <c r="F156" s="161"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26" t="n"/>
      <c r="B157" s="382" t="n"/>
      <c r="C157" s="382" t="n"/>
      <c r="D157" s="382" t="n"/>
      <c r="E157" s="515" t="n"/>
      <c r="F157" s="161"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26" t="n"/>
      <c r="B158" s="382" t="n"/>
      <c r="C158" s="382" t="n"/>
      <c r="D158" s="382" t="n"/>
      <c r="E158" s="515" t="n"/>
      <c r="F158" s="161"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26" t="n"/>
      <c r="B159" s="382" t="n"/>
      <c r="C159" s="382" t="n"/>
      <c r="D159" s="382" t="n"/>
      <c r="E159" s="515" t="n"/>
      <c r="F159" s="161"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26" t="n"/>
      <c r="B160" s="382" t="n"/>
      <c r="C160" s="382" t="n"/>
      <c r="D160" s="382" t="n"/>
      <c r="E160" s="515" t="n"/>
      <c r="F160" s="161"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26" t="n"/>
      <c r="B161" s="382" t="n"/>
      <c r="C161" s="382" t="n"/>
      <c r="D161" s="382" t="n"/>
      <c r="E161" s="515" t="n"/>
      <c r="F161" s="161"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26" t="n"/>
      <c r="B162" s="382" t="n"/>
      <c r="C162" s="382" t="n"/>
      <c r="D162" s="382" t="n"/>
      <c r="E162" s="515" t="n"/>
      <c r="F162" s="161"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26" t="n"/>
      <c r="B163" s="453" t="n"/>
      <c r="C163" s="382" t="n"/>
      <c r="D163" s="382" t="n"/>
      <c r="E163" s="515" t="n"/>
      <c r="F163" s="161"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90" t="inlineStr">
        <is>
          <t xml:space="preserve">C9-C12: First-time, first-year Profile </t>
        </is>
      </c>
      <c r="C164" s="276" t="n"/>
      <c r="D164" s="410" t="n"/>
      <c r="E164" s="453" t="n"/>
      <c r="F164" s="161"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39" customHeight="1" s="348">
      <c r="A165" s="415" t="n"/>
      <c r="B165" s="396" t="inlineStr">
        <is>
          <t>Provide information for ALL enrolled, degree-seeking, full-time and part-time, first-time, first-year students enrolled in Fall 2022, including students who began studies during summer, international students/nonresidents, and students admitted under special arrangements.</t>
        </is>
      </c>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5" customHeight="1" s="348">
      <c r="A166" s="415" t="n"/>
      <c r="B166" s="90" t="n"/>
      <c r="C166" s="276" t="n"/>
      <c r="D166" s="410" t="n"/>
      <c r="E166" s="453" t="n"/>
      <c r="F166" s="161"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31.5" customHeight="1" s="348">
      <c r="A167" s="426" t="inlineStr">
        <is>
          <t>C9</t>
        </is>
      </c>
      <c r="B167" s="401" t="inlineStr">
        <is>
          <t>Percent and number of first-time, first-year students enrolled in Fall 2022 who submitted national standardized (SAT/ACT) test scores.</t>
        </is>
      </c>
      <c r="G167" s="453" t="n"/>
      <c r="H167" s="464"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27" customHeight="1" s="348">
      <c r="A168" s="426" t="n"/>
      <c r="B168" s="396" t="inlineStr">
        <is>
          <t>•     Include information for ALL enrolled, degree-seeking, first-time, first-year students who submitted 
      test scores.</t>
        </is>
      </c>
      <c r="G168" s="453" t="n"/>
      <c r="H168" s="462"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29.25" customHeight="1" s="348">
      <c r="A169" s="426" t="n"/>
      <c r="B169" s="399" t="inlineStr">
        <is>
          <t>•     Do not include partial test scores (e.g., mathematics scores but not critical reading for a category of 
      students) or combine other standardized test results (such as TOEFL) in this item.</t>
        </is>
      </c>
      <c r="G169" s="453" t="n"/>
      <c r="H169" s="462"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3.5" customHeight="1" s="348">
      <c r="A170" s="426" t="n"/>
      <c r="B170" s="399" t="inlineStr">
        <is>
          <t>•     Do not convert SAT scores to ACT scores and vice versa.</t>
        </is>
      </c>
      <c r="G170" s="453" t="n"/>
      <c r="H170" s="462"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29.25" customHeight="1" s="348">
      <c r="A171" s="426" t="n"/>
      <c r="B171" s="399" t="inlineStr">
        <is>
          <t>•     If a student submitted multiple sets of scores for a single test, report this information according to how 
      you use the data. For example:</t>
        </is>
      </c>
      <c r="G171" s="453" t="n"/>
      <c r="H171" s="462"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27" customHeight="1" s="348">
      <c r="A172" s="426" t="n"/>
      <c r="B172" s="399" t="inlineStr">
        <is>
          <t>•     If you consider the highest scores from either submission, use the highest combination of scores 
      (e.g., verbal from one submission, math from the other).</t>
        </is>
      </c>
      <c r="G172" s="453" t="n"/>
      <c r="H172" s="462"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4.25" customHeight="1" s="348">
      <c r="A173" s="426" t="n"/>
      <c r="B173" s="399" t="inlineStr">
        <is>
          <t>•     If you average the scores, use the average to report the scores.</t>
        </is>
      </c>
      <c r="G173" s="453" t="n"/>
      <c r="H173" s="462"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3.5" customHeight="1" s="348">
      <c r="A174" s="426" t="n"/>
      <c r="B174" s="399" t="n"/>
      <c r="C174" s="382" t="n"/>
      <c r="D174" s="382" t="n"/>
      <c r="E174" s="382" t="n"/>
      <c r="F174" s="382" t="n"/>
      <c r="G174" s="453" t="n"/>
      <c r="H174" s="462"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26" t="n"/>
      <c r="B175" s="291" t="n"/>
      <c r="C175" s="305" t="inlineStr">
        <is>
          <t>Percent</t>
        </is>
      </c>
      <c r="D175" s="304" t="inlineStr">
        <is>
          <t>Number</t>
        </is>
      </c>
      <c r="E175" s="368" t="n"/>
      <c r="F175" s="300"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26" t="n"/>
      <c r="B176" s="303" t="inlineStr">
        <is>
          <t>Submitting SAT Scores</t>
        </is>
      </c>
      <c r="C176" s="302" t="n">
        <v>0.4379</v>
      </c>
      <c r="D176" s="301" t="n">
        <v>3484</v>
      </c>
      <c r="E176" s="382" t="n"/>
      <c r="F176" s="300"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26" t="n"/>
      <c r="B177" s="303" t="inlineStr">
        <is>
          <t>Submitting ACT Scores</t>
        </is>
      </c>
      <c r="C177" s="302" t="n">
        <v>0.1959</v>
      </c>
      <c r="D177" s="301" t="n">
        <v>1559</v>
      </c>
      <c r="E177" s="382" t="n"/>
      <c r="F177" s="300"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26" t="n"/>
      <c r="B178" s="399" t="n"/>
      <c r="C178" s="382" t="n"/>
      <c r="D178" s="382" t="n"/>
      <c r="E178" s="382" t="n"/>
      <c r="F178" s="382"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26" t="n"/>
      <c r="B179" s="399" t="inlineStr">
        <is>
          <t>For each assessment listed below, report the score that represents the 25th percentile (the score that 25 percent of the first-time, first-year population scored at or below) and the 75th percentile score (the score that 25 percent scored at or above).</t>
        </is>
      </c>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26"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26"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26" t="n"/>
      <c r="B182" s="399" t="n"/>
      <c r="C182" s="382" t="n"/>
      <c r="D182" s="382" t="n"/>
      <c r="E182" s="382" t="n"/>
      <c r="F182" s="382"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26" t="n"/>
      <c r="B183" s="71" t="inlineStr">
        <is>
          <t>Assessment</t>
        </is>
      </c>
      <c r="C183" s="71" t="inlineStr">
        <is>
          <t>25th Percentile</t>
        </is>
      </c>
      <c r="D183" s="71" t="inlineStr">
        <is>
          <t>50th Percentile</t>
        </is>
      </c>
      <c r="E183" s="71" t="inlineStr">
        <is>
          <t>75th Percentile</t>
        </is>
      </c>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26" t="n"/>
      <c r="B184" s="182" t="inlineStr">
        <is>
          <t>SAT Composite</t>
        </is>
      </c>
      <c r="C184" s="299" t="n">
        <v>1350</v>
      </c>
      <c r="D184" s="299" t="n">
        <v>1440</v>
      </c>
      <c r="E184" s="299" t="n">
        <v>1510</v>
      </c>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26" t="n"/>
      <c r="B185" s="212" t="inlineStr">
        <is>
          <t>SAT Evidence-Based Reading and Writing</t>
        </is>
      </c>
      <c r="C185" s="119" t="n">
        <v>660</v>
      </c>
      <c r="D185" s="119" t="n">
        <v>700</v>
      </c>
      <c r="E185" s="119" t="n">
        <v>740</v>
      </c>
      <c r="F185" s="382"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26" t="n"/>
      <c r="B186" s="182" t="inlineStr">
        <is>
          <t>SAT Math</t>
        </is>
      </c>
      <c r="C186" s="119" t="n">
        <v>680</v>
      </c>
      <c r="D186" s="119" t="n">
        <v>750</v>
      </c>
      <c r="E186" s="119" t="n">
        <v>790</v>
      </c>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26" t="n"/>
      <c r="B187" s="182" t="inlineStr">
        <is>
          <t>ACT Composite</t>
        </is>
      </c>
      <c r="C187" s="119" t="n">
        <v>29</v>
      </c>
      <c r="D187" s="119" t="n">
        <v>32</v>
      </c>
      <c r="E187" s="119" t="n">
        <v>34</v>
      </c>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26" t="n"/>
      <c r="B188" s="182" t="inlineStr">
        <is>
          <t>ACT Math</t>
        </is>
      </c>
      <c r="C188" s="119" t="n">
        <v>28</v>
      </c>
      <c r="D188" s="119" t="n">
        <v>31</v>
      </c>
      <c r="E188" s="119" t="n">
        <v>34</v>
      </c>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26" t="n"/>
      <c r="B189" s="182" t="inlineStr">
        <is>
          <t>ACT English</t>
        </is>
      </c>
      <c r="C189" s="119" t="n">
        <v>31</v>
      </c>
      <c r="D189" s="119" t="n">
        <v>34</v>
      </c>
      <c r="E189" s="119" t="n">
        <v>35</v>
      </c>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26" t="n"/>
      <c r="B190" s="182" t="inlineStr">
        <is>
          <t>ACT Writing</t>
        </is>
      </c>
      <c r="C190" s="119" t="n"/>
      <c r="D190" s="119" t="n"/>
      <c r="E190" s="119"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26" t="n"/>
      <c r="B191" s="182" t="inlineStr">
        <is>
          <t>ACT Science</t>
        </is>
      </c>
      <c r="C191" s="119" t="n"/>
      <c r="D191" s="119" t="n"/>
      <c r="E191" s="119"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26" t="n"/>
      <c r="B192" s="182" t="inlineStr">
        <is>
          <t>ACT Reading</t>
        </is>
      </c>
      <c r="C192" s="119" t="n"/>
      <c r="D192" s="119" t="n"/>
      <c r="E192" s="119"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297" t="n"/>
      <c r="D193" s="297"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17" t="inlineStr">
        <is>
          <t>Percent of first-time, first-year students with scores in each range:</t>
        </is>
      </c>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297" t="n"/>
      <c r="D195" s="297"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298" t="inlineStr">
        <is>
          <t>Score Range</t>
        </is>
      </c>
      <c r="C196" s="142" t="inlineStr">
        <is>
          <t>SAT Evidence-Based Reading and Writing</t>
        </is>
      </c>
      <c r="D196" s="298" t="inlineStr">
        <is>
          <t>SAT Math</t>
        </is>
      </c>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289" t="inlineStr">
        <is>
          <t>700-800</t>
        </is>
      </c>
      <c r="C197" s="282" t="n">
        <v>0.5394165</v>
      </c>
      <c r="D197" s="282" t="n">
        <v>0.708255</v>
      </c>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289" t="inlineStr">
        <is>
          <t>600-699</t>
        </is>
      </c>
      <c r="C198" s="282" t="n">
        <v>0.403786</v>
      </c>
      <c r="D198" s="282" t="n">
        <v>0.2315332092</v>
      </c>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289" t="inlineStr">
        <is>
          <t>500-599</t>
        </is>
      </c>
      <c r="C199" s="282" t="n">
        <v>0.054934</v>
      </c>
      <c r="D199" s="282" t="n">
        <v>0.0574177</v>
      </c>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289" t="inlineStr">
        <is>
          <t>400-499</t>
        </is>
      </c>
      <c r="C200" s="282" t="n">
        <v>0.0018621</v>
      </c>
      <c r="D200" s="282" t="n">
        <v>0.0024829</v>
      </c>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289" t="inlineStr">
        <is>
          <t>300-399</t>
        </is>
      </c>
      <c r="C201" s="282" t="n">
        <v>0</v>
      </c>
      <c r="D201" s="282" t="n">
        <v>0.00031</v>
      </c>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289" t="inlineStr">
        <is>
          <t>200-299</t>
        </is>
      </c>
      <c r="C202" s="282" t="n">
        <v>0</v>
      </c>
      <c r="D202" s="282" t="n">
        <v>0</v>
      </c>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182" t="inlineStr">
        <is>
          <t>Totals should = 100%</t>
        </is>
      </c>
      <c r="C203" s="282">
        <f>SUM(C197:C202)</f>
        <v/>
      </c>
      <c r="D203" s="282">
        <f>SUM(D197:D202)</f>
        <v/>
      </c>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297" t="n"/>
      <c r="D204" s="297"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26" t="n"/>
      <c r="B205" s="71" t="inlineStr">
        <is>
          <t>Score Range</t>
        </is>
      </c>
      <c r="C205" s="296" t="inlineStr">
        <is>
          <t>SAT Composite</t>
        </is>
      </c>
      <c r="D205" s="291" t="n"/>
      <c r="E205" s="291" t="n"/>
      <c r="F205" s="291"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26" t="n"/>
      <c r="B206" s="295" t="inlineStr">
        <is>
          <t>1400-1600</t>
        </is>
      </c>
      <c r="C206" s="293" t="n">
        <v>0.6288</v>
      </c>
      <c r="D206" s="291" t="n"/>
      <c r="E206" s="291" t="n"/>
      <c r="F206" s="291"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26" t="n"/>
      <c r="B207" s="295" t="inlineStr">
        <is>
          <t>1200-1399</t>
        </is>
      </c>
      <c r="C207" s="293" t="n">
        <v>0.325574</v>
      </c>
      <c r="D207" s="291" t="n"/>
      <c r="E207" s="291" t="n"/>
      <c r="F207" s="291"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26" t="n"/>
      <c r="B208" s="295" t="inlineStr">
        <is>
          <t>1000-1199</t>
        </is>
      </c>
      <c r="C208" s="293" t="n">
        <v>0.04438237</v>
      </c>
      <c r="D208" s="291" t="n"/>
      <c r="E208" s="291" t="n"/>
      <c r="F208" s="291"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26" t="n"/>
      <c r="B209" s="295" t="inlineStr">
        <is>
          <t>800-999</t>
        </is>
      </c>
      <c r="C209" s="293" t="n">
        <v>0.00124146</v>
      </c>
      <c r="D209" s="291" t="n"/>
      <c r="E209" s="291" t="n"/>
      <c r="F209" s="291"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26" t="n"/>
      <c r="B210" s="295" t="inlineStr">
        <is>
          <t>600-799</t>
        </is>
      </c>
      <c r="C210" s="294" t="n">
        <v>0</v>
      </c>
      <c r="D210" s="291" t="n"/>
      <c r="E210" s="291" t="n"/>
      <c r="F210" s="291"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26" t="n"/>
      <c r="B211" s="295" t="inlineStr">
        <is>
          <t>400-599</t>
        </is>
      </c>
      <c r="C211" s="294" t="n">
        <v>0</v>
      </c>
      <c r="D211" s="291" t="n"/>
      <c r="E211" s="291" t="n"/>
      <c r="F211" s="291"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26" t="n"/>
      <c r="B212" s="182" t="inlineStr">
        <is>
          <t>Totals should = 100%</t>
        </is>
      </c>
      <c r="C212" s="293">
        <f>SUM(C206:C211)</f>
        <v/>
      </c>
      <c r="D212" s="291" t="n"/>
      <c r="E212" s="291" t="n"/>
      <c r="F212" s="291"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26" t="n"/>
      <c r="B213" s="453" t="n"/>
      <c r="C213" s="292" t="n"/>
      <c r="D213" s="291" t="n"/>
      <c r="E213" s="291" t="n"/>
      <c r="F213" s="291"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26" t="n"/>
      <c r="B214" s="71" t="inlineStr">
        <is>
          <t>Score Range</t>
        </is>
      </c>
      <c r="C214" s="71" t="inlineStr">
        <is>
          <t>ACT Composite</t>
        </is>
      </c>
      <c r="D214" s="71" t="inlineStr">
        <is>
          <t>ACT English</t>
        </is>
      </c>
      <c r="E214" s="71" t="inlineStr">
        <is>
          <t>ACT Math</t>
        </is>
      </c>
      <c r="F214" s="71" t="inlineStr">
        <is>
          <t>ACT Reading</t>
        </is>
      </c>
      <c r="G214" s="71" t="inlineStr">
        <is>
          <t>ACT Science</t>
        </is>
      </c>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26" t="n"/>
      <c r="B215" s="289" t="inlineStr">
        <is>
          <t>30-36</t>
        </is>
      </c>
      <c r="C215" s="282" t="n">
        <v>0.75</v>
      </c>
      <c r="D215" s="282" t="n">
        <v>0.819</v>
      </c>
      <c r="E215" s="282" t="n">
        <v>0.6228956229</v>
      </c>
      <c r="F215" s="282" t="n"/>
      <c r="G215" s="282"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26" t="n"/>
      <c r="B216" s="289" t="inlineStr">
        <is>
          <t>24-29</t>
        </is>
      </c>
      <c r="C216" s="282" t="n">
        <v>0.2432659933</v>
      </c>
      <c r="D216" s="282" t="n">
        <v>0.165845</v>
      </c>
      <c r="E216" s="282" t="n">
        <v>0.3333333</v>
      </c>
      <c r="F216" s="282" t="n"/>
      <c r="G216" s="282"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26" t="n"/>
      <c r="B217" s="289" t="inlineStr">
        <is>
          <t>18-23</t>
        </is>
      </c>
      <c r="C217" s="282" t="n">
        <v>0.006734</v>
      </c>
      <c r="D217" s="282" t="n">
        <v>0.01515151</v>
      </c>
      <c r="E217" s="282" t="n">
        <v>0.04292929</v>
      </c>
      <c r="F217" s="282" t="n"/>
      <c r="G217" s="282"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26" t="n"/>
      <c r="B218" s="290" t="inlineStr">
        <is>
          <t>12-17</t>
        </is>
      </c>
      <c r="C218" s="282" t="n">
        <v>0</v>
      </c>
      <c r="D218" s="282" t="n">
        <v>0</v>
      </c>
      <c r="E218" s="282" t="n">
        <v>0.0008417500000000001</v>
      </c>
      <c r="F218" s="282" t="n"/>
      <c r="G218" s="282"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26" t="n"/>
      <c r="B219" s="290" t="inlineStr">
        <is>
          <t>6-11</t>
        </is>
      </c>
      <c r="C219" s="282" t="n">
        <v>0</v>
      </c>
      <c r="D219" s="282" t="n">
        <v>0</v>
      </c>
      <c r="E219" s="282" t="n">
        <v>0</v>
      </c>
      <c r="F219" s="282" t="n"/>
      <c r="G219" s="282"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26" t="n"/>
      <c r="B220" s="289" t="inlineStr">
        <is>
          <t>Below 6</t>
        </is>
      </c>
      <c r="C220" s="282" t="n">
        <v>0</v>
      </c>
      <c r="D220" s="282" t="n">
        <v>0</v>
      </c>
      <c r="E220" s="282" t="n">
        <v>0</v>
      </c>
      <c r="F220" s="282" t="n"/>
      <c r="G220" s="282"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182" t="inlineStr">
        <is>
          <t>Totals should = 100%</t>
        </is>
      </c>
      <c r="C221" s="282">
        <f>SUM(C215:C220)</f>
        <v/>
      </c>
      <c r="D221" s="282">
        <f>SUM(D215:D220)</f>
        <v/>
      </c>
      <c r="E221" s="282">
        <f>SUM(E215:E220)</f>
        <v/>
      </c>
      <c r="F221" s="282">
        <f>SUM(F215:F220)</f>
        <v/>
      </c>
      <c r="G221" s="282">
        <f>SUM(G215:G220)</f>
        <v/>
      </c>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46.5" customHeight="1" s="348">
      <c r="A222" s="426" t="inlineStr">
        <is>
          <t>C10</t>
        </is>
      </c>
      <c r="B222" s="401" t="inlineStr">
        <is>
          <t>Percent of all degree-seeking, first-time, first-year students who had high school class rank within each of the following ranges (report information for those students from whom you collected high school rank information)</t>
        </is>
      </c>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4.25" customHeight="1" s="348">
      <c r="A223" s="426" t="n"/>
      <c r="B223" s="288" t="inlineStr">
        <is>
          <t>Assessment</t>
        </is>
      </c>
      <c r="C223" s="494" t="n"/>
      <c r="D223" s="495" t="n"/>
      <c r="E223" s="288" t="inlineStr">
        <is>
          <t>Percent</t>
        </is>
      </c>
      <c r="F223" s="382"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26" t="n"/>
      <c r="B224" s="519" t="inlineStr">
        <is>
          <t>Percent in top tenth of high school graduating class</t>
        </is>
      </c>
      <c r="C224" s="494" t="n"/>
      <c r="D224" s="495" t="n"/>
      <c r="E224" s="286" t="n">
        <v>0.591494</v>
      </c>
      <c r="F224" s="276"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26" t="n"/>
      <c r="B225" s="178" t="inlineStr">
        <is>
          <t>Percent in top quarter of high school graduating class</t>
        </is>
      </c>
      <c r="C225" s="494" t="n"/>
      <c r="D225" s="495" t="n"/>
      <c r="E225" s="286" t="n">
        <v>0.892557</v>
      </c>
      <c r="F225" s="276"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26" t="n"/>
      <c r="B226" s="178" t="inlineStr">
        <is>
          <t>Percent in top half of high school graduating class</t>
        </is>
      </c>
      <c r="C226" s="494" t="n"/>
      <c r="D226" s="495" t="n"/>
      <c r="E226" s="286" t="n">
        <v>0.990486</v>
      </c>
      <c r="F226" s="287" t="inlineStr">
        <is>
          <t xml:space="preserve">Top half + </t>
        </is>
      </c>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26" t="n"/>
      <c r="B227" s="178" t="inlineStr">
        <is>
          <t>Percent in bottom half of high school graduating class</t>
        </is>
      </c>
      <c r="C227" s="494" t="n"/>
      <c r="D227" s="495" t="n"/>
      <c r="E227" s="286" t="n">
        <v>0.0095131</v>
      </c>
      <c r="F227" s="287" t="inlineStr">
        <is>
          <t>bottom half = 100%</t>
        </is>
      </c>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26" t="n"/>
      <c r="B228" s="178" t="inlineStr">
        <is>
          <t>Percent in bottom quarter of high school graduating class</t>
        </is>
      </c>
      <c r="C228" s="494" t="n"/>
      <c r="D228" s="495" t="n"/>
      <c r="E228" s="286" t="n">
        <v>2.238e-05</v>
      </c>
      <c r="F228" s="276"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26.25" customHeight="1" s="348">
      <c r="A229" s="426" t="n"/>
      <c r="B229" s="416" t="inlineStr">
        <is>
          <t>Percent of total first-time, first-year students who submitted high school class rank:</t>
        </is>
      </c>
      <c r="C229" s="494" t="n"/>
      <c r="D229" s="494" t="n"/>
      <c r="E229" s="285" t="n">
        <v>0.22458</v>
      </c>
      <c r="F229" s="284"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25.5" customHeight="1" s="348">
      <c r="A230" s="415" t="n"/>
      <c r="B230" s="453" t="n"/>
      <c r="C230" s="453" t="n"/>
      <c r="D230" s="453" t="n"/>
      <c r="E230" s="453" t="n"/>
      <c r="F230" s="161"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38.25" customHeight="1" s="348">
      <c r="A231" s="426" t="inlineStr">
        <is>
          <t>C11</t>
        </is>
      </c>
      <c r="B231" s="399" t="inlineStr">
        <is>
          <t>Percentage of all enrolled, degree-seeking, first-time, first-year students who had high school grade-point averages within each of the following ranges (using 4.0 scale).  Report information only for those students from whom you collected high school GPA.</t>
        </is>
      </c>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3.5" customHeight="1" s="348">
      <c r="A232" s="426" t="n"/>
      <c r="B232" s="396" t="n"/>
      <c r="C232" s="396" t="n"/>
      <c r="D232" s="396" t="n"/>
      <c r="E232" s="396" t="n"/>
      <c r="F232" s="396"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5" customHeight="1" s="348">
      <c r="A233" s="426" t="n"/>
      <c r="B233" s="283" t="inlineStr">
        <is>
          <t>Score Range</t>
        </is>
      </c>
      <c r="C233" s="495" t="n"/>
      <c r="D233" s="283" t="inlineStr">
        <is>
          <t>Percent</t>
        </is>
      </c>
      <c r="E233" s="396" t="n"/>
      <c r="F233" s="396"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26" t="n"/>
      <c r="B234" s="182" t="inlineStr">
        <is>
          <t>Percent who had GPA of 4.0</t>
        </is>
      </c>
      <c r="C234" s="495" t="n"/>
      <c r="D234" s="282" t="n"/>
      <c r="E234" s="453" t="n"/>
      <c r="F234" s="276"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26" t="n"/>
      <c r="B235" s="178" t="inlineStr">
        <is>
          <t>Percent who had GPA between 3.75 and 3.99</t>
        </is>
      </c>
      <c r="C235" s="495" t="n"/>
      <c r="D235" s="282" t="n"/>
      <c r="E235" s="453" t="n"/>
      <c r="F235" s="276"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26" t="n"/>
      <c r="B236" s="178" t="inlineStr">
        <is>
          <t>Percent who had GPA between 3.50 and 3.74</t>
        </is>
      </c>
      <c r="C236" s="495" t="n"/>
      <c r="D236" s="282" t="n"/>
      <c r="E236" s="453" t="n"/>
      <c r="F236" s="276"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26" t="n"/>
      <c r="B237" s="178" t="inlineStr">
        <is>
          <t>Percent who had GPA between 3.25 and 3.49</t>
        </is>
      </c>
      <c r="C237" s="495" t="n"/>
      <c r="D237" s="282" t="n"/>
      <c r="E237" s="453" t="n"/>
      <c r="F237" s="276"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26" t="n"/>
      <c r="B238" s="178" t="inlineStr">
        <is>
          <t>Percent who had GPA between 3.00 and 3.24</t>
        </is>
      </c>
      <c r="C238" s="495" t="n"/>
      <c r="D238" s="282" t="n"/>
      <c r="E238" s="453" t="n"/>
      <c r="F238" s="276"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26" t="n"/>
      <c r="B239" s="178" t="inlineStr">
        <is>
          <t>Percent who had GPA between 2.50 and 2.99</t>
        </is>
      </c>
      <c r="C239" s="495" t="n"/>
      <c r="D239" s="282" t="n"/>
      <c r="E239" s="453" t="n"/>
      <c r="F239" s="276"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26" t="n"/>
      <c r="B240" s="178" t="inlineStr">
        <is>
          <t>Percent who had GPA between 2.0 and 2.49</t>
        </is>
      </c>
      <c r="C240" s="495" t="n"/>
      <c r="D240" s="282" t="n"/>
      <c r="E240" s="453" t="n"/>
      <c r="F240" s="276"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26" t="n"/>
      <c r="B241" s="178" t="inlineStr">
        <is>
          <t>Percent who had GPA between 1.0 and 1.99</t>
        </is>
      </c>
      <c r="C241" s="495" t="n"/>
      <c r="D241" s="282" t="n"/>
      <c r="E241" s="453" t="n"/>
      <c r="F241" s="276"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26" t="n"/>
      <c r="B242" s="178" t="inlineStr">
        <is>
          <t>Percent who had GPA below 1.0</t>
        </is>
      </c>
      <c r="C242" s="495" t="n"/>
      <c r="D242" s="282" t="n"/>
      <c r="E242" s="453" t="n"/>
      <c r="F242" s="276"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520" t="inlineStr">
        <is>
          <t>Totals should = 100%</t>
        </is>
      </c>
      <c r="C243" s="516" t="n"/>
      <c r="D243" s="281">
        <f>SUM(D234:D242)</f>
        <v/>
      </c>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280" t="n"/>
      <c r="C244" s="280" t="n"/>
      <c r="D244" s="279"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31.5" customHeight="1" s="348">
      <c r="A245" s="426" t="inlineStr">
        <is>
          <t>C12</t>
        </is>
      </c>
      <c r="B245" s="508" t="inlineStr">
        <is>
          <t xml:space="preserve">Average high school GPA of all degree-seeking, first-time, first-year students who submitted GPA:  </t>
        </is>
      </c>
      <c r="D245" s="509" t="n"/>
      <c r="E245" s="278">
        <f>SUM(E238:E244)</f>
        <v/>
      </c>
      <c r="F245" s="521"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27" customHeight="1" s="348">
      <c r="A246" s="426" t="n"/>
      <c r="B246" s="512" t="inlineStr">
        <is>
          <t xml:space="preserve">Percent of total first-time, first-year students who submitted high school GPA:  </t>
        </is>
      </c>
      <c r="D246" s="509" t="n"/>
      <c r="E246" s="63">
        <f>SUM(E239:E245)</f>
        <v/>
      </c>
      <c r="F246" s="276"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24.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90" t="inlineStr">
        <is>
          <t>C13-C20: Admission Policies</t>
        </is>
      </c>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5" customHeight="1" s="348">
      <c r="A249" s="415" t="n"/>
      <c r="B249" s="90"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26" t="inlineStr">
        <is>
          <t>C13</t>
        </is>
      </c>
      <c r="B250" s="66" t="inlineStr">
        <is>
          <t>Application Fee</t>
        </is>
      </c>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26" t="n"/>
      <c r="B251" s="417" t="inlineStr">
        <is>
          <t>If your institution has waived its application fee for the Fall 2024 admission cycle please select no.</t>
        </is>
      </c>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26" t="n"/>
      <c r="B252" s="66"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26" t="n"/>
      <c r="B253" s="66" t="n"/>
      <c r="C253" s="453" t="n"/>
      <c r="D253" s="161" t="inlineStr">
        <is>
          <t>Yes</t>
        </is>
      </c>
      <c r="E253" s="161" t="inlineStr">
        <is>
          <t>No</t>
        </is>
      </c>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26" t="n"/>
      <c r="B254" s="412" t="inlineStr">
        <is>
          <t>Does your institution have an application fee?</t>
        </is>
      </c>
      <c r="D254" s="273" t="inlineStr">
        <is>
          <t>X</t>
        </is>
      </c>
      <c r="E254" s="273" t="n"/>
      <c r="F254" s="400" t="n"/>
      <c r="G254" s="428"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26" t="n"/>
      <c r="B255" s="412" t="n"/>
      <c r="C255" s="412" t="n"/>
      <c r="D255" s="412" t="n"/>
      <c r="E255" s="412" t="n"/>
      <c r="F255" s="412" t="n"/>
      <c r="G255" s="428"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26" t="n"/>
      <c r="B256" s="412" t="inlineStr">
        <is>
          <t xml:space="preserve">Amount of application fee: </t>
        </is>
      </c>
      <c r="D256" s="429" t="inlineStr">
        <is>
          <t>$50 domestic; $75 international</t>
        </is>
      </c>
      <c r="E256" s="275" t="n"/>
      <c r="F256" s="453" t="n"/>
      <c r="G256" s="428"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26" t="n"/>
      <c r="B257" s="400" t="n"/>
      <c r="C257" s="160" t="n"/>
      <c r="D257" s="160" t="n"/>
      <c r="E257" s="453" t="n"/>
      <c r="F257" s="453" t="n"/>
      <c r="G257" s="428"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26" t="n"/>
      <c r="B258" s="400" t="n"/>
      <c r="C258" s="160" t="n"/>
      <c r="D258" s="161" t="inlineStr">
        <is>
          <t>Yes</t>
        </is>
      </c>
      <c r="E258" s="161" t="inlineStr">
        <is>
          <t>No</t>
        </is>
      </c>
      <c r="F258" s="453" t="n"/>
      <c r="G258" s="428"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4.25" customHeight="1" s="348">
      <c r="A259" s="426" t="n"/>
      <c r="B259" s="382" t="inlineStr">
        <is>
          <t>Can it be waived for applicants with financial need?</t>
        </is>
      </c>
      <c r="D259" s="273" t="inlineStr">
        <is>
          <t>X</t>
        </is>
      </c>
      <c r="E259" s="273" t="n"/>
      <c r="F259" s="368" t="n"/>
      <c r="G259" s="453" t="n"/>
      <c r="H259" s="428"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26" t="n"/>
      <c r="B260" s="382" t="n"/>
      <c r="C260" s="160" t="n"/>
      <c r="D260" s="160" t="n"/>
      <c r="E260" s="453" t="n"/>
      <c r="F260" s="161"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27" customHeight="1" s="348">
      <c r="A261" s="426" t="n"/>
      <c r="B261" s="401" t="inlineStr">
        <is>
          <t>If you have an application fee and an on-line application option, please indicate policy for students who apply on-line:</t>
        </is>
      </c>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26" t="n"/>
      <c r="B262" s="401" t="n"/>
      <c r="C262" s="401" t="n"/>
      <c r="D262" s="401" t="n"/>
      <c r="E262" s="401" t="n"/>
      <c r="F262" s="401"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119" t="inlineStr">
        <is>
          <t>X</t>
        </is>
      </c>
      <c r="B263" s="382" t="inlineStr">
        <is>
          <t>Same fee</t>
        </is>
      </c>
      <c r="C263" s="274" t="n"/>
      <c r="D263" s="160" t="n"/>
      <c r="E263" s="453" t="n"/>
      <c r="F263" s="161"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119" t="n"/>
      <c r="B264" s="382" t="inlineStr">
        <is>
          <t>Free</t>
        </is>
      </c>
      <c r="C264" s="274" t="n"/>
      <c r="D264" s="160" t="n"/>
      <c r="E264" s="453" t="n"/>
      <c r="F264" s="161"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119" t="n"/>
      <c r="B265" s="382" t="inlineStr">
        <is>
          <t>Reduced</t>
        </is>
      </c>
      <c r="C265" s="274" t="n"/>
      <c r="D265" s="160" t="n"/>
      <c r="E265" s="453" t="n"/>
      <c r="F265" s="161"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26" t="n"/>
      <c r="B266" s="400" t="n"/>
      <c r="C266" s="160" t="n"/>
      <c r="D266" s="161" t="inlineStr">
        <is>
          <t>Yes</t>
        </is>
      </c>
      <c r="E266" s="161" t="inlineStr">
        <is>
          <t>No</t>
        </is>
      </c>
      <c r="F266" s="161"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27" customHeight="1" s="348">
      <c r="A267" s="426" t="n"/>
      <c r="B267" s="522" t="inlineStr">
        <is>
          <t>Can on-line application fee be waived for applicants with financial need?</t>
        </is>
      </c>
      <c r="C267" s="509" t="n"/>
      <c r="D267" s="273" t="inlineStr">
        <is>
          <t>X</t>
        </is>
      </c>
      <c r="E267" s="273" t="n"/>
      <c r="F267" s="161" t="n"/>
      <c r="G267" s="453" t="n"/>
      <c r="H267" s="453" t="n"/>
      <c r="I267" s="453" t="inlineStr">
        <is>
          <t>X</t>
        </is>
      </c>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382" t="n"/>
      <c r="C268" s="160" t="n"/>
      <c r="D268" s="160" t="n"/>
      <c r="E268" s="453" t="n"/>
      <c r="F268" s="161"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26" t="inlineStr">
        <is>
          <t>C14</t>
        </is>
      </c>
      <c r="B269" s="66" t="inlineStr">
        <is>
          <t>Application closing date</t>
        </is>
      </c>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26" t="n"/>
      <c r="B270" s="400" t="n"/>
      <c r="C270" s="160" t="n"/>
      <c r="D270" s="161" t="inlineStr">
        <is>
          <t>Yes</t>
        </is>
      </c>
      <c r="E270" s="161" t="inlineStr">
        <is>
          <t>No</t>
        </is>
      </c>
      <c r="F270" s="453" t="n"/>
      <c r="G270" s="428"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25.5" customHeight="1" s="348">
      <c r="A271" s="426" t="n"/>
      <c r="B271" s="508" t="inlineStr">
        <is>
          <t>Does your institution have an application closing date?</t>
        </is>
      </c>
      <c r="C271" s="509" t="n"/>
      <c r="D271" s="273" t="n"/>
      <c r="E271" s="273" t="n"/>
      <c r="F271" s="161" t="n"/>
      <c r="G271" s="453" t="n"/>
      <c r="H271" s="428"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26" t="n"/>
      <c r="B272" s="400" t="n"/>
      <c r="C272" s="52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26" t="n"/>
      <c r="B273" s="272" t="n"/>
      <c r="C273" s="524" t="inlineStr">
        <is>
          <t>Date</t>
        </is>
      </c>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26" t="n"/>
      <c r="B274" s="270" t="inlineStr">
        <is>
          <t>Application closing date (fall)</t>
        </is>
      </c>
      <c r="C274" s="525" t="n">
        <v>44931</v>
      </c>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26" t="n"/>
      <c r="B275" s="270" t="inlineStr">
        <is>
          <t>Priority Date</t>
        </is>
      </c>
      <c r="C275" s="525" t="n">
        <v>45231</v>
      </c>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26" t="n"/>
      <c r="B276" s="400" t="n"/>
      <c r="C276" s="52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00"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26" t="n"/>
      <c r="B278" s="402" t="n"/>
      <c r="E278" s="187" t="inlineStr">
        <is>
          <t>Yes</t>
        </is>
      </c>
      <c r="F278" s="187" t="inlineStr">
        <is>
          <t>No</t>
        </is>
      </c>
      <c r="G278" s="428"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27" customHeight="1" s="348">
      <c r="A279" s="426" t="inlineStr">
        <is>
          <t>C15</t>
        </is>
      </c>
      <c r="B279" s="401" t="inlineStr">
        <is>
          <t>Are first-time, first-year students accepted for terms other than the fall?</t>
        </is>
      </c>
      <c r="E279" s="119" t="n"/>
      <c r="F279" s="119" t="inlineStr">
        <is>
          <t>X</t>
        </is>
      </c>
      <c r="G279" s="453" t="n"/>
      <c r="H279" s="428"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4.2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26" t="inlineStr">
        <is>
          <t>C16</t>
        </is>
      </c>
      <c r="B281" s="402" t="inlineStr">
        <is>
          <t>Notification to applicants of admission decision sent (fill in one only)</t>
        </is>
      </c>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26" t="n"/>
      <c r="B282" s="402"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119" t="n"/>
      <c r="B283" s="382" t="inlineStr">
        <is>
          <t xml:space="preserve">On a rolling basis beginning (date):  </t>
        </is>
      </c>
      <c r="C283" s="88"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119" t="n"/>
      <c r="B284" s="412" t="inlineStr">
        <is>
          <t xml:space="preserve">By (date):  </t>
        </is>
      </c>
      <c r="C284" s="267"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119" t="inlineStr">
        <is>
          <t>X</t>
        </is>
      </c>
      <c r="B285" s="412" t="inlineStr">
        <is>
          <t xml:space="preserve">Other:  </t>
        </is>
      </c>
      <c r="C285" s="268" t="inlineStr">
        <is>
          <t>One or two release dates</t>
        </is>
      </c>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26" t="inlineStr">
        <is>
          <t>C17</t>
        </is>
      </c>
      <c r="B287" s="66" t="inlineStr">
        <is>
          <t>Reply policy for admitted applicants (fill in one only)</t>
        </is>
      </c>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26" t="n"/>
      <c r="B288" s="396" t="n"/>
      <c r="C288" s="52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119" t="n"/>
      <c r="B289" s="382" t="inlineStr">
        <is>
          <t xml:space="preserve">Must reply by (date): </t>
        </is>
      </c>
      <c r="C289" s="88"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119" t="n"/>
      <c r="B290" s="412" t="inlineStr">
        <is>
          <t>No set date</t>
        </is>
      </c>
      <c r="C290" s="267"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119" t="inlineStr">
        <is>
          <t>X</t>
        </is>
      </c>
      <c r="B291" s="412" t="inlineStr">
        <is>
          <t xml:space="preserve">Must reply by May 1st or within </t>
        </is>
      </c>
      <c r="C291" s="173" t="n">
        <v>2</v>
      </c>
      <c r="D291" s="410" t="inlineStr">
        <is>
          <t>weeks if notified thereafter</t>
        </is>
      </c>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119" t="n"/>
      <c r="B292" s="412" t="inlineStr">
        <is>
          <t>Other:</t>
        </is>
      </c>
      <c r="C292" s="17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26" t="n"/>
      <c r="B293" s="400" t="n"/>
      <c r="D293" s="52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26" t="n"/>
      <c r="B294" s="412" t="inlineStr">
        <is>
          <t xml:space="preserve">Deadline for housing deposit (MMDD): </t>
        </is>
      </c>
      <c r="C294" s="88" t="n"/>
      <c r="D294" s="266" t="n"/>
      <c r="E294" s="453" t="n"/>
      <c r="F294" s="453" t="n"/>
      <c r="G294" s="453" t="inlineStr">
        <is>
          <t>X</t>
        </is>
      </c>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26" t="n"/>
      <c r="B295" s="400" t="inlineStr">
        <is>
          <t>Amount of housing deposit:</t>
        </is>
      </c>
      <c r="C295" s="88"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26" t="n"/>
      <c r="B296" s="400"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26" t="n"/>
      <c r="B297" s="412" t="inlineStr">
        <is>
          <t>Refundable if student does not enroll?</t>
        </is>
      </c>
      <c r="C297" s="526"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26" t="n"/>
      <c r="B298" s="412" t="n"/>
      <c r="C298" s="526"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119" t="inlineStr">
        <is>
          <t>X</t>
        </is>
      </c>
      <c r="B299" s="412" t="inlineStr">
        <is>
          <t>Yes, in full; if cancelled by 5/15</t>
        </is>
      </c>
      <c r="C299" s="526"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119" t="n"/>
      <c r="B300" s="412" t="inlineStr">
        <is>
          <t>Yes, in part</t>
        </is>
      </c>
      <c r="C300" s="526"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119" t="n"/>
      <c r="B301" s="412" t="inlineStr">
        <is>
          <t>No</t>
        </is>
      </c>
      <c r="C301" s="526"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26" t="inlineStr">
        <is>
          <t>C18</t>
        </is>
      </c>
      <c r="B303" s="66" t="inlineStr">
        <is>
          <t>Deferred admission</t>
        </is>
      </c>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26" t="n"/>
      <c r="B304" s="402" t="n"/>
      <c r="E304" s="187" t="inlineStr">
        <is>
          <t>Yes</t>
        </is>
      </c>
      <c r="F304" s="187" t="inlineStr">
        <is>
          <t>No</t>
        </is>
      </c>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26.25" customHeight="1" s="348">
      <c r="A305" s="426" t="n"/>
      <c r="B305" s="508" t="inlineStr">
        <is>
          <t>Does your institution allow students to postpone enrollment after admission?</t>
        </is>
      </c>
      <c r="D305" s="509" t="n"/>
      <c r="E305" s="119" t="n"/>
      <c r="F305" s="119"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26" t="n"/>
      <c r="B306" s="415" t="inlineStr">
        <is>
          <t>If yes, maximum period of postponement:</t>
        </is>
      </c>
      <c r="D306" s="88" t="inlineStr">
        <is>
          <t>one year</t>
        </is>
      </c>
      <c r="E306" s="453" t="n"/>
      <c r="F306" s="161"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26" t="inlineStr">
        <is>
          <t>C19</t>
        </is>
      </c>
      <c r="B308" s="66" t="inlineStr">
        <is>
          <t>Early admission of high school students</t>
        </is>
      </c>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26" t="n"/>
      <c r="B309" s="402" t="n"/>
      <c r="E309" s="160" t="inlineStr">
        <is>
          <t>Yes</t>
        </is>
      </c>
      <c r="F309" s="160" t="inlineStr">
        <is>
          <t>No</t>
        </is>
      </c>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38.25" customHeight="1" s="348">
      <c r="A310" s="426" t="n"/>
      <c r="B310" s="508" t="inlineStr">
        <is>
          <t>Does your institution allow high school students to enroll as full-time, first-time, first-year students one year or more before high school graduation?</t>
        </is>
      </c>
      <c r="D310" s="509" t="n"/>
      <c r="E310" s="119" t="inlineStr">
        <is>
          <t>X</t>
        </is>
      </c>
      <c r="F310" s="119"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7.2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26" t="inlineStr">
        <is>
          <t>C20</t>
        </is>
      </c>
      <c r="B312" s="417" t="inlineStr">
        <is>
          <t>Common Application: Question removed from CDS. (Initiated during 2006-2007 cycle)</t>
        </is>
      </c>
      <c r="C312" s="412" t="n"/>
      <c r="D312" s="410" t="n"/>
      <c r="E312" s="410" t="n"/>
      <c r="F312" s="410"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90" t="inlineStr">
        <is>
          <t>C21-C22: Early Decision and Early Action Plans</t>
        </is>
      </c>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90"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26" t="inlineStr">
        <is>
          <t>C21</t>
        </is>
      </c>
      <c r="B316" s="66" t="inlineStr">
        <is>
          <t>Early Decision</t>
        </is>
      </c>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26" t="n"/>
      <c r="B317" s="402" t="n"/>
      <c r="E317" s="187" t="inlineStr">
        <is>
          <t>Yes</t>
        </is>
      </c>
      <c r="F317" s="187" t="inlineStr">
        <is>
          <t>No</t>
        </is>
      </c>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65.25" customHeight="1" s="348">
      <c r="A318" s="426" t="n"/>
      <c r="B318" s="508" t="inlineStr">
        <is>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is>
      </c>
      <c r="D318" s="509" t="n"/>
      <c r="E318" s="119" t="n"/>
      <c r="F318" s="119" t="inlineStr">
        <is>
          <t>X</t>
        </is>
      </c>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26" t="n"/>
      <c r="B319" s="382" t="inlineStr">
        <is>
          <t xml:space="preserve">If “yes,” please complete the following: </t>
        </is>
      </c>
      <c r="E319" s="160" t="n"/>
      <c r="F319" s="160"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26" t="n"/>
      <c r="B320" s="508" t="inlineStr">
        <is>
          <t>First or only early decision plan closing date</t>
        </is>
      </c>
      <c r="D320" s="509" t="n"/>
      <c r="E320" s="527" t="n"/>
      <c r="F320" s="160"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26" t="n"/>
      <c r="B321" s="508" t="inlineStr">
        <is>
          <t>First or only early decision plan notification date</t>
        </is>
      </c>
      <c r="D321" s="509" t="n"/>
      <c r="E321" s="527" t="n"/>
      <c r="F321" s="160"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26" t="n"/>
      <c r="B322" s="508" t="inlineStr">
        <is>
          <t>Other early decision plan closing date</t>
        </is>
      </c>
      <c r="D322" s="509" t="n"/>
      <c r="E322" s="527" t="n"/>
      <c r="F322" s="160"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26" t="n"/>
      <c r="B323" s="508" t="inlineStr">
        <is>
          <t>Other early decision plan notification date</t>
        </is>
      </c>
      <c r="D323" s="509" t="n"/>
      <c r="E323" s="527" t="n"/>
      <c r="F323" s="160"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26" t="n"/>
      <c r="B324" s="382" t="n"/>
      <c r="C324" s="382" t="n"/>
      <c r="D324" s="382" t="n"/>
      <c r="E324" s="523" t="n"/>
      <c r="F324" s="160"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26" t="n"/>
      <c r="B325" s="401" t="inlineStr">
        <is>
          <t>For the Fall 2022 entering class:</t>
        </is>
      </c>
      <c r="E325" s="160" t="n"/>
      <c r="F325" s="160"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26" t="n"/>
      <c r="B326" s="382" t="inlineStr">
        <is>
          <t>Number of early decision applications received by your institution</t>
        </is>
      </c>
      <c r="E326" s="527" t="n"/>
      <c r="F326" s="160"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26" t="n"/>
      <c r="B327" s="382" t="inlineStr">
        <is>
          <t>Number of applicants admitted under early decision plan</t>
        </is>
      </c>
      <c r="E327" s="527" t="n"/>
      <c r="F327" s="160"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26" t="n"/>
      <c r="B328" s="382" t="inlineStr">
        <is>
          <t xml:space="preserve">Please provide significant details about your early decision plan:  </t>
        </is>
      </c>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26" t="n"/>
      <c r="B329" s="413" t="n"/>
      <c r="C329" s="498" t="n"/>
      <c r="D329" s="498" t="n"/>
      <c r="E329" s="498" t="n"/>
      <c r="F329" s="498"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26" t="inlineStr">
        <is>
          <t>C22</t>
        </is>
      </c>
      <c r="B332" s="66" t="inlineStr">
        <is>
          <t>Early action</t>
        </is>
      </c>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26" t="n"/>
      <c r="B333" s="402" t="n"/>
      <c r="E333" s="187" t="inlineStr">
        <is>
          <t>Yes</t>
        </is>
      </c>
      <c r="F333" s="187" t="inlineStr">
        <is>
          <t>No</t>
        </is>
      </c>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45" customHeight="1" s="348">
      <c r="A334" s="426" t="n"/>
      <c r="B334" s="508" t="inlineStr">
        <is>
          <t>Do you have a nonbinding early action plan whereby students are notified of an admission decision well in advance of the regular notification date but do not have to commit to attending your college?</t>
        </is>
      </c>
      <c r="D334" s="509" t="n"/>
      <c r="E334" s="119" t="n"/>
      <c r="F334" s="119" t="inlineStr">
        <is>
          <t>X</t>
        </is>
      </c>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26" t="n"/>
      <c r="B335" s="382" t="inlineStr">
        <is>
          <t xml:space="preserve">If “yes,” please complete the following: </t>
        </is>
      </c>
      <c r="E335" s="160"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26" t="n"/>
      <c r="B336" s="382" t="inlineStr">
        <is>
          <t>Early action closing date</t>
        </is>
      </c>
      <c r="D336" s="527" t="n"/>
      <c r="E336" s="52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26" t="n"/>
      <c r="B337" s="382" t="inlineStr">
        <is>
          <t>Early action notification date</t>
        </is>
      </c>
      <c r="D337" s="527" t="n"/>
      <c r="E337" s="52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8.75" customHeight="1" s="348">
      <c r="A339" s="415" t="n"/>
      <c r="B339" s="453" t="n"/>
      <c r="C339" s="453" t="n"/>
      <c r="D339" s="453" t="n"/>
      <c r="E339" s="187" t="inlineStr">
        <is>
          <t>Yes</t>
        </is>
      </c>
      <c r="F339" s="187" t="inlineStr">
        <is>
          <t>No</t>
        </is>
      </c>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27" customHeight="1" s="348">
      <c r="A340" s="426" t="n"/>
      <c r="B340" s="414" t="inlineStr">
        <is>
          <t>Is your early action plan a “restrictive” plan under which you limit students from applying to other early plans?</t>
        </is>
      </c>
      <c r="E340" s="119" t="n"/>
      <c r="F340" s="119" t="inlineStr">
        <is>
          <t>X</t>
        </is>
      </c>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sheetData>
  <mergeCells count="131">
    <mergeCell ref="B11:D11"/>
    <mergeCell ref="B278:D278"/>
    <mergeCell ref="B42:D42"/>
    <mergeCell ref="B7:F7"/>
    <mergeCell ref="B271:C271"/>
    <mergeCell ref="B318:D318"/>
    <mergeCell ref="B336:C336"/>
    <mergeCell ref="B261:F261"/>
    <mergeCell ref="B53:D53"/>
    <mergeCell ref="B28:D28"/>
    <mergeCell ref="B37:D37"/>
    <mergeCell ref="B117:B118"/>
    <mergeCell ref="B279:D279"/>
    <mergeCell ref="C145:F145"/>
    <mergeCell ref="B235:C235"/>
    <mergeCell ref="B231:F231"/>
    <mergeCell ref="B170:F170"/>
    <mergeCell ref="B135:C136"/>
    <mergeCell ref="B328:F328"/>
    <mergeCell ref="B80:D80"/>
    <mergeCell ref="B123:G123"/>
    <mergeCell ref="B243:C243"/>
    <mergeCell ref="B172:F172"/>
    <mergeCell ref="B305:D305"/>
    <mergeCell ref="B168:F168"/>
    <mergeCell ref="B227:D227"/>
    <mergeCell ref="B54:D54"/>
    <mergeCell ref="B6:F6"/>
    <mergeCell ref="B323:D323"/>
    <mergeCell ref="B43:D43"/>
    <mergeCell ref="B228:D228"/>
    <mergeCell ref="B35:C35"/>
    <mergeCell ref="B237:C237"/>
    <mergeCell ref="B322:D322"/>
    <mergeCell ref="B225:D225"/>
    <mergeCell ref="B179:G181"/>
    <mergeCell ref="B236:C236"/>
    <mergeCell ref="B333:D333"/>
    <mergeCell ref="B238:C238"/>
    <mergeCell ref="B56:F56"/>
    <mergeCell ref="B167:F167"/>
    <mergeCell ref="B10:D10"/>
    <mergeCell ref="B19:D19"/>
    <mergeCell ref="B317:D317"/>
    <mergeCell ref="B304:D304"/>
    <mergeCell ref="B240:C240"/>
    <mergeCell ref="B8:F8"/>
    <mergeCell ref="B310:D310"/>
    <mergeCell ref="B319:D319"/>
    <mergeCell ref="B337:C337"/>
    <mergeCell ref="B171:F171"/>
    <mergeCell ref="B334:D334"/>
    <mergeCell ref="D135:F136"/>
    <mergeCell ref="B9:F9"/>
    <mergeCell ref="B83:F83"/>
    <mergeCell ref="B3:F4"/>
    <mergeCell ref="B132:E132"/>
    <mergeCell ref="B321:D321"/>
    <mergeCell ref="B326:D326"/>
    <mergeCell ref="B5:F5"/>
    <mergeCell ref="B251:F251"/>
    <mergeCell ref="B21:D21"/>
    <mergeCell ref="B85:F85"/>
    <mergeCell ref="B39:D39"/>
    <mergeCell ref="B306:C306"/>
    <mergeCell ref="B173:F173"/>
    <mergeCell ref="B242:C242"/>
    <mergeCell ref="B229:D229"/>
    <mergeCell ref="B14:D14"/>
    <mergeCell ref="B31:F31"/>
    <mergeCell ref="B78:D78"/>
    <mergeCell ref="B116:G116"/>
    <mergeCell ref="B58:C58"/>
    <mergeCell ref="B245:D245"/>
    <mergeCell ref="B226:D226"/>
    <mergeCell ref="C117:G117"/>
    <mergeCell ref="B57:C57"/>
    <mergeCell ref="B335:D335"/>
    <mergeCell ref="B114:D114"/>
    <mergeCell ref="B325:D325"/>
    <mergeCell ref="B234:C234"/>
    <mergeCell ref="B41:D41"/>
    <mergeCell ref="B309:D309"/>
    <mergeCell ref="B113:D113"/>
    <mergeCell ref="B25:D25"/>
    <mergeCell ref="B239:C239"/>
    <mergeCell ref="B254:C254"/>
    <mergeCell ref="B327:D327"/>
    <mergeCell ref="B194:G194"/>
    <mergeCell ref="B241:C241"/>
    <mergeCell ref="B140:D140"/>
    <mergeCell ref="B22:D22"/>
    <mergeCell ref="A1:F1"/>
    <mergeCell ref="B222:F222"/>
    <mergeCell ref="B320:D320"/>
    <mergeCell ref="B45:C45"/>
    <mergeCell ref="B256:C256"/>
    <mergeCell ref="B12:D12"/>
    <mergeCell ref="B110:F110"/>
    <mergeCell ref="B138:F138"/>
    <mergeCell ref="B233:C233"/>
    <mergeCell ref="B59:C59"/>
    <mergeCell ref="B165:F165"/>
    <mergeCell ref="B46:C46"/>
    <mergeCell ref="B133:E133"/>
    <mergeCell ref="B29:D29"/>
    <mergeCell ref="B77:F77"/>
    <mergeCell ref="B259:C259"/>
    <mergeCell ref="A3:A4"/>
    <mergeCell ref="B246:D246"/>
    <mergeCell ref="B293:C293"/>
    <mergeCell ref="B40:D40"/>
    <mergeCell ref="B61:F61"/>
    <mergeCell ref="B15:D15"/>
    <mergeCell ref="B24:D24"/>
    <mergeCell ref="B267:C267"/>
    <mergeCell ref="B340:D340"/>
    <mergeCell ref="B79:D79"/>
    <mergeCell ref="B224:D224"/>
    <mergeCell ref="B329:F329"/>
    <mergeCell ref="B127:F127"/>
    <mergeCell ref="B16:D16"/>
    <mergeCell ref="B81:D81"/>
    <mergeCell ref="B125:G125"/>
    <mergeCell ref="B169:F169"/>
    <mergeCell ref="B51:F51"/>
    <mergeCell ref="B18:D18"/>
    <mergeCell ref="B27:D27"/>
    <mergeCell ref="B223:D223"/>
    <mergeCell ref="B52:D52"/>
    <mergeCell ref="B32:F32"/>
  </mergeCells>
  <pageMargins left="0.75" right="0.75" top="1" bottom="1" header="0" footer="0"/>
  <pageSetup orientation="portrait" scale="75"/>
  <headerFooter>
    <oddHeader>&amp;LCommon Data Set 2021-2022</oddHeader>
    <oddFooter>&amp;LCDS-C&amp;C &amp;RPage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002"/>
  <sheetViews>
    <sheetView showGridLines="0" workbookViewId="0">
      <selection activeCell="A1" sqref="A1:G1"/>
    </sheetView>
  </sheetViews>
  <sheetFormatPr baseColWidth="8" defaultColWidth="12.7109375" defaultRowHeight="15" customHeight="1"/>
  <cols>
    <col width="4.42578125" customWidth="1" style="366" min="1" max="1"/>
    <col width="22.7109375" customWidth="1" style="366" min="2" max="2"/>
    <col width="12.7109375" customWidth="1" style="366" min="3" max="7"/>
    <col width="8.7109375" customWidth="1" style="366" min="8" max="26"/>
    <col width="12.7109375" customWidth="1" style="366" min="27" max="16384"/>
  </cols>
  <sheetData>
    <row r="1" ht="12.75" customHeight="1" s="348">
      <c r="A1" s="363" t="inlineStr">
        <is>
          <t>D. TRANSFER ADMISSION</t>
        </is>
      </c>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15" t="n"/>
      <c r="B3" s="90" t="inlineStr">
        <is>
          <t>D1-D2: Fall Applicants</t>
        </is>
      </c>
      <c r="C3" s="453" t="n"/>
      <c r="D3" s="453" t="n"/>
      <c r="E3" s="453" t="n"/>
      <c r="F3" s="453" t="n"/>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12.75" customHeight="1" s="348">
      <c r="A4" s="415" t="n"/>
      <c r="B4" s="402" t="n"/>
      <c r="E4" s="160" t="inlineStr">
        <is>
          <t>Yes</t>
        </is>
      </c>
      <c r="F4" s="160" t="inlineStr">
        <is>
          <t>No</t>
        </is>
      </c>
      <c r="G4" s="161"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26.25" customHeight="1" s="348">
      <c r="A5" s="426" t="inlineStr">
        <is>
          <t>D1</t>
        </is>
      </c>
      <c r="B5" s="508" t="inlineStr">
        <is>
          <t>Does your institution enroll transfer students? (If no, please skip to Section E)</t>
        </is>
      </c>
      <c r="D5" s="509" t="n"/>
      <c r="E5" s="119" t="inlineStr">
        <is>
          <t>X</t>
        </is>
      </c>
      <c r="F5" s="119" t="n"/>
      <c r="G5" s="162"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41.25" customHeight="1" s="348">
      <c r="A6" s="426" t="n"/>
      <c r="B6" s="508" t="inlineStr">
        <is>
          <t>If yes, may transfer students earn advanced standing credit by transferring credits earned from course work completed at other colleges/universities?</t>
        </is>
      </c>
      <c r="D6" s="509" t="n"/>
      <c r="E6" s="119" t="inlineStr">
        <is>
          <t>X</t>
        </is>
      </c>
      <c r="F6" s="119" t="n"/>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12.75" customHeight="1" s="348">
      <c r="A7" s="415" t="n"/>
      <c r="B7" s="382" t="n"/>
      <c r="C7" s="382" t="n"/>
      <c r="D7" s="382" t="n"/>
      <c r="E7" s="160" t="n"/>
      <c r="F7" s="160" t="n"/>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29.25" customHeight="1" s="348">
      <c r="A8" s="426" t="inlineStr">
        <is>
          <t>D2</t>
        </is>
      </c>
      <c r="B8" s="368" t="inlineStr">
        <is>
          <t>Provide the number of students who applied, were admitted, and enrolled as degree-seeking transfer students in Fall 2022.</t>
        </is>
      </c>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20.25" customHeight="1" s="348">
      <c r="A9" s="426" t="n"/>
      <c r="B9" s="368" t="inlineStr">
        <is>
          <t>If your institution collects and reports non-binary gender data, please use the "Another Gender" category.</t>
        </is>
      </c>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12.75" customHeight="1" s="348">
      <c r="A10" s="426" t="n"/>
      <c r="B10" s="163" t="n"/>
      <c r="C10" s="142" t="inlineStr">
        <is>
          <t>Applicants</t>
        </is>
      </c>
      <c r="D10" s="142" t="inlineStr">
        <is>
          <t>Admitted Applicants</t>
        </is>
      </c>
      <c r="E10" s="142" t="inlineStr">
        <is>
          <t>Enrolled Applicants</t>
        </is>
      </c>
      <c r="F10" s="164" t="n"/>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12.75" customHeight="1" s="348">
      <c r="A11" s="426" t="n"/>
      <c r="B11" s="165" t="inlineStr">
        <is>
          <t>Men</t>
        </is>
      </c>
      <c r="C11" s="166" t="n">
        <v>2709</v>
      </c>
      <c r="D11" s="166" t="n">
        <v>1295</v>
      </c>
      <c r="E11" s="166" t="n">
        <v>789</v>
      </c>
      <c r="F11" s="167" t="n"/>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c r="A12" s="426" t="n"/>
      <c r="B12" s="165" t="inlineStr">
        <is>
          <t>Women</t>
        </is>
      </c>
      <c r="C12" s="166" t="n">
        <v>1877</v>
      </c>
      <c r="D12" s="166" t="n">
        <v>998</v>
      </c>
      <c r="E12" s="166" t="n">
        <v>597</v>
      </c>
      <c r="F12" s="167" t="n"/>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2.75" customHeight="1" s="348">
      <c r="A13" s="426" t="n"/>
      <c r="B13" s="165" t="inlineStr">
        <is>
          <t>Another Gender</t>
        </is>
      </c>
      <c r="C13" s="166" t="n">
        <v>14</v>
      </c>
      <c r="D13" s="166" t="n">
        <v>7</v>
      </c>
      <c r="E13" s="166" t="n">
        <v>4</v>
      </c>
      <c r="F13" s="167" t="n"/>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2.75" customHeight="1" s="348">
      <c r="A14" s="426" t="n"/>
      <c r="B14" s="154" t="inlineStr">
        <is>
          <t>Total</t>
        </is>
      </c>
      <c r="C14" s="168" t="n">
        <v>4600</v>
      </c>
      <c r="D14" s="168" t="n">
        <v>2300</v>
      </c>
      <c r="E14" s="168" t="n">
        <v>1390</v>
      </c>
      <c r="F14" s="167" t="n"/>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2.75" customHeight="1" s="348">
      <c r="A15" s="415" t="n"/>
      <c r="B15" s="453" t="n"/>
      <c r="C15" s="453" t="n"/>
      <c r="D15" s="453" t="n"/>
      <c r="E15" s="453" t="n"/>
      <c r="F15" s="453" t="n"/>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2.75" customHeight="1" s="348">
      <c r="A16" s="415" t="n"/>
      <c r="B16" s="430" t="inlineStr">
        <is>
          <t>D3-D11: Application for Admission</t>
        </is>
      </c>
      <c r="C16" s="415" t="n"/>
      <c r="D16" s="410" t="n"/>
      <c r="E16" s="453" t="n"/>
      <c r="F16" s="453" t="n"/>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2.75" customHeight="1" s="348">
      <c r="A17" s="426" t="inlineStr">
        <is>
          <t>D3</t>
        </is>
      </c>
      <c r="B17" s="415" t="inlineStr">
        <is>
          <t>Indicate terms for which transfers may enroll:</t>
        </is>
      </c>
      <c r="E17" s="453" t="n"/>
      <c r="F17" s="453" t="n"/>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c r="A18" s="426" t="n"/>
      <c r="B18" s="415" t="n"/>
      <c r="C18" s="415" t="n"/>
      <c r="D18" s="415" t="n"/>
      <c r="E18" s="453" t="n"/>
      <c r="F18" s="453" t="n"/>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2.75" customHeight="1" s="348">
      <c r="A19" s="119" t="inlineStr">
        <is>
          <t>X</t>
        </is>
      </c>
      <c r="B19" s="460" t="inlineStr">
        <is>
          <t>Fall</t>
        </is>
      </c>
      <c r="C19" s="172" t="n"/>
      <c r="D19" s="453" t="n"/>
      <c r="E19" s="453" t="n"/>
      <c r="F19" s="453"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c r="A20" s="119" t="n"/>
      <c r="B20" s="460" t="inlineStr">
        <is>
          <t>Winter</t>
        </is>
      </c>
      <c r="C20" s="172" t="n"/>
      <c r="D20" s="453" t="n"/>
      <c r="E20" s="453" t="n"/>
      <c r="F20" s="453" t="n"/>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c r="A21" s="119" t="inlineStr">
        <is>
          <t>X</t>
        </is>
      </c>
      <c r="B21" s="460" t="inlineStr">
        <is>
          <t>Spring</t>
        </is>
      </c>
      <c r="C21" s="172" t="n"/>
      <c r="D21" s="453" t="n"/>
      <c r="E21" s="453" t="n"/>
      <c r="F21" s="453" t="n"/>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c r="A22" s="119" t="inlineStr">
        <is>
          <t>X</t>
        </is>
      </c>
      <c r="B22" s="460" t="inlineStr">
        <is>
          <t>Summer</t>
        </is>
      </c>
      <c r="C22" s="172" t="n"/>
      <c r="D22" s="453" t="n"/>
      <c r="E22" s="453" t="n"/>
      <c r="F22" s="453" t="n"/>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c r="A23" s="426" t="n"/>
      <c r="B23" s="402" t="n"/>
      <c r="E23" s="160" t="inlineStr">
        <is>
          <t>Yes</t>
        </is>
      </c>
      <c r="F23" s="160" t="inlineStr">
        <is>
          <t>No</t>
        </is>
      </c>
      <c r="G23" s="161"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40.5" customHeight="1" s="348">
      <c r="A24" s="426" t="inlineStr">
        <is>
          <t>D4</t>
        </is>
      </c>
      <c r="B24" s="508" t="inlineStr">
        <is>
          <t>Must a transfer applicant have a minimum number of credits completed or else must apply as an entering first-year student?</t>
        </is>
      </c>
      <c r="D24" s="509" t="n"/>
      <c r="E24" s="119" t="n"/>
      <c r="F24" s="119" t="inlineStr">
        <is>
          <t>X</t>
        </is>
      </c>
      <c r="G24" s="161"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24.75" customHeight="1" s="348">
      <c r="A25" s="426" t="n"/>
      <c r="B25" s="382" t="inlineStr">
        <is>
          <t xml:space="preserve">If yes, what is the minimum number of credits and the unit of measure?  </t>
        </is>
      </c>
      <c r="E25" s="173" t="n"/>
      <c r="F25" s="160" t="n"/>
      <c r="G25" s="161"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c r="A26" s="415" t="n"/>
      <c r="B26" s="453" t="n"/>
      <c r="C26" s="453" t="n"/>
      <c r="D26" s="453" t="n"/>
      <c r="E26" s="453" t="n"/>
      <c r="F26" s="453"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inlineStr">
        <is>
          <t>D5</t>
        </is>
      </c>
      <c r="B27" s="415" t="inlineStr">
        <is>
          <t>Indicate all items required of transfer students to apply for admission:</t>
        </is>
      </c>
      <c r="F27" s="453" t="n"/>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174" t="n"/>
      <c r="C28" s="174" t="n"/>
      <c r="D28" s="174" t="n"/>
      <c r="E28" s="174" t="n"/>
      <c r="F28" s="175"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7.65" customHeight="1" s="348">
      <c r="A29" s="426" t="n"/>
      <c r="B29" s="176" t="n"/>
      <c r="C29" s="177" t="inlineStr">
        <is>
          <t>Required of All</t>
        </is>
      </c>
      <c r="D29" s="177" t="inlineStr">
        <is>
          <t>Recommended
of All</t>
        </is>
      </c>
      <c r="E29" s="177" t="inlineStr">
        <is>
          <t>Recommended
of Some</t>
        </is>
      </c>
      <c r="F29" s="177" t="inlineStr">
        <is>
          <t>Required of Some</t>
        </is>
      </c>
      <c r="G29" s="177" t="inlineStr">
        <is>
          <t>Not Required</t>
        </is>
      </c>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c r="A30" s="426" t="n"/>
      <c r="B30" s="178" t="inlineStr">
        <is>
          <t>High school transcript</t>
        </is>
      </c>
      <c r="C30" s="119" t="inlineStr">
        <is>
          <t>X</t>
        </is>
      </c>
      <c r="D30" s="119" t="n"/>
      <c r="E30" s="119" t="n"/>
      <c r="F30" s="119" t="n"/>
      <c r="G30" s="119"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c r="A31" s="426" t="n"/>
      <c r="B31" s="178" t="inlineStr">
        <is>
          <t>College transcript(s)</t>
        </is>
      </c>
      <c r="C31" s="119" t="inlineStr">
        <is>
          <t>X</t>
        </is>
      </c>
      <c r="D31" s="119" t="n"/>
      <c r="E31" s="119" t="n"/>
      <c r="F31" s="119" t="n"/>
      <c r="G31" s="119"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2.75" customHeight="1" s="348">
      <c r="A32" s="426" t="n"/>
      <c r="B32" s="178" t="inlineStr">
        <is>
          <t>Essay or personal statement</t>
        </is>
      </c>
      <c r="C32" s="119" t="inlineStr">
        <is>
          <t>X</t>
        </is>
      </c>
      <c r="D32" s="119" t="n"/>
      <c r="E32" s="119" t="n"/>
      <c r="F32" s="119" t="n"/>
      <c r="G32" s="119"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12.75" customHeight="1" s="348">
      <c r="A33" s="426" t="n"/>
      <c r="B33" s="178" t="inlineStr">
        <is>
          <t>Interview</t>
        </is>
      </c>
      <c r="C33" s="119" t="n"/>
      <c r="D33" s="119" t="n"/>
      <c r="E33" s="119" t="n"/>
      <c r="F33" s="119" t="n"/>
      <c r="G33" s="119" t="inlineStr">
        <is>
          <t>X</t>
        </is>
      </c>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2.75" customHeight="1" s="348">
      <c r="A34" s="426" t="n"/>
      <c r="B34" s="178" t="inlineStr">
        <is>
          <t>Standardized test scores</t>
        </is>
      </c>
      <c r="C34" s="119" t="n"/>
      <c r="D34" s="119" t="n"/>
      <c r="E34" s="119" t="n"/>
      <c r="F34" s="119" t="n"/>
      <c r="G34" s="119" t="inlineStr">
        <is>
          <t>X</t>
        </is>
      </c>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28.5" customHeight="1" s="348">
      <c r="A35" s="426" t="n"/>
      <c r="B35" s="178" t="inlineStr">
        <is>
          <t>Statement of good standing from prior institution(s)</t>
        </is>
      </c>
      <c r="C35" s="119" t="n"/>
      <c r="D35" s="119" t="n"/>
      <c r="E35" s="119" t="n"/>
      <c r="F35" s="119" t="n"/>
      <c r="G35" s="119" t="inlineStr">
        <is>
          <t>X</t>
        </is>
      </c>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15" t="n"/>
      <c r="B36" s="453" t="n"/>
      <c r="C36" s="453" t="n"/>
      <c r="D36" s="453" t="n"/>
      <c r="E36" s="453" t="n"/>
      <c r="F36" s="453" t="n"/>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27" customHeight="1" s="348">
      <c r="A37" s="426" t="inlineStr">
        <is>
          <t>D6</t>
        </is>
      </c>
      <c r="B37" s="382" t="inlineStr">
        <is>
          <t>If a minimum high school grade point average is required of transfer applicants, specify (on a 4.0 scale):</t>
        </is>
      </c>
      <c r="E37" s="420" t="inlineStr">
        <is>
          <t>N/A</t>
        </is>
      </c>
      <c r="F37" s="453" t="n"/>
      <c r="G37" s="161"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c r="A38" s="415" t="n"/>
      <c r="B38" s="453" t="n"/>
      <c r="C38" s="453" t="n"/>
      <c r="D38" s="453" t="n"/>
      <c r="E38" s="453" t="n"/>
      <c r="F38" s="453" t="n"/>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26.25" customHeight="1" s="348">
      <c r="A39" s="426" t="inlineStr">
        <is>
          <t>D7</t>
        </is>
      </c>
      <c r="B39" s="382" t="inlineStr">
        <is>
          <t xml:space="preserve">If a minimum college grade point average is required of transfer applicants, specify (on a 4.0 scale):
</t>
        </is>
      </c>
      <c r="E39" s="420" t="inlineStr">
        <is>
          <t>Program specific</t>
        </is>
      </c>
      <c r="F39" s="453" t="n"/>
      <c r="G39" s="161"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415" t="n"/>
      <c r="B40" s="453" t="n"/>
      <c r="C40" s="453" t="n"/>
      <c r="D40" s="453" t="n"/>
      <c r="E40" s="453" t="n"/>
      <c r="F40" s="453"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426" t="inlineStr">
        <is>
          <t>D8</t>
        </is>
      </c>
      <c r="B41" s="382" t="inlineStr">
        <is>
          <t>List any other application requirements specific to transfer applicants:</t>
        </is>
      </c>
      <c r="G41" s="368"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c r="A42" s="426" t="n"/>
      <c r="B42" s="413" t="inlineStr">
        <is>
          <t>Pre-requisite courses, program specific</t>
        </is>
      </c>
      <c r="C42" s="498" t="n"/>
      <c r="D42" s="498" t="n"/>
      <c r="E42" s="498" t="n"/>
      <c r="F42" s="498" t="n"/>
      <c r="G42" s="498"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c r="A43" s="415" t="n"/>
      <c r="B43" s="453" t="n"/>
      <c r="C43" s="453" t="n"/>
      <c r="D43" s="453" t="n"/>
      <c r="E43" s="453" t="n"/>
      <c r="F43" s="453"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37.5" customHeight="1" s="348">
      <c r="A44" s="426" t="inlineStr">
        <is>
          <t>D9</t>
        </is>
      </c>
      <c r="B44" s="387" t="inlineStr">
        <is>
          <t>List application priority, closing, notification, and candidate reply dates for transfer students. If applications are reviewed on a continuous or rolling basis, place a check mark in the “Rolling admission” column.</t>
        </is>
      </c>
      <c r="C44" s="498" t="n"/>
      <c r="D44" s="498" t="n"/>
      <c r="E44" s="498" t="n"/>
      <c r="F44" s="498" t="n"/>
      <c r="G44" s="498"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26" t="inlineStr">
        <is>
          <t>D9</t>
        </is>
      </c>
      <c r="B45" s="180" t="n"/>
      <c r="C45" s="181" t="inlineStr">
        <is>
          <t>Priority Date</t>
        </is>
      </c>
      <c r="D45" s="181" t="inlineStr">
        <is>
          <t>Closing Date</t>
        </is>
      </c>
      <c r="E45" s="181" t="inlineStr">
        <is>
          <t>Notification Date</t>
        </is>
      </c>
      <c r="F45" s="181" t="inlineStr">
        <is>
          <t>Reply Date</t>
        </is>
      </c>
      <c r="G45" s="181" t="inlineStr">
        <is>
          <t>Rolling Admission</t>
        </is>
      </c>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26" t="inlineStr">
        <is>
          <t>D9</t>
        </is>
      </c>
      <c r="B46" s="182" t="inlineStr">
        <is>
          <t>Fall</t>
        </is>
      </c>
      <c r="C46" s="525" t="n"/>
      <c r="D46" s="525" t="n">
        <v>44993</v>
      </c>
      <c r="E46" s="525" t="inlineStr">
        <is>
          <t>by mid-April</t>
        </is>
      </c>
      <c r="F46" s="525" t="inlineStr">
        <is>
          <t>after admission</t>
        </is>
      </c>
      <c r="G46" s="184" t="inlineStr">
        <is>
          <t>X</t>
        </is>
      </c>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26" t="inlineStr">
        <is>
          <t>D9</t>
        </is>
      </c>
      <c r="B47" s="182" t="inlineStr">
        <is>
          <t>Winter</t>
        </is>
      </c>
      <c r="C47" s="525" t="n"/>
      <c r="D47" s="525" t="n"/>
      <c r="E47" s="525" t="n"/>
      <c r="F47" s="525" t="n"/>
      <c r="G47" s="184"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26" t="inlineStr">
        <is>
          <t>D9</t>
        </is>
      </c>
      <c r="B48" s="182" t="inlineStr">
        <is>
          <t>Spring</t>
        </is>
      </c>
      <c r="C48" s="525" t="n"/>
      <c r="D48" s="525" t="n">
        <v>45214</v>
      </c>
      <c r="E48" s="525" t="inlineStr">
        <is>
          <t>by late-November</t>
        </is>
      </c>
      <c r="F48" s="525" t="inlineStr">
        <is>
          <t>after admission</t>
        </is>
      </c>
      <c r="G48" s="184" t="inlineStr">
        <is>
          <t>X</t>
        </is>
      </c>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26" t="inlineStr">
        <is>
          <t>D9</t>
        </is>
      </c>
      <c r="B49" s="182" t="inlineStr">
        <is>
          <t>Summer</t>
        </is>
      </c>
      <c r="C49" s="525" t="n"/>
      <c r="D49" s="525" t="n">
        <v>44993</v>
      </c>
      <c r="E49" s="525" t="inlineStr">
        <is>
          <t xml:space="preserve">by mid-April </t>
        </is>
      </c>
      <c r="F49" s="525" t="inlineStr">
        <is>
          <t>after admission</t>
        </is>
      </c>
      <c r="G49" s="184" t="inlineStr">
        <is>
          <t>X</t>
        </is>
      </c>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n"/>
      <c r="B50" s="453" t="n"/>
      <c r="C50" s="528" t="n"/>
      <c r="D50" s="528" t="n"/>
      <c r="E50" s="528" t="n"/>
      <c r="F50" s="528" t="n"/>
      <c r="G50" s="186"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26" t="n"/>
      <c r="B51" s="453" t="n"/>
      <c r="C51" s="528" t="n"/>
      <c r="D51" s="528" t="n"/>
      <c r="E51" s="528" t="n"/>
      <c r="F51" s="528" t="n"/>
      <c r="G51" s="186"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15" t="n"/>
      <c r="B52" s="453" t="n"/>
      <c r="C52" s="453" t="n"/>
      <c r="D52" s="453" t="n"/>
      <c r="E52" s="453" t="n"/>
      <c r="F52" s="453"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26" t="n"/>
      <c r="B53" s="402" t="n"/>
      <c r="E53" s="187" t="inlineStr">
        <is>
          <t>Yes</t>
        </is>
      </c>
      <c r="F53" s="187" t="inlineStr">
        <is>
          <t>No</t>
        </is>
      </c>
      <c r="G53" s="161"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26.25" customHeight="1" s="348">
      <c r="A54" s="426" t="inlineStr">
        <is>
          <t>D10</t>
        </is>
      </c>
      <c r="B54" s="508" t="inlineStr">
        <is>
          <t>Does an open admission policy, if reported, apply to transfer students?</t>
        </is>
      </c>
      <c r="D54" s="509" t="n"/>
      <c r="E54" s="119" t="n"/>
      <c r="F54" s="119" t="n"/>
      <c r="G54" s="162"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382" t="n"/>
      <c r="C55" s="382" t="n"/>
      <c r="D55" s="382" t="n"/>
      <c r="E55" s="160" t="n"/>
      <c r="F55" s="160"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26" t="inlineStr">
        <is>
          <t>D11</t>
        </is>
      </c>
      <c r="B56" s="382" t="inlineStr">
        <is>
          <t xml:space="preserve">Describe additional requirements for transfer admission, if applicable: </t>
        </is>
      </c>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26" t="n"/>
      <c r="B57" s="413" t="n"/>
      <c r="C57" s="498" t="n"/>
      <c r="D57" s="498" t="n"/>
      <c r="E57" s="498" t="n"/>
      <c r="F57" s="498" t="n"/>
      <c r="G57" s="498"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15" t="n"/>
      <c r="B58" s="453" t="n"/>
      <c r="C58" s="453" t="n"/>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15" t="n"/>
      <c r="B59" s="430" t="inlineStr">
        <is>
          <t>D12-D17: Transfer Credit Policies</t>
        </is>
      </c>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27.75" customHeight="1" s="348">
      <c r="A60" s="426" t="inlineStr">
        <is>
          <t>D12</t>
        </is>
      </c>
      <c r="B60" s="382" t="inlineStr">
        <is>
          <t xml:space="preserve">Report the lowest grade earned for any course that may be transferred for credit:  </t>
        </is>
      </c>
      <c r="D60" s="188" t="inlineStr">
        <is>
          <t>D-</t>
        </is>
      </c>
      <c r="E60" s="453" t="n"/>
      <c r="F60" s="453" t="n"/>
      <c r="G60" s="161"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15" t="n"/>
      <c r="B61" s="453" t="n"/>
      <c r="C61" s="453" t="n"/>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26" t="n"/>
      <c r="B62" s="402" t="n"/>
      <c r="E62" s="187" t="inlineStr">
        <is>
          <t>Number</t>
        </is>
      </c>
      <c r="F62" s="187" t="inlineStr">
        <is>
          <t>Unit Type</t>
        </is>
      </c>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26.25" customHeight="1" s="348">
      <c r="A63" s="426" t="inlineStr">
        <is>
          <t>D13</t>
        </is>
      </c>
      <c r="B63" s="508" t="inlineStr">
        <is>
          <t>Maximum number of credits or courses that may be transferred from a two-year institution:</t>
        </is>
      </c>
      <c r="D63" s="509" t="n"/>
      <c r="E63" s="119" t="inlineStr">
        <is>
          <t>N/A</t>
        </is>
      </c>
      <c r="F63" s="119" t="inlineStr">
        <is>
          <t>N/A</t>
        </is>
      </c>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15"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26" t="n"/>
      <c r="B65" s="402" t="n"/>
      <c r="E65" s="187" t="inlineStr">
        <is>
          <t>Number</t>
        </is>
      </c>
      <c r="F65" s="187" t="inlineStr">
        <is>
          <t>Unit Type</t>
        </is>
      </c>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27" customHeight="1" s="348">
      <c r="A66" s="426" t="inlineStr">
        <is>
          <t>D14</t>
        </is>
      </c>
      <c r="B66" s="508" t="inlineStr">
        <is>
          <t>Maximum number of credits or courses that may be transferred from a four-year institution:</t>
        </is>
      </c>
      <c r="D66" s="509" t="n"/>
      <c r="E66" s="119" t="inlineStr">
        <is>
          <t>N/A</t>
        </is>
      </c>
      <c r="F66" s="119" t="inlineStr">
        <is>
          <t>N/A</t>
        </is>
      </c>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15"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27.75" customHeight="1" s="348">
      <c r="A68" s="426" t="inlineStr">
        <is>
          <t>D15</t>
        </is>
      </c>
      <c r="B68" s="508" t="inlineStr">
        <is>
          <t>Minimum number of credits that transfers must complete at your institution to earn an associate degree:</t>
        </is>
      </c>
      <c r="D68" s="509" t="n"/>
      <c r="E68" s="188" t="inlineStr">
        <is>
          <t>N/A</t>
        </is>
      </c>
      <c r="F68" s="395" t="n"/>
      <c r="G68" s="161"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26" t="n"/>
      <c r="B69" s="395" t="n"/>
      <c r="C69" s="395" t="n"/>
      <c r="D69" s="395" t="n"/>
      <c r="E69" s="395" t="n"/>
      <c r="F69" s="395" t="n"/>
      <c r="G69" s="161"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26.25" customHeight="1" s="348">
      <c r="A70" s="426" t="inlineStr">
        <is>
          <t>D16</t>
        </is>
      </c>
      <c r="B70" s="508" t="inlineStr">
        <is>
          <t>Minimum number of credits that transfers must complete at your institution to earn a bachelor’s degree:</t>
        </is>
      </c>
      <c r="D70" s="509" t="n"/>
      <c r="E70" s="188" t="inlineStr">
        <is>
          <t>N/A</t>
        </is>
      </c>
      <c r="F70" s="395" t="n"/>
      <c r="G70" s="161"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26" t="n"/>
      <c r="B71" s="395" t="n"/>
      <c r="C71" s="395" t="n"/>
      <c r="D71" s="395" t="n"/>
      <c r="E71" s="395" t="n"/>
      <c r="F71" s="395" t="n"/>
      <c r="G71" s="161"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26" t="inlineStr">
        <is>
          <t>D17</t>
        </is>
      </c>
      <c r="B72" s="382" t="inlineStr">
        <is>
          <t>Describe other transfer credit policies:</t>
        </is>
      </c>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26" t="n"/>
      <c r="B73" s="429" t="inlineStr">
        <is>
          <t>All transfer courses are reviewed for transferability to our campus. Only transferable courses are calculated in the transfer GPA and consider in the admission process.</t>
        </is>
      </c>
      <c r="C73" s="529" t="n"/>
      <c r="D73" s="529" t="n"/>
      <c r="E73" s="529" t="n"/>
      <c r="F73" s="529" t="n"/>
      <c r="G73" s="529"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26" t="n"/>
      <c r="B74" s="382" t="n"/>
      <c r="C74" s="382" t="n"/>
      <c r="D74" s="382" t="n"/>
      <c r="E74" s="382" t="n"/>
      <c r="F74" s="382" t="n"/>
      <c r="G74" s="382"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26" t="n"/>
      <c r="B75" s="90" t="inlineStr">
        <is>
          <t>D18-D22: Military Service Transfer Credit Policies</t>
        </is>
      </c>
      <c r="C75" s="382" t="n"/>
      <c r="D75" s="382" t="n"/>
      <c r="E75" s="382" t="n"/>
      <c r="F75" s="382" t="n"/>
      <c r="G75" s="382"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26" t="inlineStr">
        <is>
          <t>D18</t>
        </is>
      </c>
      <c r="B76" s="453" t="inlineStr">
        <is>
          <t>Does your institution accept the following military/veteran transfer credits:</t>
        </is>
      </c>
      <c r="C76" s="453" t="n"/>
      <c r="D76" s="453" t="n"/>
      <c r="E76" s="453" t="n"/>
      <c r="F76" s="382" t="n"/>
      <c r="G76" s="382"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26" t="n"/>
      <c r="B77" s="453" t="n"/>
      <c r="C77" s="453" t="n"/>
      <c r="D77" s="453" t="n"/>
      <c r="E77" s="453" t="n"/>
      <c r="F77" s="382" t="n"/>
      <c r="G77" s="382"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26" t="n"/>
      <c r="B78" s="402" t="n"/>
      <c r="E78" s="88" t="inlineStr">
        <is>
          <t>Yes</t>
        </is>
      </c>
      <c r="F78" s="190" t="inlineStr">
        <is>
          <t>No</t>
        </is>
      </c>
      <c r="G78" s="382"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26" t="n"/>
      <c r="B79" s="530" t="inlineStr">
        <is>
          <t>American Council on Education (ACE)</t>
        </is>
      </c>
      <c r="D79" s="509" t="n"/>
      <c r="E79" s="119" t="inlineStr">
        <is>
          <t>X</t>
        </is>
      </c>
      <c r="F79" s="74" t="n"/>
      <c r="G79" s="382"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26" t="n"/>
      <c r="B80" s="530" t="inlineStr">
        <is>
          <t>College Level Examination Program (CLEP)</t>
        </is>
      </c>
      <c r="D80" s="509" t="n"/>
      <c r="E80" s="119" t="n"/>
      <c r="F80" s="74" t="inlineStr">
        <is>
          <t>X</t>
        </is>
      </c>
      <c r="G80" s="382"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26" t="n"/>
      <c r="B81" s="530" t="inlineStr">
        <is>
          <t>DANTES Subject Standardized Tests (DSST)</t>
        </is>
      </c>
      <c r="D81" s="509" t="n"/>
      <c r="E81" s="119" t="n"/>
      <c r="F81" s="74" t="inlineStr">
        <is>
          <t>X</t>
        </is>
      </c>
      <c r="G81" s="382"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26" t="n"/>
      <c r="B82" s="453" t="n"/>
      <c r="C82" s="453" t="n"/>
      <c r="D82" s="453" t="n"/>
      <c r="E82" s="453" t="n"/>
      <c r="F82" s="382" t="n"/>
      <c r="G82" s="382"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02" t="n"/>
      <c r="E83" s="88" t="inlineStr">
        <is>
          <t>Number</t>
        </is>
      </c>
      <c r="F83" s="190" t="inlineStr">
        <is>
          <t>Unit Type</t>
        </is>
      </c>
      <c r="G83" s="382"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26" t="inlineStr">
        <is>
          <t>D19</t>
        </is>
      </c>
      <c r="B84" s="531" t="inlineStr">
        <is>
          <t xml:space="preserve">Maximum number of credits or courses that may be transferred based on military education evaluated by the American Council on Education (ACE): </t>
        </is>
      </c>
      <c r="D84" s="509" t="n"/>
      <c r="E84" s="319" t="inlineStr">
        <is>
          <t>N/A</t>
        </is>
      </c>
      <c r="F84" s="319" t="inlineStr">
        <is>
          <t>N/A</t>
        </is>
      </c>
      <c r="G84" s="382"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26" t="n"/>
      <c r="D85" s="509" t="n"/>
      <c r="E85" s="532" t="n"/>
      <c r="F85" s="532" t="n"/>
      <c r="G85" s="382"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26" t="n"/>
      <c r="D86" s="509" t="n"/>
      <c r="E86" s="533" t="n"/>
      <c r="F86" s="533" t="n"/>
      <c r="G86" s="382"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26" t="n"/>
      <c r="B87" s="476" t="n"/>
      <c r="C87" s="476" t="n"/>
      <c r="D87" s="476" t="n"/>
      <c r="E87" s="453" t="n"/>
      <c r="F87" s="382" t="n"/>
      <c r="G87" s="382"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15" t="n"/>
      <c r="B88" s="402" t="n"/>
      <c r="E88" s="88" t="inlineStr">
        <is>
          <t>Number</t>
        </is>
      </c>
      <c r="F88" s="190" t="inlineStr">
        <is>
          <t>Unit Type</t>
        </is>
      </c>
      <c r="G88" s="382"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26" t="inlineStr">
        <is>
          <t>D20</t>
        </is>
      </c>
      <c r="B89" s="534" t="inlineStr">
        <is>
          <t>Maximum number of credits or courses that may be transferred based on Department of Defense supported prior learning assessments (College Level Examination Program (CLEP) or DANTES Subject Standardized Tests (DSST)):</t>
        </is>
      </c>
      <c r="D89" s="509" t="n"/>
      <c r="E89" s="119" t="inlineStr">
        <is>
          <t>N/A</t>
        </is>
      </c>
      <c r="F89" s="74" t="inlineStr">
        <is>
          <t>N/A</t>
        </is>
      </c>
      <c r="G89" s="382"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26" t="n"/>
      <c r="D90" s="509" t="n"/>
      <c r="E90" s="535" t="n"/>
      <c r="F90" s="535" t="n"/>
      <c r="G90" s="382"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26" t="n"/>
      <c r="D91" s="509" t="n"/>
      <c r="E91" s="535" t="n"/>
      <c r="F91" s="535" t="n"/>
      <c r="G91" s="382"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26" t="n"/>
      <c r="B92" s="498" t="n"/>
      <c r="C92" s="498" t="n"/>
      <c r="D92" s="518" t="n"/>
      <c r="E92" s="503" t="n"/>
      <c r="F92" s="503" t="n"/>
      <c r="G92" s="382"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26" t="n"/>
      <c r="B93" s="438" t="n"/>
      <c r="C93" s="438" t="n"/>
      <c r="D93" s="438" t="n"/>
      <c r="E93" s="453" t="n"/>
      <c r="F93" s="382" t="n"/>
      <c r="G93" s="382"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26" t="n"/>
      <c r="B94" s="402" t="n"/>
      <c r="E94" s="88" t="inlineStr">
        <is>
          <t>Yes</t>
        </is>
      </c>
      <c r="F94" s="190" t="inlineStr">
        <is>
          <t>No</t>
        </is>
      </c>
      <c r="G94" s="382"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26" t="inlineStr">
        <is>
          <t>D21</t>
        </is>
      </c>
      <c r="B95" s="536" t="inlineStr">
        <is>
          <t>Are the military/veteran credit transfer policies published on your website?</t>
        </is>
      </c>
      <c r="D95" s="509" t="n"/>
      <c r="E95" s="119" t="inlineStr">
        <is>
          <t>X</t>
        </is>
      </c>
      <c r="F95" s="74" t="n"/>
      <c r="G95" s="382"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26" t="n"/>
      <c r="B96" s="498" t="n"/>
      <c r="C96" s="498" t="n"/>
      <c r="D96" s="518" t="n"/>
      <c r="E96" s="503" t="n"/>
      <c r="F96" s="503" t="n"/>
      <c r="G96" s="382"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26" t="n"/>
      <c r="B97" s="476" t="n"/>
      <c r="C97" s="476" t="n"/>
      <c r="D97" s="476" t="n"/>
      <c r="E97" s="453" t="n"/>
      <c r="F97" s="382" t="n"/>
      <c r="G97" s="382"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26" t="n"/>
      <c r="B98" s="415" t="inlineStr">
        <is>
          <t>If yes, please provide the URL where the policy can be located:</t>
        </is>
      </c>
      <c r="G98" s="382"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26" t="n"/>
      <c r="B99" s="439" t="inlineStr">
        <is>
          <t>https://admissions.illinois.edu/policies#policies-transfer</t>
        </is>
      </c>
      <c r="C99" s="529" t="n"/>
      <c r="D99" s="529" t="n"/>
      <c r="E99" s="529" t="n"/>
      <c r="F99" s="529" t="n"/>
      <c r="G99" s="382"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26" t="n"/>
      <c r="B100" s="125" t="n"/>
      <c r="C100" s="125" t="n"/>
      <c r="D100" s="125" t="n"/>
      <c r="E100" s="125" t="n"/>
      <c r="F100" s="125" t="n"/>
      <c r="G100" s="382"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26" t="inlineStr">
        <is>
          <t>D22</t>
        </is>
      </c>
      <c r="B101" s="415" t="inlineStr">
        <is>
          <t>Describe other military/veteran transfer credit policies unique to your institution:</t>
        </is>
      </c>
      <c r="G101" s="382"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26" t="n"/>
      <c r="B102" s="429" t="inlineStr">
        <is>
          <t xml:space="preserve"> A total of 4 semester hours of lower-division military science credit will be granted for transfer admission only, if completion of 6 months or more of continuous active duty in the United States Armed Forces, including basic or recruit training, and an honorable discharge from active military duty to civilian life or transfer to the reserve component is posted on the military record (DD214). Submission of the DD214 is required for credit to be granted.</t>
        </is>
      </c>
      <c r="C102" s="529" t="n"/>
      <c r="D102" s="529" t="n"/>
      <c r="E102" s="529" t="n"/>
      <c r="F102" s="529" t="n"/>
      <c r="G102" s="382"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15"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15"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15"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15"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15"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15"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15"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15"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15"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15"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15"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15"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15"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15"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15"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15"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15"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15"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15"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15"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15"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15"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15"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15"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15"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15"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15"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15"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15"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15"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15"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15"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15"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15"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15"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15"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15"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15"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15"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15"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15"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15"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15"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15"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15"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15"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15"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15"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15"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15"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15"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15"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15"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15"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15"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15"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15"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15"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15"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15"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15"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15"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15"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15"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15"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15"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15"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15"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15"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15"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15"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15"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15"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15"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15"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15"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15"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15"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15"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row r="1001" ht="12.75" customHeight="1" s="348">
      <c r="A1001" s="415" t="n"/>
      <c r="B1001" s="453" t="n"/>
      <c r="C1001" s="453" t="n"/>
      <c r="D1001" s="453" t="n"/>
      <c r="E1001" s="453" t="n"/>
      <c r="F1001" s="453" t="n"/>
      <c r="G1001" s="453" t="n"/>
      <c r="H1001" s="453" t="n"/>
      <c r="I1001" s="453" t="n"/>
      <c r="J1001" s="453" t="n"/>
      <c r="K1001" s="453" t="n"/>
      <c r="L1001" s="453" t="n"/>
      <c r="M1001" s="453" t="n"/>
      <c r="N1001" s="453" t="n"/>
      <c r="O1001" s="453" t="n"/>
      <c r="P1001" s="453" t="n"/>
      <c r="Q1001" s="453" t="n"/>
      <c r="R1001" s="453" t="n"/>
      <c r="S1001" s="453" t="n"/>
      <c r="T1001" s="453" t="n"/>
      <c r="U1001" s="453" t="n"/>
      <c r="V1001" s="453" t="n"/>
      <c r="W1001" s="453" t="n"/>
      <c r="X1001" s="453" t="n"/>
      <c r="Y1001" s="453" t="n"/>
      <c r="Z1001" s="453" t="n"/>
    </row>
    <row r="1002" ht="12.75" customHeight="1" s="348">
      <c r="A1002" s="415" t="n"/>
      <c r="B1002" s="453" t="n"/>
      <c r="C1002" s="453" t="n"/>
      <c r="D1002" s="453" t="n"/>
      <c r="E1002" s="453" t="n"/>
      <c r="F1002" s="453" t="n"/>
      <c r="G1002" s="453" t="n"/>
      <c r="H1002" s="453" t="n"/>
      <c r="I1002" s="453" t="n"/>
      <c r="J1002" s="453" t="n"/>
      <c r="K1002" s="453" t="n"/>
      <c r="L1002" s="453" t="n"/>
      <c r="M1002" s="453" t="n"/>
      <c r="N1002" s="453" t="n"/>
      <c r="O1002" s="453" t="n"/>
      <c r="P1002" s="453" t="n"/>
      <c r="Q1002" s="453" t="n"/>
      <c r="R1002" s="453" t="n"/>
      <c r="S1002" s="453" t="n"/>
      <c r="T1002" s="453" t="n"/>
      <c r="U1002" s="453" t="n"/>
      <c r="V1002" s="453" t="n"/>
      <c r="W1002" s="453" t="n"/>
      <c r="X1002" s="453" t="n"/>
      <c r="Y1002" s="453" t="n"/>
      <c r="Z1002" s="453" t="n"/>
    </row>
  </sheetData>
  <mergeCells count="50">
    <mergeCell ref="B95:D96"/>
    <mergeCell ref="B42:G42"/>
    <mergeCell ref="B23:D23"/>
    <mergeCell ref="B59:C59"/>
    <mergeCell ref="B57:G57"/>
    <mergeCell ref="B17:D17"/>
    <mergeCell ref="B8:G8"/>
    <mergeCell ref="B88:D88"/>
    <mergeCell ref="B73:G73"/>
    <mergeCell ref="B53:D53"/>
    <mergeCell ref="B78:D78"/>
    <mergeCell ref="F95:F96"/>
    <mergeCell ref="B44:G44"/>
    <mergeCell ref="B89:D92"/>
    <mergeCell ref="B102:F102"/>
    <mergeCell ref="F89:F92"/>
    <mergeCell ref="B37:D37"/>
    <mergeCell ref="B9:G9"/>
    <mergeCell ref="B98:F98"/>
    <mergeCell ref="F84:F86"/>
    <mergeCell ref="B60:C60"/>
    <mergeCell ref="B65:D65"/>
    <mergeCell ref="B101:F101"/>
    <mergeCell ref="B83:D83"/>
    <mergeCell ref="B68:D68"/>
    <mergeCell ref="B6:D6"/>
    <mergeCell ref="B24:D24"/>
    <mergeCell ref="B27:E27"/>
    <mergeCell ref="B84:D86"/>
    <mergeCell ref="B80:D80"/>
    <mergeCell ref="A1:G1"/>
    <mergeCell ref="B94:D94"/>
    <mergeCell ref="B63:D63"/>
    <mergeCell ref="E95:E96"/>
    <mergeCell ref="B79:D79"/>
    <mergeCell ref="B5:D5"/>
    <mergeCell ref="B4:D4"/>
    <mergeCell ref="E89:E92"/>
    <mergeCell ref="B99:F99"/>
    <mergeCell ref="B62:D62"/>
    <mergeCell ref="B25:D25"/>
    <mergeCell ref="B54:D54"/>
    <mergeCell ref="B81:D81"/>
    <mergeCell ref="B72:G72"/>
    <mergeCell ref="B66:D66"/>
    <mergeCell ref="B70:D70"/>
    <mergeCell ref="B56:G56"/>
    <mergeCell ref="B39:D39"/>
    <mergeCell ref="E84:E86"/>
    <mergeCell ref="B41:F41"/>
  </mergeCells>
  <hyperlinks>
    <hyperlink xmlns:r="http://schemas.openxmlformats.org/officeDocument/2006/relationships" ref="B99" location="policies-transfer" r:id="rId1"/>
  </hyperlinks>
  <pageMargins left="0.75" right="0.75" top="1" bottom="1" header="0" footer="0"/>
  <pageSetup orientation="portrait" scale="75"/>
  <headerFooter>
    <oddHeader>&amp;LCommon Data Set 2021-2022</oddHeader>
    <oddFooter>&amp;LCDS-D&amp;RPage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3"/>
  <sheetViews>
    <sheetView showGridLines="0" workbookViewId="0">
      <selection activeCell="A1" sqref="A1:C1"/>
    </sheetView>
  </sheetViews>
  <sheetFormatPr baseColWidth="8" defaultColWidth="12.7109375" defaultRowHeight="15" customHeight="1"/>
  <cols>
    <col width="4.42578125" customWidth="1" style="348" min="1" max="1"/>
    <col width="66.28515625" customWidth="1" style="348" min="2" max="2"/>
    <col width="12.7109375" customWidth="1" style="348" min="3" max="3"/>
    <col width="9.28515625" customWidth="1" style="348" min="4" max="4"/>
    <col hidden="1" width="8.7109375" customWidth="1" style="348" min="5" max="6"/>
    <col width="8.7109375" customWidth="1" style="348" min="7" max="26"/>
  </cols>
  <sheetData>
    <row r="1" ht="12.75" customHeight="1" s="348">
      <c r="A1" s="490" t="inlineStr">
        <is>
          <t>E. ACADEMIC OFFERINGS AND POLICIES</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348">
      <c r="A2" s="37" t="n"/>
      <c r="B2" s="37" t="n"/>
      <c r="C2" s="37"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8.5" customHeight="1" s="348">
      <c r="A3" s="4" t="inlineStr">
        <is>
          <t>E1</t>
        </is>
      </c>
      <c r="B3" s="500" t="inlineStr">
        <is>
          <t>Special study options: Identify those programs available at your institution. Refer to the glossary for definitions.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348">
      <c r="A4" s="4" t="n"/>
      <c r="B4" s="357" t="n"/>
      <c r="C4" s="28"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348">
      <c r="A5" s="17" t="n"/>
      <c r="B5" s="18" t="inlineStr">
        <is>
          <t>Accelerated program</t>
        </is>
      </c>
      <c r="C5" s="38"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348">
      <c r="A6" s="17" t="inlineStr">
        <is>
          <t>x</t>
        </is>
      </c>
      <c r="B6" s="18" t="inlineStr">
        <is>
          <t>Comprehensive transition and postsecondary program for students with intellectual disabilities</t>
        </is>
      </c>
      <c r="C6" s="38"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348">
      <c r="A7" s="17" t="inlineStr">
        <is>
          <t>x</t>
        </is>
      </c>
      <c r="B7" s="18" t="inlineStr">
        <is>
          <t>Cross-registration</t>
        </is>
      </c>
      <c r="C7" s="38"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348">
      <c r="A8" s="17" t="inlineStr">
        <is>
          <t>x</t>
        </is>
      </c>
      <c r="B8" s="18" t="inlineStr">
        <is>
          <t>Distance learning</t>
        </is>
      </c>
      <c r="C8" s="38"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348">
      <c r="A9" s="17" t="inlineStr">
        <is>
          <t>x</t>
        </is>
      </c>
      <c r="B9" s="18" t="inlineStr">
        <is>
          <t>Double major</t>
        </is>
      </c>
      <c r="C9" s="38"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348">
      <c r="A10" s="17" t="n"/>
      <c r="B10" s="18" t="inlineStr">
        <is>
          <t>Dual enrollment</t>
        </is>
      </c>
      <c r="C10" s="38"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348">
      <c r="A11" s="17" t="inlineStr">
        <is>
          <t>x</t>
        </is>
      </c>
      <c r="B11" s="18" t="inlineStr">
        <is>
          <t>English as a Second Language (ESL)</t>
        </is>
      </c>
      <c r="C11" s="38"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348">
      <c r="A12" s="17" t="n"/>
      <c r="B12" s="18" t="inlineStr">
        <is>
          <t>Exchange student program (domestic)</t>
        </is>
      </c>
      <c r="C12" s="38"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348">
      <c r="A13" s="17" t="n"/>
      <c r="B13" s="18" t="inlineStr">
        <is>
          <t>External degree program</t>
        </is>
      </c>
      <c r="C13" s="38"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348">
      <c r="A14" s="17" t="inlineStr">
        <is>
          <t>x</t>
        </is>
      </c>
      <c r="B14" s="18" t="inlineStr">
        <is>
          <t>Honors Program</t>
        </is>
      </c>
      <c r="C14" s="38"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348">
      <c r="A15" s="17" t="inlineStr">
        <is>
          <t>x</t>
        </is>
      </c>
      <c r="B15" s="18" t="inlineStr">
        <is>
          <t>Independent study</t>
        </is>
      </c>
      <c r="C15" s="38"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348">
      <c r="A16" s="17" t="inlineStr">
        <is>
          <t>x</t>
        </is>
      </c>
      <c r="B16" s="18" t="inlineStr">
        <is>
          <t>Internships</t>
        </is>
      </c>
      <c r="C16" s="38"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348">
      <c r="A17" s="17" t="n"/>
      <c r="B17" s="18" t="inlineStr">
        <is>
          <t>Liberal arts/career combination</t>
        </is>
      </c>
      <c r="C17" s="38"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348">
      <c r="A18" s="17" t="inlineStr">
        <is>
          <t>x</t>
        </is>
      </c>
      <c r="B18" s="18" t="inlineStr">
        <is>
          <t>Student-designed major</t>
        </is>
      </c>
      <c r="C18" s="38"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348">
      <c r="A19" s="17" t="inlineStr">
        <is>
          <t>x</t>
        </is>
      </c>
      <c r="B19" s="18" t="inlineStr">
        <is>
          <t>Study abroad</t>
        </is>
      </c>
      <c r="C19" s="38"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348">
      <c r="A20" s="17" t="inlineStr">
        <is>
          <t>x</t>
        </is>
      </c>
      <c r="B20" s="18" t="inlineStr">
        <is>
          <t>Teacher certification program</t>
        </is>
      </c>
      <c r="C20" s="38"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348">
      <c r="A21" s="17" t="inlineStr">
        <is>
          <t>x</t>
        </is>
      </c>
      <c r="B21" s="18" t="inlineStr">
        <is>
          <t>Undergraduate Research</t>
        </is>
      </c>
      <c r="C21" s="38"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348">
      <c r="A22" s="17" t="n"/>
      <c r="B22" s="18" t="inlineStr">
        <is>
          <t>Weekend college</t>
        </is>
      </c>
      <c r="C22" s="38"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348">
      <c r="A23" s="17" t="n"/>
      <c r="B23" s="18" t="inlineStr">
        <is>
          <t>Other (specify):</t>
        </is>
      </c>
      <c r="C23" s="38"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348">
      <c r="A24" s="447" t="n"/>
      <c r="B24" s="340" t="n"/>
      <c r="C24" s="498"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348">
      <c r="A25" s="447"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348">
      <c r="A26" s="4" t="inlineStr">
        <is>
          <t>E2</t>
        </is>
      </c>
      <c r="B26" s="5" t="inlineStr">
        <is>
          <t>Has been removed from the CDS.</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348">
      <c r="A27" s="447"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4.75" customHeight="1" s="348">
      <c r="A28" s="442" t="inlineStr">
        <is>
          <t>E3</t>
        </is>
      </c>
      <c r="B28" s="30" t="inlineStr">
        <is>
          <t>Areas in which all or most students are required to complete some course work prior to graduation:</t>
        </is>
      </c>
      <c r="C28" s="30"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348">
      <c r="A29" s="10" t="inlineStr">
        <is>
          <t>x</t>
        </is>
      </c>
      <c r="B29" s="18" t="inlineStr">
        <is>
          <t>Arts/fine arts</t>
        </is>
      </c>
      <c r="C29" s="38"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348">
      <c r="A30" s="10" t="n"/>
      <c r="B30" s="18" t="inlineStr">
        <is>
          <t>Computer literacy</t>
        </is>
      </c>
      <c r="C30" s="3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348">
      <c r="A31" s="10" t="inlineStr">
        <is>
          <t>x</t>
        </is>
      </c>
      <c r="B31" s="18" t="inlineStr">
        <is>
          <t>English (including composition)</t>
        </is>
      </c>
      <c r="C31" s="3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348">
      <c r="A32" s="10" t="inlineStr">
        <is>
          <t>x</t>
        </is>
      </c>
      <c r="B32" s="18" t="inlineStr">
        <is>
          <t>Foreign languages</t>
        </is>
      </c>
      <c r="C32" s="3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348">
      <c r="A33" s="10" t="inlineStr">
        <is>
          <t>x</t>
        </is>
      </c>
      <c r="B33" s="18" t="inlineStr">
        <is>
          <t>History</t>
        </is>
      </c>
      <c r="C33" s="3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348">
      <c r="A34" s="10" t="n"/>
      <c r="B34" s="18" t="inlineStr">
        <is>
          <t>Physical Education</t>
        </is>
      </c>
      <c r="C34" s="3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348">
      <c r="A35" s="10" t="inlineStr">
        <is>
          <t>x</t>
        </is>
      </c>
      <c r="B35" s="18" t="inlineStr">
        <is>
          <t>Humanities</t>
        </is>
      </c>
      <c r="C35" s="3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348">
      <c r="A36" s="10" t="inlineStr">
        <is>
          <t>x</t>
        </is>
      </c>
      <c r="B36" s="18" t="inlineStr">
        <is>
          <t>Intensive writing</t>
        </is>
      </c>
      <c r="C36" s="38"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348">
      <c r="A37" s="10" t="inlineStr">
        <is>
          <t>x</t>
        </is>
      </c>
      <c r="B37" s="18" t="inlineStr">
        <is>
          <t>Mathematics</t>
        </is>
      </c>
      <c r="C37" s="38"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348">
      <c r="A38" s="10" t="n"/>
      <c r="B38" s="18" t="inlineStr">
        <is>
          <t>Philosophy</t>
        </is>
      </c>
      <c r="C38" s="38"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348">
      <c r="A39" s="10" t="inlineStr">
        <is>
          <t>x</t>
        </is>
      </c>
      <c r="B39" s="18" t="inlineStr">
        <is>
          <t>Sciences (biological or physical)</t>
        </is>
      </c>
      <c r="C39" s="38"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348">
      <c r="A40" s="10" t="inlineStr">
        <is>
          <t>x</t>
        </is>
      </c>
      <c r="B40" s="18" t="inlineStr">
        <is>
          <t>Social science</t>
        </is>
      </c>
      <c r="C40" s="38"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348">
      <c r="A41" s="10" t="n"/>
      <c r="B41" s="18" t="inlineStr">
        <is>
          <t>Other (describe):</t>
        </is>
      </c>
      <c r="C41" s="38"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348">
      <c r="A42" s="447" t="n"/>
      <c r="B42" s="441" t="n"/>
      <c r="C42" s="498"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348">
      <c r="A43" s="447"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348">
      <c r="A44" s="447" t="n"/>
      <c r="B44" s="39"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348">
      <c r="A45" s="447"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348">
      <c r="A46" s="447"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348">
      <c r="A47" s="447"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348">
      <c r="A48" s="447"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348">
      <c r="A49" s="447"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348">
      <c r="A50" s="447"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348">
      <c r="A51" s="447"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348">
      <c r="A52" s="447"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348">
      <c r="A53" s="447"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348">
      <c r="A54" s="447"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348">
      <c r="A55" s="447"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348">
      <c r="A56" s="447"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348">
      <c r="A57" s="447"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348">
      <c r="A58" s="447"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348">
      <c r="A59" s="447"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348">
      <c r="A60" s="447"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348">
      <c r="A61" s="447"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348">
      <c r="A62" s="447"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348">
      <c r="A63" s="447"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348">
      <c r="A64" s="447"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348">
      <c r="A65" s="447"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348">
      <c r="A66" s="447"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348">
      <c r="A67" s="447"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348">
      <c r="A68" s="447"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348">
      <c r="A69" s="447"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348">
      <c r="A70" s="447"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348">
      <c r="A71" s="447"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348">
      <c r="A72" s="447"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348">
      <c r="A73" s="447"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348">
      <c r="A74" s="447"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348">
      <c r="A75" s="447"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348">
      <c r="A76" s="447"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348">
      <c r="A77" s="447"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348">
      <c r="A78" s="447"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348">
      <c r="A79" s="447"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348">
      <c r="A80" s="447"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348">
      <c r="A81" s="447"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348">
      <c r="A82" s="447"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348">
      <c r="A83" s="447"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348">
      <c r="A84" s="447"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348">
      <c r="A85" s="447"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348">
      <c r="A86" s="447"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348">
      <c r="A87" s="447"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348">
      <c r="A88" s="447"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348">
      <c r="A89" s="447"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348">
      <c r="A90" s="447"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348">
      <c r="A91" s="447"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348">
      <c r="A92" s="447"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348">
      <c r="A93" s="447"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348">
      <c r="A94" s="447"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348">
      <c r="A95" s="447"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348">
      <c r="A96" s="447"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348">
      <c r="A97" s="447"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348">
      <c r="A98" s="447"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348">
      <c r="A99" s="447"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348">
      <c r="A100" s="447"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348">
      <c r="A101" s="447"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348">
      <c r="A102" s="447"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348">
      <c r="A103" s="447"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348">
      <c r="A104" s="447"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348">
      <c r="A105" s="447"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348">
      <c r="A106" s="447"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348">
      <c r="A107" s="447"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348">
      <c r="A108" s="447"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348">
      <c r="A109" s="447"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348">
      <c r="A110" s="447"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348">
      <c r="A111" s="447"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348">
      <c r="A112" s="447"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348">
      <c r="A113" s="447"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348">
      <c r="A114" s="447"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348">
      <c r="A115" s="447"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348">
      <c r="A116" s="447"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348">
      <c r="A117" s="447"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348">
      <c r="A118" s="447"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348">
      <c r="A119" s="447"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348">
      <c r="A120" s="447"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348">
      <c r="A121" s="447"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348">
      <c r="A122" s="447"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348">
      <c r="A123" s="447"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348">
      <c r="A124" s="447"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348">
      <c r="A125" s="447"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348">
      <c r="A126" s="447"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348">
      <c r="A127" s="447"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348">
      <c r="A128" s="447"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348">
      <c r="A129" s="447"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348">
      <c r="A130" s="447"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348">
      <c r="A131" s="447"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348">
      <c r="A132" s="447"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348">
      <c r="A133" s="447"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348">
      <c r="A134" s="447"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348">
      <c r="A135" s="447"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348">
      <c r="A136" s="447"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348">
      <c r="A137" s="447"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348">
      <c r="A138" s="447"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348">
      <c r="A139" s="447"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348">
      <c r="A140" s="447"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348">
      <c r="A141" s="447"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348">
      <c r="A142" s="447"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348">
      <c r="A143" s="447"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348">
      <c r="A144" s="447"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348">
      <c r="A145" s="447"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348">
      <c r="A146" s="447"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348">
      <c r="A147" s="447"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348">
      <c r="A148" s="447"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348">
      <c r="A149" s="447"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348">
      <c r="A150" s="447"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348">
      <c r="A151" s="447"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348">
      <c r="A152" s="447"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348">
      <c r="A153" s="447"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348">
      <c r="A154" s="447"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348">
      <c r="A155" s="447"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348">
      <c r="A156" s="447"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348">
      <c r="A157" s="447"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348">
      <c r="A158" s="447"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348">
      <c r="A159" s="447"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348">
      <c r="A160" s="447"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348">
      <c r="A161" s="447"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348">
      <c r="A162" s="447"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348">
      <c r="A163" s="447"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348">
      <c r="A164" s="447"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348">
      <c r="A165" s="447"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348">
      <c r="A166" s="447"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348">
      <c r="A167" s="447"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348">
      <c r="A168" s="447"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348">
      <c r="A169" s="447"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348">
      <c r="A170" s="447"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348">
      <c r="A171" s="447"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348">
      <c r="A172" s="447"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348">
      <c r="A173" s="447"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348">
      <c r="A174" s="447"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348">
      <c r="A175" s="447"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348">
      <c r="A176" s="447"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348">
      <c r="A177" s="447"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348">
      <c r="A178" s="447"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348">
      <c r="A179" s="447"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348">
      <c r="A180" s="447"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348">
      <c r="A181" s="447"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348">
      <c r="A182" s="447"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348">
      <c r="A183" s="447"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348">
      <c r="A184" s="447"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348">
      <c r="A185" s="447"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348">
      <c r="A186" s="447"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348">
      <c r="A187" s="447"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348">
      <c r="A188" s="447"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348">
      <c r="A189" s="447"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348">
      <c r="A190" s="447"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348">
      <c r="A191" s="447"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348">
      <c r="A192" s="447"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348">
      <c r="A193" s="447"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348">
      <c r="A194" s="447"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348">
      <c r="A195" s="447"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348">
      <c r="A196" s="447"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348">
      <c r="A197" s="447"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348">
      <c r="A198" s="447"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348">
      <c r="A199" s="447"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348">
      <c r="A200" s="447"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348">
      <c r="A201" s="447"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348">
      <c r="A202" s="447"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348">
      <c r="A203" s="447"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348">
      <c r="A204" s="447"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348">
      <c r="A205" s="447"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348">
      <c r="A206" s="447"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348">
      <c r="A207" s="447"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348">
      <c r="A208" s="447"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348">
      <c r="A209" s="447"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348">
      <c r="A210" s="447"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348">
      <c r="A211" s="447"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348">
      <c r="A212" s="447"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348">
      <c r="A213" s="447"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348">
      <c r="A214" s="447"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348">
      <c r="A215" s="447"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348">
      <c r="A216" s="447"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348">
      <c r="A217" s="447"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348">
      <c r="A218" s="447"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348">
      <c r="A219" s="447"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348">
      <c r="A220" s="447"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348">
      <c r="A221" s="447"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348">
      <c r="A222" s="447"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348">
      <c r="A223" s="447"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348">
      <c r="A224" s="447"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348">
      <c r="A225" s="447"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348">
      <c r="A226" s="447"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348">
      <c r="A227" s="447"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348">
      <c r="A228" s="447"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348">
      <c r="A229" s="447"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348">
      <c r="A230" s="447"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348">
      <c r="A231" s="447"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348">
      <c r="A232" s="447"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348">
      <c r="A233" s="447"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348">
      <c r="A234" s="447"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348">
      <c r="A235" s="447"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348">
      <c r="A236" s="447"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348">
      <c r="A237" s="447"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348">
      <c r="A238" s="447"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348">
      <c r="A239" s="447"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348">
      <c r="A240" s="447"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348">
      <c r="A241" s="447"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348">
      <c r="A242" s="447"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348">
      <c r="A243" s="447"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348">
      <c r="A244" s="447"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348">
      <c r="A245" s="447"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348">
      <c r="A246" s="447"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348">
      <c r="A247" s="447"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348">
      <c r="A248" s="447"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348">
      <c r="A249" s="447"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348">
      <c r="A250" s="447"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348">
      <c r="A251" s="447"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348">
      <c r="A252" s="447"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348">
      <c r="A253" s="447"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348">
      <c r="A254" s="447"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348">
      <c r="A255" s="447"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348">
      <c r="A256" s="447"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348">
      <c r="A257" s="447"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348">
      <c r="A258" s="447"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348">
      <c r="A259" s="447"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348">
      <c r="A260" s="447"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348">
      <c r="A261" s="447"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348">
      <c r="A262" s="447"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348">
      <c r="A263" s="447"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348">
      <c r="A264" s="447"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348">
      <c r="A265" s="447"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348">
      <c r="A266" s="447"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348">
      <c r="A267" s="447"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348">
      <c r="A268" s="447"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348">
      <c r="A269" s="447"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348">
      <c r="A270" s="447"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348">
      <c r="A271" s="447"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348">
      <c r="A272" s="447"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348">
      <c r="A273" s="447"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348">
      <c r="A274" s="447"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348">
      <c r="A275" s="447"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348">
      <c r="A276" s="447"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348">
      <c r="A277" s="447"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348">
      <c r="A278" s="447"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348">
      <c r="A279" s="447"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348">
      <c r="A280" s="447"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348">
      <c r="A281" s="447"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348">
      <c r="A282" s="447"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348">
      <c r="A283" s="447"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348">
      <c r="A284" s="447"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348">
      <c r="A285" s="447"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348">
      <c r="A286" s="447"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348">
      <c r="A287" s="447"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348">
      <c r="A288" s="447"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348">
      <c r="A289" s="447"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348">
      <c r="A290" s="447"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348">
      <c r="A291" s="447"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348">
      <c r="A292" s="447"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348">
      <c r="A293" s="447"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348">
      <c r="A294" s="447"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348">
      <c r="A295" s="447"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348">
      <c r="A296" s="447"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348">
      <c r="A297" s="447"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348">
      <c r="A298" s="447"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348">
      <c r="A299" s="447"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348">
      <c r="A300" s="447"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348">
      <c r="A301" s="447"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348">
      <c r="A302" s="447"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348">
      <c r="A303" s="447"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348">
      <c r="A304" s="447"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348">
      <c r="A305" s="447"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348">
      <c r="A306" s="447"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348">
      <c r="A307" s="447"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348">
      <c r="A308" s="447"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348">
      <c r="A309" s="447"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348">
      <c r="A310" s="447"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348">
      <c r="A311" s="447"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348">
      <c r="A312" s="447"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348">
      <c r="A313" s="447"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348">
      <c r="A314" s="447"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348">
      <c r="A315" s="447"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348">
      <c r="A316" s="447"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348">
      <c r="A317" s="447"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348">
      <c r="A318" s="447"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348">
      <c r="A319" s="447"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348">
      <c r="A320" s="447"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348">
      <c r="A321" s="447"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348">
      <c r="A322" s="447"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348">
      <c r="A323" s="447"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348">
      <c r="A324" s="447"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348">
      <c r="A325" s="447"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348">
      <c r="A326" s="447"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348">
      <c r="A327" s="447"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348">
      <c r="A328" s="447"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348">
      <c r="A329" s="447"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348">
      <c r="A330" s="447"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348">
      <c r="A331" s="447"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348">
      <c r="A332" s="447"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348">
      <c r="A333" s="447"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348">
      <c r="A334" s="447"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348">
      <c r="A335" s="447"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348">
      <c r="A336" s="447"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348">
      <c r="A337" s="447"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348">
      <c r="A338" s="447"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348">
      <c r="A339" s="447"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348">
      <c r="A340" s="447"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348">
      <c r="A341" s="447"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348">
      <c r="A342" s="447"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348">
      <c r="A343" s="447"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348">
      <c r="A344" s="447"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348">
      <c r="A345" s="447"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348">
      <c r="A346" s="447"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348">
      <c r="A347" s="447"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348">
      <c r="A348" s="447"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348">
      <c r="A349" s="447"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348">
      <c r="A350" s="447"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348">
      <c r="A351" s="447"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348">
      <c r="A352" s="447"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348">
      <c r="A353" s="447"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348">
      <c r="A354" s="447"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348">
      <c r="A355" s="447"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348">
      <c r="A356" s="447"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348">
      <c r="A357" s="447"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348">
      <c r="A358" s="447"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348">
      <c r="A359" s="447"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348">
      <c r="A360" s="447"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348">
      <c r="A361" s="447"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348">
      <c r="A362" s="447"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348">
      <c r="A363" s="447"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348">
      <c r="A364" s="447"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348">
      <c r="A365" s="447"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348">
      <c r="A366" s="447"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348">
      <c r="A367" s="447"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348">
      <c r="A368" s="447"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348">
      <c r="A369" s="447"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348">
      <c r="A370" s="447"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348">
      <c r="A371" s="447"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348">
      <c r="A372" s="447"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348">
      <c r="A373" s="447"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348">
      <c r="A374" s="447"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348">
      <c r="A375" s="447"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348">
      <c r="A376" s="447"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348">
      <c r="A377" s="447"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348">
      <c r="A378" s="447"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348">
      <c r="A379" s="447"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348">
      <c r="A380" s="447"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348">
      <c r="A381" s="447"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348">
      <c r="A382" s="447"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348">
      <c r="A383" s="447"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348">
      <c r="A384" s="447"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348">
      <c r="A385" s="447"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348">
      <c r="A386" s="447"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348">
      <c r="A387" s="447"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348">
      <c r="A388" s="447"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348">
      <c r="A389" s="447"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348">
      <c r="A390" s="447"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348">
      <c r="A391" s="447"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348">
      <c r="A392" s="447"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348">
      <c r="A393" s="447"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348">
      <c r="A394" s="447"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348">
      <c r="A395" s="447"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348">
      <c r="A396" s="447"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348">
      <c r="A397" s="447"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348">
      <c r="A398" s="447"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348">
      <c r="A399" s="447"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348">
      <c r="A400" s="447"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348">
      <c r="A401" s="447"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348">
      <c r="A402" s="447"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348">
      <c r="A403" s="447"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348">
      <c r="A404" s="447"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348">
      <c r="A405" s="447"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348">
      <c r="A406" s="447"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348">
      <c r="A407" s="447"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348">
      <c r="A408" s="447"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348">
      <c r="A409" s="447"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348">
      <c r="A410" s="447"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348">
      <c r="A411" s="447"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348">
      <c r="A412" s="447"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348">
      <c r="A413" s="447"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348">
      <c r="A414" s="447"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348">
      <c r="A415" s="447"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348">
      <c r="A416" s="447"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348">
      <c r="A417" s="447"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348">
      <c r="A418" s="447"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348">
      <c r="A419" s="447"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348">
      <c r="A420" s="447"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348">
      <c r="A421" s="447"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348">
      <c r="A422" s="447"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348">
      <c r="A423" s="447"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348">
      <c r="A424" s="447"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348">
      <c r="A425" s="447"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348">
      <c r="A426" s="447"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348">
      <c r="A427" s="447"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348">
      <c r="A428" s="447"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348">
      <c r="A429" s="447"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348">
      <c r="A430" s="447"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348">
      <c r="A431" s="447"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348">
      <c r="A432" s="447"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348">
      <c r="A433" s="447"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348">
      <c r="A434" s="447"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348">
      <c r="A435" s="447"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348">
      <c r="A436" s="447"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348">
      <c r="A437" s="447"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348">
      <c r="A438" s="447"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348">
      <c r="A439" s="447"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348">
      <c r="A440" s="447"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348">
      <c r="A441" s="447"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348">
      <c r="A442" s="447"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348">
      <c r="A443" s="447"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348">
      <c r="A444" s="447"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348">
      <c r="A445" s="447"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348">
      <c r="A446" s="447"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348">
      <c r="A447" s="447"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348">
      <c r="A448" s="447"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348">
      <c r="A449" s="447"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348">
      <c r="A450" s="447"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348">
      <c r="A451" s="447"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348">
      <c r="A452" s="447"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348">
      <c r="A453" s="447"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348">
      <c r="A454" s="447"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348">
      <c r="A455" s="447"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348">
      <c r="A456" s="447"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348">
      <c r="A457" s="447"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348">
      <c r="A458" s="447"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348">
      <c r="A459" s="447"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348">
      <c r="A460" s="447"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348">
      <c r="A461" s="447"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348">
      <c r="A462" s="447"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348">
      <c r="A463" s="447"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348">
      <c r="A464" s="447"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348">
      <c r="A465" s="447"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348">
      <c r="A466" s="447"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348">
      <c r="A467" s="447"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348">
      <c r="A468" s="447"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348">
      <c r="A469" s="447"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348">
      <c r="A470" s="447"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348">
      <c r="A471" s="447"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348">
      <c r="A472" s="447"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348">
      <c r="A473" s="447"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348">
      <c r="A474" s="447"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348">
      <c r="A475" s="447"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348">
      <c r="A476" s="447"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348">
      <c r="A477" s="447"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348">
      <c r="A478" s="447"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348">
      <c r="A479" s="447"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348">
      <c r="A480" s="447"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348">
      <c r="A481" s="447"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348">
      <c r="A482" s="447"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348">
      <c r="A483" s="447"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348">
      <c r="A484" s="447"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348">
      <c r="A485" s="447"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348">
      <c r="A486" s="447"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348">
      <c r="A487" s="447"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348">
      <c r="A488" s="447"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348">
      <c r="A489" s="447"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348">
      <c r="A490" s="447"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348">
      <c r="A491" s="447"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348">
      <c r="A492" s="447"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348">
      <c r="A493" s="447"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348">
      <c r="A494" s="447"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348">
      <c r="A495" s="447"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348">
      <c r="A496" s="447"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348">
      <c r="A497" s="447"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348">
      <c r="A498" s="447"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348">
      <c r="A499" s="447"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348">
      <c r="A500" s="447"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348">
      <c r="A501" s="447"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348">
      <c r="A502" s="447"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348">
      <c r="A503" s="447"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348">
      <c r="A504" s="447"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348">
      <c r="A505" s="447"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348">
      <c r="A506" s="447"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348">
      <c r="A507" s="447"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348">
      <c r="A508" s="447"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348">
      <c r="A509" s="447"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348">
      <c r="A510" s="447"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348">
      <c r="A511" s="447"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348">
      <c r="A512" s="447"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348">
      <c r="A513" s="447"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348">
      <c r="A514" s="447"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348">
      <c r="A515" s="447"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348">
      <c r="A516" s="447"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348">
      <c r="A517" s="447"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348">
      <c r="A518" s="447"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348">
      <c r="A519" s="447"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348">
      <c r="A520" s="447"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348">
      <c r="A521" s="447"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348">
      <c r="A522" s="447"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348">
      <c r="A523" s="447"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348">
      <c r="A524" s="447"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348">
      <c r="A525" s="447"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348">
      <c r="A526" s="447"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348">
      <c r="A527" s="447"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348">
      <c r="A528" s="447"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348">
      <c r="A529" s="447"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348">
      <c r="A530" s="447"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348">
      <c r="A531" s="447"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348">
      <c r="A532" s="447"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348">
      <c r="A533" s="447"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348">
      <c r="A534" s="447"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348">
      <c r="A535" s="447"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348">
      <c r="A536" s="447"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348">
      <c r="A537" s="447"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348">
      <c r="A538" s="447"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348">
      <c r="A539" s="447"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348">
      <c r="A540" s="447"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348">
      <c r="A541" s="447"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348">
      <c r="A542" s="447"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348">
      <c r="A543" s="447"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348">
      <c r="A544" s="447"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348">
      <c r="A545" s="447"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348">
      <c r="A546" s="447"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348">
      <c r="A547" s="447"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348">
      <c r="A548" s="447"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348">
      <c r="A549" s="447"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348">
      <c r="A550" s="447"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348">
      <c r="A551" s="447"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348">
      <c r="A552" s="447"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348">
      <c r="A553" s="447"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348">
      <c r="A554" s="447"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348">
      <c r="A555" s="447"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348">
      <c r="A556" s="447"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348">
      <c r="A557" s="447"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348">
      <c r="A558" s="447"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348">
      <c r="A559" s="447"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348">
      <c r="A560" s="447"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348">
      <c r="A561" s="447"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348">
      <c r="A562" s="447"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348">
      <c r="A563" s="447"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348">
      <c r="A564" s="447"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348">
      <c r="A565" s="447"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348">
      <c r="A566" s="447"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348">
      <c r="A567" s="447"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348">
      <c r="A568" s="447"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348">
      <c r="A569" s="447"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348">
      <c r="A570" s="447"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348">
      <c r="A571" s="447"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348">
      <c r="A572" s="447"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348">
      <c r="A573" s="447"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348">
      <c r="A574" s="447"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348">
      <c r="A575" s="447"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348">
      <c r="A576" s="447"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348">
      <c r="A577" s="447"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348">
      <c r="A578" s="447"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348">
      <c r="A579" s="447"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348">
      <c r="A580" s="447"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348">
      <c r="A581" s="447"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348">
      <c r="A582" s="447"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348">
      <c r="A583" s="447"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348">
      <c r="A584" s="447"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348">
      <c r="A585" s="447"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348">
      <c r="A586" s="447"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348">
      <c r="A587" s="447"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348">
      <c r="A588" s="447"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348">
      <c r="A589" s="447"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348">
      <c r="A590" s="447"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348">
      <c r="A591" s="447"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348">
      <c r="A592" s="447"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348">
      <c r="A593" s="447"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348">
      <c r="A594" s="447"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348">
      <c r="A595" s="447"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348">
      <c r="A596" s="447"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348">
      <c r="A597" s="447"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348">
      <c r="A598" s="447"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348">
      <c r="A599" s="447"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348">
      <c r="A600" s="447"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348">
      <c r="A601" s="447"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348">
      <c r="A602" s="447"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348">
      <c r="A603" s="447"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348">
      <c r="A604" s="447"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348">
      <c r="A605" s="447"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348">
      <c r="A606" s="447"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348">
      <c r="A607" s="447"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348">
      <c r="A608" s="447"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348">
      <c r="A609" s="447"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348">
      <c r="A610" s="447"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348">
      <c r="A611" s="447"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348">
      <c r="A612" s="447"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348">
      <c r="A613" s="447"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348">
      <c r="A614" s="447"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348">
      <c r="A615" s="447"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348">
      <c r="A616" s="447"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348">
      <c r="A617" s="447"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348">
      <c r="A618" s="447"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348">
      <c r="A619" s="447"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348">
      <c r="A620" s="447"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348">
      <c r="A621" s="447"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348">
      <c r="A622" s="447"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348">
      <c r="A623" s="447"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348">
      <c r="A624" s="447"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348">
      <c r="A625" s="447"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348">
      <c r="A626" s="447"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348">
      <c r="A627" s="447"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348">
      <c r="A628" s="447"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348">
      <c r="A629" s="447"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348">
      <c r="A630" s="447"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348">
      <c r="A631" s="447"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348">
      <c r="A632" s="447"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348">
      <c r="A633" s="447"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348">
      <c r="A634" s="447"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348">
      <c r="A635" s="447"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348">
      <c r="A636" s="447"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348">
      <c r="A637" s="447"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348">
      <c r="A638" s="447"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348">
      <c r="A639" s="447"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348">
      <c r="A640" s="447"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348">
      <c r="A641" s="447"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348">
      <c r="A642" s="447"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348">
      <c r="A643" s="447"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348">
      <c r="A644" s="447"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348">
      <c r="A645" s="447"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348">
      <c r="A646" s="447"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348">
      <c r="A647" s="447"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348">
      <c r="A648" s="447"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348">
      <c r="A649" s="447"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348">
      <c r="A650" s="447"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348">
      <c r="A651" s="447"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348">
      <c r="A652" s="447"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348">
      <c r="A653" s="447"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348">
      <c r="A654" s="447"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348">
      <c r="A655" s="447"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348">
      <c r="A656" s="447"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348">
      <c r="A657" s="447"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348">
      <c r="A658" s="447"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348">
      <c r="A659" s="447"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348">
      <c r="A660" s="447"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348">
      <c r="A661" s="447"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348">
      <c r="A662" s="447"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348">
      <c r="A663" s="447"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348">
      <c r="A664" s="447"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348">
      <c r="A665" s="447"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348">
      <c r="A666" s="447"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348">
      <c r="A667" s="447"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348">
      <c r="A668" s="447"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348">
      <c r="A669" s="447"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348">
      <c r="A670" s="447"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348">
      <c r="A671" s="447"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348">
      <c r="A672" s="447"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348">
      <c r="A673" s="447"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348">
      <c r="A674" s="447"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348">
      <c r="A675" s="447"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348">
      <c r="A676" s="447"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348">
      <c r="A677" s="447"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348">
      <c r="A678" s="447"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348">
      <c r="A679" s="447"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348">
      <c r="A680" s="447"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348">
      <c r="A681" s="447"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348">
      <c r="A682" s="447"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348">
      <c r="A683" s="447"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348">
      <c r="A684" s="447"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348">
      <c r="A685" s="447"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348">
      <c r="A686" s="447"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348">
      <c r="A687" s="447"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348">
      <c r="A688" s="447"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348">
      <c r="A689" s="447"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348">
      <c r="A690" s="447"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348">
      <c r="A691" s="447"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348">
      <c r="A692" s="447"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348">
      <c r="A693" s="447"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348">
      <c r="A694" s="447"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348">
      <c r="A695" s="447"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348">
      <c r="A696" s="447"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348">
      <c r="A697" s="447"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348">
      <c r="A698" s="447"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348">
      <c r="A699" s="447"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348">
      <c r="A700" s="447"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348">
      <c r="A701" s="447"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348">
      <c r="A702" s="447"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348">
      <c r="A703" s="447"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348">
      <c r="A704" s="447"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348">
      <c r="A705" s="447"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348">
      <c r="A706" s="447"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348">
      <c r="A707" s="447"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348">
      <c r="A708" s="447"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348">
      <c r="A709" s="447"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348">
      <c r="A710" s="447"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348">
      <c r="A711" s="447"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348">
      <c r="A712" s="447"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348">
      <c r="A713" s="447"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348">
      <c r="A714" s="447"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348">
      <c r="A715" s="447"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348">
      <c r="A716" s="447"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348">
      <c r="A717" s="447"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348">
      <c r="A718" s="447"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348">
      <c r="A719" s="447"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348">
      <c r="A720" s="447"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348">
      <c r="A721" s="447"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348">
      <c r="A722" s="447"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348">
      <c r="A723" s="447"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348">
      <c r="A724" s="447"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348">
      <c r="A725" s="447"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348">
      <c r="A726" s="447"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348">
      <c r="A727" s="447"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348">
      <c r="A728" s="447"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348">
      <c r="A729" s="447"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348">
      <c r="A730" s="447"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348">
      <c r="A731" s="447"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348">
      <c r="A732" s="447"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348">
      <c r="A733" s="447"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348">
      <c r="A734" s="447"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348">
      <c r="A735" s="447"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348">
      <c r="A736" s="447"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348">
      <c r="A737" s="447"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348">
      <c r="A738" s="447"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348">
      <c r="A739" s="447"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348">
      <c r="A740" s="447"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348">
      <c r="A741" s="447"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348">
      <c r="A742" s="447"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348">
      <c r="A743" s="447"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348">
      <c r="A744" s="447"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348">
      <c r="A745" s="447"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348">
      <c r="A746" s="447"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348">
      <c r="A747" s="447"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348">
      <c r="A748" s="447"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348">
      <c r="A749" s="447"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348">
      <c r="A750" s="447"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348">
      <c r="A751" s="447"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348">
      <c r="A752" s="447"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348">
      <c r="A753" s="447"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348">
      <c r="A754" s="447"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348">
      <c r="A755" s="447"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348">
      <c r="A756" s="447"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348">
      <c r="A757" s="447"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348">
      <c r="A758" s="447"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348">
      <c r="A759" s="447"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348">
      <c r="A760" s="447"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348">
      <c r="A761" s="447"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348">
      <c r="A762" s="447"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348">
      <c r="A763" s="447"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348">
      <c r="A764" s="447"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348">
      <c r="A765" s="447"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348">
      <c r="A766" s="447"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348">
      <c r="A767" s="447"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348">
      <c r="A768" s="447"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348">
      <c r="A769" s="447"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348">
      <c r="A770" s="447"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348">
      <c r="A771" s="447"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348">
      <c r="A772" s="447"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348">
      <c r="A773" s="447"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348">
      <c r="A774" s="447"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348">
      <c r="A775" s="447"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348">
      <c r="A776" s="447"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348">
      <c r="A777" s="447"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348">
      <c r="A778" s="447"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348">
      <c r="A779" s="447"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348">
      <c r="A780" s="447"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348">
      <c r="A781" s="447"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348">
      <c r="A782" s="447"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348">
      <c r="A783" s="447"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348">
      <c r="A784" s="447"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348">
      <c r="A785" s="447"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348">
      <c r="A786" s="447"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348">
      <c r="A787" s="447"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348">
      <c r="A788" s="447"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348">
      <c r="A789" s="447"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348">
      <c r="A790" s="447"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348">
      <c r="A791" s="447"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348">
      <c r="A792" s="447"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348">
      <c r="A793" s="447"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348">
      <c r="A794" s="447"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348">
      <c r="A795" s="447"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348">
      <c r="A796" s="447"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348">
      <c r="A797" s="447"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348">
      <c r="A798" s="447"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348">
      <c r="A799" s="447"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348">
      <c r="A800" s="447"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348">
      <c r="A801" s="447"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348">
      <c r="A802" s="447"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348">
      <c r="A803" s="447"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348">
      <c r="A804" s="447"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348">
      <c r="A805" s="447"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348">
      <c r="A806" s="447"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348">
      <c r="A807" s="447"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348">
      <c r="A808" s="447"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348">
      <c r="A809" s="447"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348">
      <c r="A810" s="447"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348">
      <c r="A811" s="447"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348">
      <c r="A812" s="447"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348">
      <c r="A813" s="447"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348">
      <c r="A814" s="447"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348">
      <c r="A815" s="447"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348">
      <c r="A816" s="447"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348">
      <c r="A817" s="447"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348">
      <c r="A818" s="447"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348">
      <c r="A819" s="447"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348">
      <c r="A820" s="447"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348">
      <c r="A821" s="447"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348">
      <c r="A822" s="447"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348">
      <c r="A823" s="447"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348">
      <c r="A824" s="447"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348">
      <c r="A825" s="447"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348">
      <c r="A826" s="447"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348">
      <c r="A827" s="447"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348">
      <c r="A828" s="447"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348">
      <c r="A829" s="447"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348">
      <c r="A830" s="447"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348">
      <c r="A831" s="447"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348">
      <c r="A832" s="447"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348">
      <c r="A833" s="447"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348">
      <c r="A834" s="447"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348">
      <c r="A835" s="447"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348">
      <c r="A836" s="447"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348">
      <c r="A837" s="447"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348">
      <c r="A838" s="447"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348">
      <c r="A839" s="447"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348">
      <c r="A840" s="447"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348">
      <c r="A841" s="447"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348">
      <c r="A842" s="447"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348">
      <c r="A843" s="447"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348">
      <c r="A844" s="447"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348">
      <c r="A845" s="447"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348">
      <c r="A846" s="447"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348">
      <c r="A847" s="447"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348">
      <c r="A848" s="447"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348">
      <c r="A849" s="447"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348">
      <c r="A850" s="447"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348">
      <c r="A851" s="447"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348">
      <c r="A852" s="447"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348">
      <c r="A853" s="447"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348">
      <c r="A854" s="447"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348">
      <c r="A855" s="447"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348">
      <c r="A856" s="447"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348">
      <c r="A857" s="447"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348">
      <c r="A858" s="447"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348">
      <c r="A859" s="447"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348">
      <c r="A860" s="447"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348">
      <c r="A861" s="447"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348">
      <c r="A862" s="447"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348">
      <c r="A863" s="447"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348">
      <c r="A864" s="447"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348">
      <c r="A865" s="447"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348">
      <c r="A866" s="447"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348">
      <c r="A867" s="447"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348">
      <c r="A868" s="447"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348">
      <c r="A869" s="447"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348">
      <c r="A870" s="447"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348">
      <c r="A871" s="447"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348">
      <c r="A872" s="447"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348">
      <c r="A873" s="447"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348">
      <c r="A874" s="447"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348">
      <c r="A875" s="447"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348">
      <c r="A876" s="447"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348">
      <c r="A877" s="447"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348">
      <c r="A878" s="447"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348">
      <c r="A879" s="447"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348">
      <c r="A880" s="447"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348">
      <c r="A881" s="447"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348">
      <c r="A882" s="447"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348">
      <c r="A883" s="447"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348">
      <c r="A884" s="447"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348">
      <c r="A885" s="447"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348">
      <c r="A886" s="447"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348">
      <c r="A887" s="447"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348">
      <c r="A888" s="447"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348">
      <c r="A889" s="447"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348">
      <c r="A890" s="447"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348">
      <c r="A891" s="447"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348">
      <c r="A892" s="447"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348">
      <c r="A893" s="447"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348">
      <c r="A894" s="447"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348">
      <c r="A895" s="447"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348">
      <c r="A896" s="447"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348">
      <c r="A897" s="447"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348">
      <c r="A898" s="447"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348">
      <c r="A899" s="447"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348">
      <c r="A900" s="447"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348">
      <c r="A901" s="447"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348">
      <c r="A902" s="447"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348">
      <c r="A903" s="447"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348">
      <c r="A904" s="447"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348">
      <c r="A905" s="447"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348">
      <c r="A906" s="447"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348">
      <c r="A907" s="447"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348">
      <c r="A908" s="447"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348">
      <c r="A909" s="447"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348">
      <c r="A910" s="447"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348">
      <c r="A911" s="447"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348">
      <c r="A912" s="447"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348">
      <c r="A913" s="447"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348">
      <c r="A914" s="447"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348">
      <c r="A915" s="447"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348">
      <c r="A916" s="447"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348">
      <c r="A917" s="447"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348">
      <c r="A918" s="447"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348">
      <c r="A919" s="447"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348">
      <c r="A920" s="447"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348">
      <c r="A921" s="447"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348">
      <c r="A922" s="447"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348">
      <c r="A923" s="447"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348">
      <c r="A924" s="447"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348">
      <c r="A925" s="447"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348">
      <c r="A926" s="447"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348">
      <c r="A927" s="447"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348">
      <c r="A928" s="447"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348">
      <c r="A929" s="447"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348">
      <c r="A930" s="447"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348">
      <c r="A931" s="447"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348">
      <c r="A932" s="447"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348">
      <c r="A933" s="447"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348">
      <c r="A934" s="447"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348">
      <c r="A935" s="447"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348">
      <c r="A936" s="447"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348">
      <c r="A937" s="447"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348">
      <c r="A938" s="447"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348">
      <c r="A939" s="447"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348">
      <c r="A940" s="447"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348">
      <c r="A941" s="447"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348">
      <c r="A942" s="447"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348">
      <c r="A943" s="447"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348">
      <c r="A944" s="447"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348">
      <c r="A945" s="447"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348">
      <c r="A946" s="447"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348">
      <c r="A947" s="447"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348">
      <c r="A948" s="447"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348">
      <c r="A949" s="447"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348">
      <c r="A950" s="447"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348">
      <c r="A951" s="447"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348">
      <c r="A952" s="447"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348">
      <c r="A953" s="447"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348">
      <c r="A954" s="447"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348">
      <c r="A955" s="447"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348">
      <c r="A956" s="447"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348">
      <c r="A957" s="447"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348">
      <c r="A958" s="447"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348">
      <c r="A959" s="447"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348">
      <c r="A960" s="447"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348">
      <c r="A961" s="447"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348">
      <c r="A962" s="447"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348">
      <c r="A963" s="447"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348">
      <c r="A964" s="447"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348">
      <c r="A965" s="447"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348">
      <c r="A966" s="447"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348">
      <c r="A967" s="447"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348">
      <c r="A968" s="447"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348">
      <c r="A969" s="447"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348">
      <c r="A970" s="447"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348">
      <c r="A971" s="447"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348">
      <c r="A972" s="447"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348">
      <c r="A973" s="447"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348">
      <c r="A974" s="447"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348">
      <c r="A975" s="447"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348">
      <c r="A976" s="447"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348">
      <c r="A977" s="447"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348">
      <c r="A978" s="447"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348">
      <c r="A979" s="447"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348">
      <c r="A980" s="447"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348">
      <c r="A981" s="447"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348">
      <c r="A982" s="447"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348">
      <c r="A983" s="447"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348">
      <c r="A984" s="447"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348">
      <c r="A985" s="447"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348">
      <c r="A986" s="447"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348">
      <c r="A987" s="447"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348">
      <c r="A988" s="447"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348">
      <c r="A989" s="447"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348">
      <c r="A990" s="447"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348">
      <c r="A991" s="447"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348">
      <c r="A992" s="447"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348">
      <c r="A993" s="447"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348">
      <c r="A994" s="447"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348">
      <c r="A995" s="447"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348">
      <c r="A996" s="447"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348">
      <c r="A997" s="447"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348">
      <c r="A998" s="447"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348">
      <c r="A999" s="447"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348">
      <c r="A1000" s="447"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348">
      <c r="A1001" s="447"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348">
      <c r="A1002" s="447"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348">
      <c r="A1003" s="447"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sheetData>
  <mergeCells count="4">
    <mergeCell ref="A1:C1"/>
    <mergeCell ref="B3:C3"/>
    <mergeCell ref="B24:C24"/>
    <mergeCell ref="B42:C42"/>
  </mergeCells>
  <pageMargins left="0.75" right="0.75" top="1" bottom="1" header="0" footer="0"/>
  <pageSetup orientation="portrait" scale="75"/>
  <headerFooter>
    <oddHeader>&amp;LCommon Data Set 2021-2022</oddHeader>
    <oddFooter>&amp;C&amp;A&amp;RPage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A1001"/>
  <sheetViews>
    <sheetView showGridLines="0" workbookViewId="0">
      <selection activeCell="A1" sqref="A1:F1"/>
    </sheetView>
  </sheetViews>
  <sheetFormatPr baseColWidth="8" defaultColWidth="12.7109375" defaultRowHeight="15" customHeight="1"/>
  <cols>
    <col width="3.7109375" customWidth="1" style="348" min="1" max="1"/>
    <col width="27" customWidth="1" style="348" min="2" max="2"/>
    <col width="4.7109375" customWidth="1" style="348" min="3" max="3"/>
    <col width="10.7109375" customWidth="1" style="348" min="4" max="4"/>
    <col width="16.7109375" customWidth="1" style="348" min="5" max="5"/>
    <col width="14" customWidth="1" style="348" min="6" max="6"/>
    <col width="9.28515625" customWidth="1" style="348" min="7" max="7"/>
    <col width="12" customWidth="1" style="348" min="8" max="8"/>
    <col width="0.7109375" customWidth="1" style="348" min="9" max="9"/>
    <col width="8.7109375" customWidth="1" style="348" min="10" max="27"/>
  </cols>
  <sheetData>
    <row r="1" ht="12.75" customHeight="1" s="348">
      <c r="A1" s="490" t="inlineStr">
        <is>
          <t>F. STUDENT LIFE</t>
        </is>
      </c>
      <c r="G1" s="1" t="n"/>
      <c r="H1" s="1" t="n"/>
      <c r="I1" s="1" t="n"/>
      <c r="J1" s="1" t="n"/>
      <c r="K1" s="1" t="n"/>
      <c r="L1" s="1" t="n"/>
      <c r="M1" s="1" t="n"/>
      <c r="N1" s="1" t="n"/>
      <c r="O1" s="1" t="n"/>
      <c r="P1" s="1" t="n"/>
      <c r="Q1" s="1" t="n"/>
      <c r="R1" s="1" t="n"/>
      <c r="S1" s="1" t="n"/>
      <c r="T1" s="1" t="n"/>
      <c r="U1" s="1" t="n"/>
      <c r="V1" s="1" t="n"/>
      <c r="W1" s="1" t="n"/>
      <c r="X1" s="1" t="n"/>
      <c r="Y1" s="1" t="n"/>
      <c r="Z1" s="1" t="n"/>
      <c r="AA1" s="1" t="n"/>
    </row>
    <row r="2" ht="8.25" customHeight="1" s="348">
      <c r="A2" s="447"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row>
    <row r="3" ht="28.5" customHeight="1" s="348">
      <c r="A3" s="4" t="inlineStr">
        <is>
          <t>F1</t>
        </is>
      </c>
      <c r="B3" s="449" t="inlineStr">
        <is>
          <t>Percentages of first-time, first-year degree-seeking students and degree-seeking undergraduates enrolled in Fall 2022 who fit the following categories:</t>
        </is>
      </c>
      <c r="C3" s="498" t="n"/>
      <c r="D3" s="498" t="n"/>
      <c r="E3" s="498" t="n"/>
      <c r="F3" s="498" t="n"/>
      <c r="G3" s="1" t="n"/>
      <c r="H3" s="1" t="n"/>
      <c r="I3" s="1" t="n"/>
      <c r="J3" s="1" t="n"/>
      <c r="K3" s="1" t="n"/>
      <c r="L3" s="1" t="n"/>
      <c r="M3" s="1" t="n"/>
      <c r="N3" s="1" t="n"/>
      <c r="O3" s="1" t="n"/>
      <c r="P3" s="1" t="n"/>
      <c r="Q3" s="1" t="n"/>
      <c r="R3" s="1" t="n"/>
      <c r="S3" s="1" t="n"/>
      <c r="T3" s="1" t="n"/>
      <c r="U3" s="1" t="n"/>
      <c r="V3" s="1" t="n"/>
      <c r="W3" s="1" t="n"/>
      <c r="X3" s="1" t="n"/>
      <c r="Y3" s="1" t="n"/>
      <c r="Z3" s="1" t="n"/>
      <c r="AA3" s="1" t="n"/>
    </row>
    <row r="4" ht="37.5" customHeight="1" s="348">
      <c r="A4" s="4" t="n"/>
      <c r="B4" s="537" t="n"/>
      <c r="C4" s="494" t="n"/>
      <c r="D4" s="495" t="n"/>
      <c r="E4" s="40" t="inlineStr">
        <is>
          <t xml:space="preserve">First-time, first-year students </t>
        </is>
      </c>
      <c r="F4" s="41" t="inlineStr">
        <is>
          <t>Undergraduates</t>
        </is>
      </c>
      <c r="G4" s="1" t="n"/>
      <c r="H4" s="1" t="n"/>
      <c r="I4" s="1" t="n"/>
      <c r="J4" s="1" t="n"/>
      <c r="K4" s="1" t="n"/>
      <c r="L4" s="1" t="n"/>
      <c r="M4" s="1" t="n"/>
      <c r="N4" s="1" t="n"/>
      <c r="O4" s="1" t="n"/>
      <c r="P4" s="1" t="n"/>
      <c r="Q4" s="1" t="n"/>
      <c r="R4" s="1" t="n"/>
      <c r="S4" s="1" t="n"/>
      <c r="T4" s="1" t="n"/>
      <c r="U4" s="1" t="n"/>
      <c r="V4" s="1" t="n"/>
      <c r="W4" s="1" t="n"/>
      <c r="X4" s="1" t="n"/>
      <c r="Y4" s="1" t="n"/>
      <c r="Z4" s="1" t="n"/>
      <c r="AA4" s="1" t="n"/>
    </row>
    <row r="5" ht="39.75" customHeight="1" s="348">
      <c r="A5" s="4" t="n"/>
      <c r="B5" s="496" t="inlineStr">
        <is>
          <t>Percent who are from out of state (exclude international/nonresidents from the numerator and denominator)</t>
        </is>
      </c>
      <c r="C5" s="494" t="n"/>
      <c r="D5" s="495" t="n"/>
      <c r="E5" s="34" t="n">
        <v>0.15</v>
      </c>
      <c r="F5" s="42" t="n">
        <v>0.14</v>
      </c>
      <c r="G5" s="1" t="n"/>
      <c r="H5" s="1" t="n"/>
      <c r="I5" s="1" t="n"/>
      <c r="J5" s="1" t="n"/>
      <c r="K5" s="1" t="n"/>
      <c r="L5" s="1" t="n"/>
      <c r="M5" s="1" t="n"/>
      <c r="N5" s="1" t="n"/>
      <c r="O5" s="1" t="n"/>
      <c r="P5" s="1" t="n"/>
      <c r="Q5" s="1" t="n"/>
      <c r="R5" s="1" t="n"/>
      <c r="S5" s="1" t="n"/>
      <c r="T5" s="1" t="n"/>
      <c r="U5" s="1" t="n"/>
      <c r="V5" s="1" t="n"/>
      <c r="W5" s="1" t="n"/>
      <c r="X5" s="1" t="n"/>
      <c r="Y5" s="1" t="n"/>
      <c r="Z5" s="1" t="n"/>
      <c r="AA5" s="1" t="n"/>
    </row>
    <row r="6" ht="12.75" customHeight="1" s="348">
      <c r="A6" s="4" t="n"/>
      <c r="B6" s="496" t="inlineStr">
        <is>
          <t>Percent of men who join fraternities</t>
        </is>
      </c>
      <c r="C6" s="494" t="n"/>
      <c r="D6" s="495" t="n"/>
      <c r="E6" s="42" t="n"/>
      <c r="F6" s="42" t="n">
        <v>0.21</v>
      </c>
      <c r="G6" s="1" t="n"/>
      <c r="H6" s="1" t="n"/>
      <c r="I6" s="1" t="n"/>
      <c r="J6" s="1" t="n"/>
      <c r="K6" s="1" t="n"/>
      <c r="L6" s="1" t="n"/>
      <c r="M6" s="1" t="n"/>
      <c r="N6" s="1" t="n"/>
      <c r="O6" s="1" t="n"/>
      <c r="P6" s="1" t="n"/>
      <c r="Q6" s="1" t="n"/>
      <c r="R6" s="1" t="n"/>
      <c r="S6" s="1" t="n"/>
      <c r="T6" s="1" t="n"/>
      <c r="U6" s="1" t="n"/>
      <c r="V6" s="1" t="n"/>
      <c r="W6" s="1" t="n"/>
      <c r="X6" s="1" t="n"/>
      <c r="Y6" s="1" t="n"/>
      <c r="Z6" s="1" t="n"/>
      <c r="AA6" s="1" t="n"/>
    </row>
    <row r="7" ht="12.75" customHeight="1" s="348">
      <c r="A7" s="4" t="n"/>
      <c r="B7" s="496" t="inlineStr">
        <is>
          <t>Percent of women who join sororities</t>
        </is>
      </c>
      <c r="C7" s="494" t="n"/>
      <c r="D7" s="495" t="n"/>
      <c r="E7" s="42" t="n"/>
      <c r="F7" s="42" t="n">
        <v>0.27</v>
      </c>
      <c r="G7" s="1" t="n"/>
      <c r="H7" s="1" t="n"/>
      <c r="I7" s="1" t="n"/>
      <c r="J7" s="1" t="n"/>
      <c r="K7" s="1" t="n"/>
      <c r="L7" s="1" t="n"/>
      <c r="M7" s="1" t="n"/>
      <c r="N7" s="1" t="n"/>
      <c r="O7" s="1" t="n"/>
      <c r="P7" s="1" t="n"/>
      <c r="Q7" s="1" t="n"/>
      <c r="R7" s="1" t="n"/>
      <c r="S7" s="1" t="n"/>
      <c r="T7" s="1" t="n"/>
      <c r="U7" s="1" t="n"/>
      <c r="V7" s="1" t="n"/>
      <c r="W7" s="1" t="n"/>
      <c r="X7" s="1" t="n"/>
      <c r="Y7" s="1" t="n"/>
      <c r="Z7" s="1" t="n"/>
      <c r="AA7" s="1" t="n"/>
    </row>
    <row r="8" ht="24.75" customHeight="1" s="348">
      <c r="A8" s="4" t="n"/>
      <c r="B8" s="496" t="inlineStr">
        <is>
          <t>Percent who live in college-owned, -operated, or -affiliated housing</t>
        </is>
      </c>
      <c r="C8" s="494" t="n"/>
      <c r="D8" s="495" t="n"/>
      <c r="E8" s="42" t="n">
        <v>0.99</v>
      </c>
      <c r="F8" s="42" t="n">
        <v>0.5</v>
      </c>
      <c r="G8" s="1" t="n"/>
      <c r="H8" s="1" t="n"/>
      <c r="I8" s="1" t="n"/>
      <c r="J8" s="1" t="n"/>
      <c r="K8" s="1" t="n"/>
      <c r="L8" s="1" t="n"/>
      <c r="M8" s="1" t="n"/>
      <c r="N8" s="1" t="n"/>
      <c r="O8" s="1" t="n"/>
      <c r="P8" s="1" t="n"/>
      <c r="Q8" s="1" t="n"/>
      <c r="R8" s="1" t="n"/>
      <c r="S8" s="1" t="n"/>
      <c r="T8" s="1" t="n"/>
      <c r="U8" s="1" t="n"/>
      <c r="V8" s="1" t="n"/>
      <c r="W8" s="1" t="n"/>
      <c r="X8" s="1" t="n"/>
      <c r="Y8" s="1" t="n"/>
      <c r="Z8" s="1" t="n"/>
      <c r="AA8" s="1" t="n"/>
    </row>
    <row r="9" ht="12.75" customHeight="1" s="348">
      <c r="A9" s="4" t="n"/>
      <c r="B9" s="496" t="inlineStr">
        <is>
          <t>Percent who live off campus or commute</t>
        </is>
      </c>
      <c r="C9" s="494" t="n"/>
      <c r="D9" s="495" t="n"/>
      <c r="E9" s="42" t="n">
        <v>0.01</v>
      </c>
      <c r="F9" s="42" t="n">
        <v>0.5</v>
      </c>
      <c r="G9" s="1" t="n"/>
      <c r="H9" s="1" t="n"/>
      <c r="I9" s="1" t="n"/>
      <c r="J9" s="1" t="n"/>
      <c r="K9" s="1" t="n"/>
      <c r="L9" s="1" t="n"/>
      <c r="M9" s="1" t="n"/>
      <c r="N9" s="1" t="n"/>
      <c r="O9" s="1" t="n"/>
      <c r="P9" s="1" t="n"/>
      <c r="Q9" s="1" t="n"/>
      <c r="R9" s="1" t="n"/>
      <c r="S9" s="1" t="n"/>
      <c r="T9" s="1" t="n"/>
      <c r="U9" s="1" t="n"/>
      <c r="V9" s="1" t="n"/>
      <c r="W9" s="1" t="n"/>
      <c r="X9" s="1" t="n"/>
      <c r="Y9" s="1" t="n"/>
      <c r="Z9" s="1" t="n"/>
      <c r="AA9" s="1" t="n"/>
    </row>
    <row r="10" ht="12.75" customHeight="1" s="348">
      <c r="A10" s="4" t="n"/>
      <c r="B10" s="496" t="inlineStr">
        <is>
          <t>Percent of students age 25 and older</t>
        </is>
      </c>
      <c r="C10" s="494" t="n"/>
      <c r="D10" s="495" t="n"/>
      <c r="E10" s="42" t="n">
        <v>0</v>
      </c>
      <c r="F10" s="42" t="n">
        <v>0.01</v>
      </c>
      <c r="G10" s="1" t="n"/>
      <c r="H10" s="1" t="n"/>
      <c r="I10" s="1" t="n"/>
      <c r="J10" s="1" t="n"/>
      <c r="K10" s="1" t="n"/>
      <c r="L10" s="1" t="n"/>
      <c r="M10" s="1" t="n"/>
      <c r="N10" s="1" t="n"/>
      <c r="O10" s="1" t="n"/>
      <c r="P10" s="1" t="n"/>
      <c r="Q10" s="1" t="n"/>
      <c r="R10" s="1" t="n"/>
      <c r="S10" s="1" t="n"/>
      <c r="T10" s="1" t="n"/>
      <c r="U10" s="1" t="n"/>
      <c r="V10" s="1" t="n"/>
      <c r="W10" s="1" t="n"/>
      <c r="X10" s="1" t="n"/>
      <c r="Y10" s="1" t="n"/>
      <c r="Z10" s="1" t="n"/>
      <c r="AA10" s="1" t="n"/>
    </row>
    <row r="11" ht="12.75" customHeight="1" s="348">
      <c r="A11" s="4" t="n"/>
      <c r="B11" s="496" t="inlineStr">
        <is>
          <t>Average age of full-time students</t>
        </is>
      </c>
      <c r="C11" s="494" t="n"/>
      <c r="D11" s="495" t="n"/>
      <c r="E11" s="43" t="n"/>
      <c r="F11" s="43" t="n">
        <v>21</v>
      </c>
      <c r="G11" s="1" t="n"/>
      <c r="H11" s="1" t="n"/>
      <c r="I11" s="1" t="n"/>
      <c r="J11" s="1" t="n"/>
      <c r="K11" s="1" t="n"/>
      <c r="L11" s="1" t="n"/>
      <c r="M11" s="1" t="n"/>
      <c r="N11" s="1" t="n"/>
      <c r="O11" s="1" t="n"/>
      <c r="P11" s="1" t="n"/>
      <c r="Q11" s="1" t="n"/>
      <c r="R11" s="1" t="n"/>
      <c r="S11" s="1" t="n"/>
      <c r="T11" s="1" t="n"/>
      <c r="U11" s="1" t="n"/>
      <c r="V11" s="1" t="n"/>
      <c r="W11" s="1" t="n"/>
      <c r="X11" s="1" t="n"/>
      <c r="Y11" s="1" t="n"/>
      <c r="Z11" s="1" t="n"/>
      <c r="AA11" s="1" t="n"/>
    </row>
    <row r="12" ht="12.75" customHeight="1" s="348">
      <c r="A12" s="4" t="n"/>
      <c r="B12" s="496" t="inlineStr">
        <is>
          <t>Average age of all students (full- and part-time)</t>
        </is>
      </c>
      <c r="C12" s="494" t="n"/>
      <c r="D12" s="495" t="n"/>
      <c r="E12" s="43" t="n"/>
      <c r="F12" s="43" t="n">
        <v>21</v>
      </c>
      <c r="G12" s="1" t="n"/>
      <c r="H12" s="1" t="n"/>
      <c r="I12" s="1" t="n"/>
      <c r="J12" s="1" t="n"/>
      <c r="K12" s="1" t="n"/>
      <c r="L12" s="1" t="n"/>
      <c r="M12" s="1" t="n"/>
      <c r="N12" s="1" t="n"/>
      <c r="O12" s="1" t="n"/>
      <c r="P12" s="1" t="n"/>
      <c r="Q12" s="1" t="n"/>
      <c r="R12" s="1" t="n"/>
      <c r="S12" s="1" t="n"/>
      <c r="T12" s="1" t="n"/>
      <c r="U12" s="1" t="n"/>
      <c r="V12" s="1" t="n"/>
      <c r="W12" s="1" t="n"/>
      <c r="X12" s="1" t="n"/>
      <c r="Y12" s="1" t="n"/>
      <c r="Z12" s="1" t="n"/>
      <c r="AA12" s="1" t="n"/>
    </row>
    <row r="13" ht="9.75" customHeight="1" s="348">
      <c r="A13" s="447"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row>
    <row r="14" ht="12.75" customHeight="1" s="348">
      <c r="A14" s="4" t="inlineStr">
        <is>
          <t>F2</t>
        </is>
      </c>
      <c r="B14" s="538" t="inlineStr">
        <is>
          <t xml:space="preserve">Activities offered. Identify those programs available at your institution. </t>
        </is>
      </c>
      <c r="G14" s="1" t="n"/>
      <c r="H14" s="1" t="n"/>
      <c r="I14" s="1" t="n"/>
      <c r="J14" s="1" t="n"/>
      <c r="K14" s="1" t="n"/>
      <c r="L14" s="1" t="n"/>
      <c r="M14" s="1" t="n"/>
      <c r="N14" s="1" t="n"/>
      <c r="O14" s="1" t="n"/>
      <c r="P14" s="1" t="n"/>
      <c r="Q14" s="1" t="n"/>
      <c r="R14" s="1" t="n"/>
      <c r="S14" s="1" t="n"/>
      <c r="T14" s="1" t="n"/>
      <c r="U14" s="1" t="n"/>
      <c r="V14" s="1" t="n"/>
      <c r="W14" s="1" t="n"/>
      <c r="X14" s="1" t="n"/>
      <c r="Y14" s="1" t="n"/>
      <c r="Z14" s="1" t="n"/>
      <c r="AA14" s="1" t="n"/>
    </row>
    <row r="15" ht="12.75" customHeight="1" s="348">
      <c r="A15" s="4" t="n"/>
      <c r="B15" s="442" t="n"/>
      <c r="C15" s="347" t="n"/>
      <c r="D15" s="347" t="n"/>
      <c r="E15" s="15" t="n"/>
      <c r="F15" s="15" t="n"/>
      <c r="G15" s="1" t="n"/>
      <c r="H15" s="1" t="n"/>
      <c r="I15" s="1" t="n"/>
      <c r="J15" s="1" t="n"/>
      <c r="K15" s="1" t="n"/>
      <c r="L15" s="1" t="n"/>
      <c r="M15" s="1" t="n"/>
      <c r="N15" s="1" t="n"/>
      <c r="O15" s="1" t="n"/>
      <c r="P15" s="1" t="n"/>
      <c r="Q15" s="1" t="n"/>
      <c r="R15" s="1" t="n"/>
      <c r="S15" s="1" t="n"/>
      <c r="T15" s="1" t="n"/>
      <c r="U15" s="1" t="n"/>
      <c r="V15" s="1" t="n"/>
      <c r="W15" s="1" t="n"/>
      <c r="X15" s="1" t="n"/>
      <c r="Y15" s="1" t="n"/>
      <c r="Z15" s="1" t="n"/>
      <c r="AA15" s="1" t="n"/>
    </row>
    <row r="16" ht="12.75" customHeight="1" s="348">
      <c r="A16" s="17" t="n"/>
      <c r="B16" s="32" t="inlineStr">
        <is>
          <t>Campus Ministries</t>
        </is>
      </c>
      <c r="C16" s="19" t="n"/>
      <c r="D16" s="347" t="n"/>
      <c r="E16" s="15" t="n"/>
      <c r="F16" s="15" t="n"/>
      <c r="G16" s="1" t="n"/>
      <c r="H16" s="1" t="n"/>
      <c r="I16" s="1" t="n"/>
      <c r="J16" s="1" t="n"/>
      <c r="K16" s="1" t="n"/>
      <c r="L16" s="1" t="n"/>
      <c r="M16" s="1" t="n"/>
      <c r="N16" s="1" t="n"/>
      <c r="O16" s="1" t="n"/>
      <c r="P16" s="1" t="n"/>
      <c r="Q16" s="1" t="n"/>
      <c r="R16" s="1" t="n"/>
      <c r="S16" s="1" t="n"/>
      <c r="T16" s="1" t="n"/>
      <c r="U16" s="1" t="n"/>
      <c r="V16" s="1" t="n"/>
      <c r="W16" s="1" t="n"/>
      <c r="X16" s="1" t="n"/>
      <c r="Y16" s="1" t="n"/>
      <c r="Z16" s="1" t="n"/>
      <c r="AA16" s="1" t="n"/>
    </row>
    <row r="17" ht="12.75" customHeight="1" s="348">
      <c r="A17" s="17" t="n"/>
      <c r="B17" s="347" t="inlineStr">
        <is>
          <t>Choral groups</t>
        </is>
      </c>
      <c r="C17" s="19"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12.75" customHeight="1" s="348">
      <c r="A18" s="17" t="n"/>
      <c r="B18" s="347" t="inlineStr">
        <is>
          <t>Concert band</t>
        </is>
      </c>
      <c r="C18" s="19"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12.75" customHeight="1" s="348">
      <c r="A19" s="17" t="n"/>
      <c r="B19" s="347" t="inlineStr">
        <is>
          <t>Dance</t>
        </is>
      </c>
      <c r="C19" s="19"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12.75" customHeight="1" s="348">
      <c r="A20" s="17" t="n"/>
      <c r="B20" s="347" t="inlineStr">
        <is>
          <t>Drama/theater</t>
        </is>
      </c>
      <c r="C20" s="19"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12.75" customHeight="1" s="348">
      <c r="A21" s="17" t="n"/>
      <c r="B21" s="448" t="inlineStr">
        <is>
          <t>International Student Organization</t>
        </is>
      </c>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12.75" customHeight="1" s="348">
      <c r="A22" s="17" t="n"/>
      <c r="B22" s="347" t="inlineStr">
        <is>
          <t>Jazz band</t>
        </is>
      </c>
      <c r="C22" s="19"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12.75" customHeight="1" s="348">
      <c r="A23" s="17" t="n"/>
      <c r="B23" s="347" t="inlineStr">
        <is>
          <t>Literary magazine</t>
        </is>
      </c>
      <c r="C23" s="19"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12.75" customHeight="1" s="348">
      <c r="A24" s="17" t="n"/>
      <c r="B24" s="347" t="inlineStr">
        <is>
          <t>Marching band</t>
        </is>
      </c>
      <c r="C24" s="19"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row>
    <row r="25" ht="12.75" customHeight="1" s="348">
      <c r="A25" s="17" t="n"/>
      <c r="B25" s="347" t="inlineStr">
        <is>
          <t>Model UN</t>
        </is>
      </c>
      <c r="C25" s="19"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12.75" customHeight="1" s="348">
      <c r="A26" s="17" t="n"/>
      <c r="B26" s="347" t="inlineStr">
        <is>
          <t>Music ensembles</t>
        </is>
      </c>
      <c r="C26" s="19"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12.75" customHeight="1" s="348">
      <c r="A27" s="17" t="n"/>
      <c r="B27" s="347" t="inlineStr">
        <is>
          <t>Musical theater</t>
        </is>
      </c>
      <c r="C27" s="19"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12.75" customHeight="1" s="348">
      <c r="A28" s="17" t="n"/>
      <c r="B28" s="347" t="inlineStr">
        <is>
          <t>Opera</t>
        </is>
      </c>
      <c r="C28" s="19"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12.75" customHeight="1" s="348">
      <c r="A29" s="17" t="n"/>
      <c r="B29" s="347" t="inlineStr">
        <is>
          <t>Pep band</t>
        </is>
      </c>
      <c r="C29" s="19"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12.75" customHeight="1" s="348">
      <c r="A30" s="17" t="n"/>
      <c r="B30" s="347" t="inlineStr">
        <is>
          <t>Radio station</t>
        </is>
      </c>
      <c r="C30" s="19"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12.75" customHeight="1" s="348">
      <c r="A31" s="17" t="n"/>
      <c r="B31" s="347" t="inlineStr">
        <is>
          <t>Student government</t>
        </is>
      </c>
      <c r="C31" s="19"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12.75" customHeight="1" s="348">
      <c r="A32" s="17" t="n"/>
      <c r="B32" s="347" t="inlineStr">
        <is>
          <t>Student newspaper</t>
        </is>
      </c>
      <c r="C32" s="19"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12.75" customHeight="1" s="348">
      <c r="A33" s="17" t="n"/>
      <c r="B33" s="347" t="inlineStr">
        <is>
          <t>Student-run film society</t>
        </is>
      </c>
      <c r="C33" s="19"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12.75" customHeight="1" s="348">
      <c r="A34" s="17" t="n"/>
      <c r="B34" s="347" t="inlineStr">
        <is>
          <t>Symphony orchestra</t>
        </is>
      </c>
      <c r="C34" s="19"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12.75" customHeight="1" s="348">
      <c r="A35" s="17" t="n"/>
      <c r="B35" s="347" t="inlineStr">
        <is>
          <t>Television station</t>
        </is>
      </c>
      <c r="C35" s="19"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12.75" customHeight="1" s="348">
      <c r="A36" s="17" t="n"/>
      <c r="B36" s="347" t="inlineStr">
        <is>
          <t>Yearbook</t>
        </is>
      </c>
      <c r="C36" s="19"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12.75" customHeight="1" s="348">
      <c r="A37" s="447"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12.75" customHeight="1" s="348">
      <c r="A38" s="4" t="inlineStr">
        <is>
          <t>F3</t>
        </is>
      </c>
      <c r="B38" s="449" t="inlineStr">
        <is>
          <t>ROTC (program offered in cooperation with Reserve Officers' Training Corps)</t>
        </is>
      </c>
      <c r="C38" s="498" t="n"/>
      <c r="D38" s="498" t="n"/>
      <c r="E38" s="498" t="n"/>
      <c r="F38" s="498"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ht="27" customHeight="1" s="348">
      <c r="A39" s="4" t="n"/>
      <c r="B39" s="35" t="n"/>
      <c r="C39" s="35" t="inlineStr">
        <is>
          <t>Marine Option 
(for Naval ROTC)</t>
        </is>
      </c>
      <c r="D39" s="495" t="n"/>
      <c r="E39" s="44" t="inlineStr">
        <is>
          <t>On Campus</t>
        </is>
      </c>
      <c r="F39" s="35" t="inlineStr">
        <is>
          <t>At Cooperating Institution</t>
        </is>
      </c>
      <c r="G39" s="495" t="n"/>
      <c r="H39" s="35" t="inlineStr">
        <is>
          <t>Name of Cooperating Institution</t>
        </is>
      </c>
      <c r="I39" s="495" t="n"/>
      <c r="J39" s="33" t="n"/>
      <c r="K39" s="33" t="n"/>
      <c r="L39" s="33" t="n"/>
      <c r="M39" s="33" t="n"/>
      <c r="N39" s="33" t="n"/>
      <c r="O39" s="33" t="n"/>
      <c r="P39" s="33" t="n"/>
      <c r="Q39" s="33" t="n"/>
      <c r="R39" s="33" t="n"/>
      <c r="S39" s="33" t="n"/>
      <c r="T39" s="33" t="n"/>
      <c r="U39" s="33" t="n"/>
      <c r="V39" s="33" t="n"/>
      <c r="W39" s="33" t="n"/>
      <c r="X39" s="33" t="n"/>
      <c r="Y39" s="33" t="n"/>
      <c r="Z39" s="33" t="n"/>
      <c r="AA39" s="33" t="n"/>
    </row>
    <row r="40" ht="12.75" customHeight="1" s="348">
      <c r="A40" s="4" t="n"/>
      <c r="B40" s="31" t="inlineStr">
        <is>
          <t>Army ROTC is offered:</t>
        </is>
      </c>
      <c r="C40" s="36" t="n"/>
      <c r="D40" s="495" t="n"/>
      <c r="E40" s="36" t="n"/>
      <c r="F40" s="10" t="n"/>
      <c r="G40" s="495" t="n"/>
      <c r="H40" s="10" t="n"/>
      <c r="I40" s="495" t="n"/>
      <c r="J40" s="1" t="n"/>
      <c r="K40" s="1" t="n"/>
      <c r="L40" s="1" t="n"/>
      <c r="M40" s="1" t="n"/>
      <c r="N40" s="1" t="n"/>
      <c r="O40" s="1" t="n"/>
      <c r="P40" s="1" t="n"/>
      <c r="Q40" s="1" t="n"/>
      <c r="R40" s="1" t="n"/>
      <c r="S40" s="1" t="n"/>
      <c r="T40" s="1" t="n"/>
      <c r="U40" s="1" t="n"/>
      <c r="V40" s="1" t="n"/>
      <c r="W40" s="1" t="n"/>
      <c r="X40" s="1" t="n"/>
      <c r="Y40" s="1" t="n"/>
      <c r="Z40" s="1" t="n"/>
      <c r="AA40" s="1" t="n"/>
    </row>
    <row r="41" ht="12.75" customHeight="1" s="348">
      <c r="A41" s="4" t="n"/>
      <c r="B41" s="31" t="inlineStr">
        <is>
          <t>Naval ROTC is offered:</t>
        </is>
      </c>
      <c r="C41" s="36" t="n"/>
      <c r="D41" s="495" t="n"/>
      <c r="E41" s="36" t="n"/>
      <c r="F41" s="10" t="n"/>
      <c r="G41" s="495" t="n"/>
      <c r="H41" s="10" t="n"/>
      <c r="I41" s="495" t="n"/>
      <c r="J41" s="1" t="n"/>
      <c r="K41" s="1" t="n"/>
      <c r="L41" s="1" t="n"/>
      <c r="M41" s="1" t="n"/>
      <c r="N41" s="1" t="n"/>
      <c r="O41" s="1" t="n"/>
      <c r="P41" s="1" t="n"/>
      <c r="Q41" s="1" t="n"/>
      <c r="R41" s="1" t="n"/>
      <c r="S41" s="1" t="n"/>
      <c r="T41" s="1" t="n"/>
      <c r="U41" s="1" t="n"/>
      <c r="V41" s="1" t="n"/>
      <c r="W41" s="1" t="n"/>
      <c r="X41" s="1" t="n"/>
      <c r="Y41" s="1" t="n"/>
      <c r="Z41" s="1" t="n"/>
      <c r="AA41" s="1" t="n"/>
    </row>
    <row r="42" ht="12.75" customHeight="1" s="348">
      <c r="A42" s="4" t="n"/>
      <c r="B42" s="31" t="inlineStr">
        <is>
          <t>Air Force ROTC is offered:</t>
        </is>
      </c>
      <c r="C42" s="36" t="n"/>
      <c r="D42" s="495" t="n"/>
      <c r="E42" s="36" t="n"/>
      <c r="F42" s="10" t="n"/>
      <c r="G42" s="495" t="n"/>
      <c r="H42" s="10" t="n"/>
      <c r="I42" s="495" t="n"/>
      <c r="J42" s="1" t="n"/>
      <c r="K42" s="1" t="n"/>
      <c r="L42" s="1" t="n"/>
      <c r="M42" s="1" t="n"/>
      <c r="N42" s="1" t="n"/>
      <c r="O42" s="1" t="n"/>
      <c r="P42" s="1" t="n"/>
      <c r="Q42" s="1" t="n"/>
      <c r="R42" s="1" t="n"/>
      <c r="S42" s="1" t="n"/>
      <c r="T42" s="1" t="n"/>
      <c r="U42" s="1" t="n"/>
      <c r="V42" s="1" t="n"/>
      <c r="W42" s="1" t="n"/>
      <c r="X42" s="1" t="n"/>
      <c r="Y42" s="1" t="n"/>
      <c r="Z42" s="1" t="n"/>
      <c r="AA42" s="1" t="n"/>
    </row>
    <row r="43" ht="9" customHeight="1" s="348">
      <c r="A43" s="447"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ht="26.25" customHeight="1" s="348">
      <c r="A44" s="4" t="inlineStr">
        <is>
          <t>F4</t>
        </is>
      </c>
      <c r="B44" s="538" t="inlineStr">
        <is>
          <t>Housing: Check all types of college-owned, -operated, or -affiliated housing available for undergraduates at your institution.</t>
        </is>
      </c>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ht="14.25" customHeight="1" s="348">
      <c r="A45" s="4" t="n"/>
      <c r="B45" s="442" t="n"/>
      <c r="C45" s="347" t="n"/>
      <c r="D45" s="347" t="n"/>
      <c r="E45" s="347" t="n"/>
      <c r="F45" s="347"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ht="12.75" customHeight="1" s="348">
      <c r="A46" s="17" t="n"/>
      <c r="B46" s="347" t="inlineStr">
        <is>
          <t>Coed dorms</t>
        </is>
      </c>
      <c r="C46" s="45" t="n"/>
      <c r="D46" s="18"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ht="12.75" customHeight="1" s="348">
      <c r="A47" s="17" t="n"/>
      <c r="B47" s="347" t="inlineStr">
        <is>
          <t>Men's dorms</t>
        </is>
      </c>
      <c r="C47" s="45" t="n"/>
      <c r="D47" s="18"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ht="12.75" customHeight="1" s="348">
      <c r="A48" s="17" t="n"/>
      <c r="B48" s="347" t="inlineStr">
        <is>
          <t>Women's dorms</t>
        </is>
      </c>
      <c r="C48" s="45" t="n"/>
      <c r="D48" s="18"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ht="13.5" customHeight="1" s="348">
      <c r="A49" s="17" t="n"/>
      <c r="B49" s="446" t="inlineStr">
        <is>
          <t>Apartments for married students</t>
        </is>
      </c>
      <c r="D49" s="18"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ht="12.75" customHeight="1" s="348">
      <c r="A50" s="17" t="n"/>
      <c r="B50" s="446" t="inlineStr">
        <is>
          <t>Apartments for single students</t>
        </is>
      </c>
      <c r="D50" s="18"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ht="13.5" customHeight="1" s="348">
      <c r="A51" s="17" t="n"/>
      <c r="B51" s="446" t="inlineStr">
        <is>
          <t>Special housing for disabled students</t>
        </is>
      </c>
      <c r="D51" s="18"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ht="12.75" customHeight="1" s="348">
      <c r="A52" s="17" t="n"/>
      <c r="B52" s="446" t="inlineStr">
        <is>
          <t>Special housing for international students</t>
        </is>
      </c>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ht="12.75" customHeight="1" s="348">
      <c r="A53" s="17" t="n"/>
      <c r="B53" s="347" t="inlineStr">
        <is>
          <t>Fraternity/sorority housing</t>
        </is>
      </c>
      <c r="C53" s="45" t="n"/>
      <c r="D53" s="18"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ht="12.75" customHeight="1" s="348">
      <c r="A54" s="17" t="n"/>
      <c r="B54" s="347" t="inlineStr">
        <is>
          <t>Cooperative housing</t>
        </is>
      </c>
      <c r="C54" s="45" t="n"/>
      <c r="D54" s="18"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ht="12.75" customHeight="1" s="348">
      <c r="A55" s="17" t="n"/>
      <c r="B55" s="347" t="inlineStr">
        <is>
          <t>Theme housing</t>
        </is>
      </c>
      <c r="C55" s="45" t="n"/>
      <c r="D55" s="18"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ht="12.75" customHeight="1" s="348">
      <c r="A56" s="17" t="n"/>
      <c r="B56" s="347" t="inlineStr">
        <is>
          <t>Wellness housing</t>
        </is>
      </c>
      <c r="C56" s="45" t="n"/>
      <c r="D56" s="18"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ht="12.75" customHeight="1" s="348">
      <c r="A57" s="17" t="n"/>
      <c r="B57" s="347" t="inlineStr">
        <is>
          <t>Living Learning Communities</t>
        </is>
      </c>
      <c r="C57" s="45" t="n"/>
      <c r="D57" s="18"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ht="13.5" customHeight="1" s="348">
      <c r="A58" s="17" t="n"/>
      <c r="B58" s="347" t="inlineStr">
        <is>
          <t>Other housing options (specify):</t>
        </is>
      </c>
      <c r="C58" s="45" t="n"/>
      <c r="D58" s="18"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ht="13.5" customHeight="1" s="348">
      <c r="A59" s="4" t="n"/>
      <c r="B59" s="347" t="n"/>
      <c r="C59" s="19" t="n"/>
      <c r="D59" s="9"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ht="3.75" customHeight="1" s="348">
      <c r="A60" s="4" t="n"/>
      <c r="B60" s="539"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hidden="1" ht="4.5" customHeight="1" s="348">
      <c r="A61" s="447"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ht="12.75" customHeight="1" s="348">
      <c r="A62" s="447"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ht="12.75" customHeight="1" s="348">
      <c r="A63" s="447"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ht="12.75" customHeight="1" s="348">
      <c r="A64" s="447"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ht="12.75" customHeight="1" s="348">
      <c r="A65" s="447"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ht="12.75" customHeight="1" s="348">
      <c r="A66" s="447"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ht="12.75" customHeight="1" s="348">
      <c r="A67" s="447"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ht="12.75" customHeight="1" s="348">
      <c r="A68" s="447"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ht="12.75" customHeight="1" s="348">
      <c r="A69" s="447"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ht="12.75" customHeight="1" s="348">
      <c r="A70" s="447"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ht="12.75" customHeight="1" s="348">
      <c r="A71" s="447"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ht="12.75" customHeight="1" s="348">
      <c r="A72" s="447"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ht="12.75" customHeight="1" s="348">
      <c r="A73" s="447"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ht="12.75" customHeight="1" s="348">
      <c r="A74" s="447"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ht="12.75" customHeight="1" s="348">
      <c r="A75" s="447"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ht="12.75" customHeight="1" s="348">
      <c r="A76" s="447"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ht="12.75" customHeight="1" s="348">
      <c r="A77" s="447"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ht="12.75" customHeight="1" s="348">
      <c r="A78" s="447"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ht="12.75" customHeight="1" s="348">
      <c r="A79" s="447"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ht="12.75" customHeight="1" s="348">
      <c r="A80" s="447"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ht="12.75" customHeight="1" s="348">
      <c r="A81" s="447"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ht="12.75" customHeight="1" s="348">
      <c r="A82" s="447"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ht="12.75" customHeight="1" s="348">
      <c r="A83" s="447"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ht="12.75" customHeight="1" s="348">
      <c r="A84" s="447"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ht="12.75" customHeight="1" s="348">
      <c r="A85" s="447"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ht="12.75" customHeight="1" s="348">
      <c r="A86" s="447"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ht="12.75" customHeight="1" s="348">
      <c r="A87" s="447"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ht="12.75" customHeight="1" s="348">
      <c r="A88" s="447"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ht="12.75" customHeight="1" s="348">
      <c r="A89" s="447"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ht="12.75" customHeight="1" s="348">
      <c r="A90" s="447"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ht="12.75" customHeight="1" s="348">
      <c r="A91" s="447"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ht="12.75" customHeight="1" s="348">
      <c r="A92" s="447"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ht="12.75" customHeight="1" s="348">
      <c r="A93" s="447"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ht="12.75" customHeight="1" s="348">
      <c r="A94" s="447"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ht="12.75" customHeight="1" s="348">
      <c r="A95" s="447"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ht="12.75" customHeight="1" s="348">
      <c r="A96" s="447"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ht="12.75" customHeight="1" s="348">
      <c r="A97" s="447"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ht="12.75" customHeight="1" s="348">
      <c r="A98" s="447"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ht="12.75" customHeight="1" s="348">
      <c r="A99" s="447"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12.75" customHeight="1" s="348">
      <c r="A100" s="447"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12.75" customHeight="1" s="348">
      <c r="A101" s="447"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12.75" customHeight="1" s="348">
      <c r="A102" s="447"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12.75" customHeight="1" s="348">
      <c r="A103" s="447"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12.75" customHeight="1" s="348">
      <c r="A104" s="447"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12.75" customHeight="1" s="348">
      <c r="A105" s="447"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12.75" customHeight="1" s="348">
      <c r="A106" s="447"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12.75" customHeight="1" s="348">
      <c r="A107" s="447"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12.75" customHeight="1" s="348">
      <c r="A108" s="447"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12.75" customHeight="1" s="348">
      <c r="A109" s="447"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12.75" customHeight="1" s="348">
      <c r="A110" s="447"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12.75" customHeight="1" s="348">
      <c r="A111" s="447"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12.75" customHeight="1" s="348">
      <c r="A112" s="447"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12.75" customHeight="1" s="348">
      <c r="A113" s="447"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12.75" customHeight="1" s="348">
      <c r="A114" s="447"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12.75" customHeight="1" s="348">
      <c r="A115" s="447"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12.75" customHeight="1" s="348">
      <c r="A116" s="447"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12.75" customHeight="1" s="348">
      <c r="A117" s="447"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12.75" customHeight="1" s="348">
      <c r="A118" s="447"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12.75" customHeight="1" s="348">
      <c r="A119" s="447"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12.75" customHeight="1" s="348">
      <c r="A120" s="447"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12.75" customHeight="1" s="348">
      <c r="A121" s="447"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12.75" customHeight="1" s="348">
      <c r="A122" s="447"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12.75" customHeight="1" s="348">
      <c r="A123" s="447"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12.75" customHeight="1" s="348">
      <c r="A124" s="447"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12.75" customHeight="1" s="348">
      <c r="A125" s="447"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12.75" customHeight="1" s="348">
      <c r="A126" s="447"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12.75" customHeight="1" s="348">
      <c r="A127" s="447"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12.75" customHeight="1" s="348">
      <c r="A128" s="447"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12.75" customHeight="1" s="348">
      <c r="A129" s="447"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12.75" customHeight="1" s="348">
      <c r="A130" s="447"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12.75" customHeight="1" s="348">
      <c r="A131" s="447"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12.75" customHeight="1" s="348">
      <c r="A132" s="447"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12.75" customHeight="1" s="348">
      <c r="A133" s="447"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12.75" customHeight="1" s="348">
      <c r="A134" s="447"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12.75" customHeight="1" s="348">
      <c r="A135" s="447"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12.75" customHeight="1" s="348">
      <c r="A136" s="447"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12.75" customHeight="1" s="348">
      <c r="A137" s="447"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12.75" customHeight="1" s="348">
      <c r="A138" s="447"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12.75" customHeight="1" s="348">
      <c r="A139" s="447"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12.75" customHeight="1" s="348">
      <c r="A140" s="447"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12.75" customHeight="1" s="348">
      <c r="A141" s="447"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12.75" customHeight="1" s="348">
      <c r="A142" s="447"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12.75" customHeight="1" s="348">
      <c r="A143" s="447"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12.75" customHeight="1" s="348">
      <c r="A144" s="447"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12.75" customHeight="1" s="348">
      <c r="A145" s="447"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12.75" customHeight="1" s="348">
      <c r="A146" s="447"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12.75" customHeight="1" s="348">
      <c r="A147" s="447"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12.75" customHeight="1" s="348">
      <c r="A148" s="447"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12.75" customHeight="1" s="348">
      <c r="A149" s="447"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12.75" customHeight="1" s="348">
      <c r="A150" s="447"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12.75" customHeight="1" s="348">
      <c r="A151" s="447"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12.75" customHeight="1" s="348">
      <c r="A152" s="447"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12.75" customHeight="1" s="348">
      <c r="A153" s="447"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12.75" customHeight="1" s="348">
      <c r="A154" s="447"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12.75" customHeight="1" s="348">
      <c r="A155" s="447"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12.75" customHeight="1" s="348">
      <c r="A156" s="447"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12.75" customHeight="1" s="348">
      <c r="A157" s="447"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12.75" customHeight="1" s="348">
      <c r="A158" s="447"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12.75" customHeight="1" s="348">
      <c r="A159" s="447"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12.75" customHeight="1" s="348">
      <c r="A160" s="447"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12.75" customHeight="1" s="348">
      <c r="A161" s="447"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12.75" customHeight="1" s="348">
      <c r="A162" s="447"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12.75" customHeight="1" s="348">
      <c r="A163" s="447"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12.75" customHeight="1" s="348">
      <c r="A164" s="447"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12.75" customHeight="1" s="348">
      <c r="A165" s="447"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12.75" customHeight="1" s="348">
      <c r="A166" s="447"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12.75" customHeight="1" s="348">
      <c r="A167" s="447"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12.75" customHeight="1" s="348">
      <c r="A168" s="447"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12.75" customHeight="1" s="348">
      <c r="A169" s="447"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12.75" customHeight="1" s="348">
      <c r="A170" s="447"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12.75" customHeight="1" s="348">
      <c r="A171" s="447"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12.75" customHeight="1" s="348">
      <c r="A172" s="447"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12.75" customHeight="1" s="348">
      <c r="A173" s="447"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12.75" customHeight="1" s="348">
      <c r="A174" s="447"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12.75" customHeight="1" s="348">
      <c r="A175" s="447"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12.75" customHeight="1" s="348">
      <c r="A176" s="447"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12.75" customHeight="1" s="348">
      <c r="A177" s="447"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12.75" customHeight="1" s="348">
      <c r="A178" s="447"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12.75" customHeight="1" s="348">
      <c r="A179" s="447"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12.75" customHeight="1" s="348">
      <c r="A180" s="447"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12.75" customHeight="1" s="348">
      <c r="A181" s="447"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12.75" customHeight="1" s="348">
      <c r="A182" s="447"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12.75" customHeight="1" s="348">
      <c r="A183" s="447"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12.75" customHeight="1" s="348">
      <c r="A184" s="447"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12.75" customHeight="1" s="348">
      <c r="A185" s="447"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12.75" customHeight="1" s="348">
      <c r="A186" s="447"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12.75" customHeight="1" s="348">
      <c r="A187" s="447"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12.75" customHeight="1" s="348">
      <c r="A188" s="447"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12.75" customHeight="1" s="348">
      <c r="A189" s="447"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12.75" customHeight="1" s="348">
      <c r="A190" s="447"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12.75" customHeight="1" s="348">
      <c r="A191" s="447"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12.75" customHeight="1" s="348">
      <c r="A192" s="447"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12.75" customHeight="1" s="348">
      <c r="A193" s="447"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12.75" customHeight="1" s="348">
      <c r="A194" s="447"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12.75" customHeight="1" s="348">
      <c r="A195" s="447"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12.75" customHeight="1" s="348">
      <c r="A196" s="447"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12.75" customHeight="1" s="348">
      <c r="A197" s="447"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12.75" customHeight="1" s="348">
      <c r="A198" s="447"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12.75" customHeight="1" s="348">
      <c r="A199" s="447"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12.75" customHeight="1" s="348">
      <c r="A200" s="447"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12.75" customHeight="1" s="348">
      <c r="A201" s="447"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12.75" customHeight="1" s="348">
      <c r="A202" s="447"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12.75" customHeight="1" s="348">
      <c r="A203" s="447"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12.75" customHeight="1" s="348">
      <c r="A204" s="447"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12.75" customHeight="1" s="348">
      <c r="A205" s="447"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12.75" customHeight="1" s="348">
      <c r="A206" s="447"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12.75" customHeight="1" s="348">
      <c r="A207" s="447"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12.75" customHeight="1" s="348">
      <c r="A208" s="447"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12.75" customHeight="1" s="348">
      <c r="A209" s="447"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12.75" customHeight="1" s="348">
      <c r="A210" s="447"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12.75" customHeight="1" s="348">
      <c r="A211" s="447"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12.75" customHeight="1" s="348">
      <c r="A212" s="447"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12.75" customHeight="1" s="348">
      <c r="A213" s="447"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12.75" customHeight="1" s="348">
      <c r="A214" s="447"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12.75" customHeight="1" s="348">
      <c r="A215" s="447"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12.75" customHeight="1" s="348">
      <c r="A216" s="447"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12.75" customHeight="1" s="348">
      <c r="A217" s="447"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12.75" customHeight="1" s="348">
      <c r="A218" s="447"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12.75" customHeight="1" s="348">
      <c r="A219" s="447"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12.75" customHeight="1" s="348">
      <c r="A220" s="447"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12.75" customHeight="1" s="348">
      <c r="A221" s="447"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ht="12.75" customHeight="1" s="348">
      <c r="A222" s="447"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ht="12.75" customHeight="1" s="348">
      <c r="A223" s="447"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ht="12.75" customHeight="1" s="348">
      <c r="A224" s="447"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ht="12.75" customHeight="1" s="348">
      <c r="A225" s="447"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ht="12.75" customHeight="1" s="348">
      <c r="A226" s="447"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ht="12.75" customHeight="1" s="348">
      <c r="A227" s="447"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ht="12.75" customHeight="1" s="348">
      <c r="A228" s="447"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ht="12.75" customHeight="1" s="348">
      <c r="A229" s="447"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row>
    <row r="230" ht="12.75" customHeight="1" s="348">
      <c r="A230" s="447"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row>
    <row r="231" ht="12.75" customHeight="1" s="348">
      <c r="A231" s="447"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row>
    <row r="232" ht="12.75" customHeight="1" s="348">
      <c r="A232" s="447"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row>
    <row r="233" ht="12.75" customHeight="1" s="348">
      <c r="A233" s="447"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row>
    <row r="234" ht="12.75" customHeight="1" s="348">
      <c r="A234" s="447"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row>
    <row r="235" ht="12.75" customHeight="1" s="348">
      <c r="A235" s="447"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row>
    <row r="236" ht="12.75" customHeight="1" s="348">
      <c r="A236" s="447"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row>
    <row r="237" ht="12.75" customHeight="1" s="348">
      <c r="A237" s="447"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row>
    <row r="238" ht="12.75" customHeight="1" s="348">
      <c r="A238" s="447"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row>
    <row r="239" ht="12.75" customHeight="1" s="348">
      <c r="A239" s="447"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row>
    <row r="240" ht="12.75" customHeight="1" s="348">
      <c r="A240" s="447"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row>
    <row r="241" ht="12.75" customHeight="1" s="348">
      <c r="A241" s="447"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row>
    <row r="242" ht="12.75" customHeight="1" s="348">
      <c r="A242" s="447"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row>
    <row r="243" ht="12.75" customHeight="1" s="348">
      <c r="A243" s="447"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row>
    <row r="244" ht="12.75" customHeight="1" s="348">
      <c r="A244" s="447"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row>
    <row r="245" ht="12.75" customHeight="1" s="348">
      <c r="A245" s="447"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row>
    <row r="246" ht="12.75" customHeight="1" s="348">
      <c r="A246" s="447"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row>
    <row r="247" ht="12.75" customHeight="1" s="348">
      <c r="A247" s="447"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row>
    <row r="248" ht="12.75" customHeight="1" s="348">
      <c r="A248" s="447"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row>
    <row r="249" ht="12.75" customHeight="1" s="348">
      <c r="A249" s="447"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row>
    <row r="250" ht="12.75" customHeight="1" s="348">
      <c r="A250" s="447"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row>
    <row r="251" ht="12.75" customHeight="1" s="348">
      <c r="A251" s="447"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row>
    <row r="252" ht="12.75" customHeight="1" s="348">
      <c r="A252" s="447"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row>
    <row r="253" ht="12.75" customHeight="1" s="348">
      <c r="A253" s="447"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row>
    <row r="254" ht="12.75" customHeight="1" s="348">
      <c r="A254" s="447"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row>
    <row r="255" ht="12.75" customHeight="1" s="348">
      <c r="A255" s="447"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row>
    <row r="256" ht="12.75" customHeight="1" s="348">
      <c r="A256" s="447"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row>
    <row r="257" ht="12.75" customHeight="1" s="348">
      <c r="A257" s="447"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row>
    <row r="258" ht="12.75" customHeight="1" s="348">
      <c r="A258" s="447"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row>
    <row r="259" ht="12.75" customHeight="1" s="348">
      <c r="A259" s="447"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row>
    <row r="260" ht="12.75" customHeight="1" s="348">
      <c r="A260" s="447"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row>
    <row r="261" ht="12.75" customHeight="1" s="348">
      <c r="A261" s="447"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row>
    <row r="262" ht="12.75" customHeight="1" s="348">
      <c r="A262" s="447"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row>
    <row r="263" ht="12.75" customHeight="1" s="348">
      <c r="A263" s="447"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row>
    <row r="264" ht="12.75" customHeight="1" s="348">
      <c r="A264" s="447"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row>
    <row r="265" ht="12.75" customHeight="1" s="348">
      <c r="A265" s="447"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row>
    <row r="266" ht="12.75" customHeight="1" s="348">
      <c r="A266" s="447"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row>
    <row r="267" ht="12.75" customHeight="1" s="348">
      <c r="A267" s="447"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row>
    <row r="268" ht="12.75" customHeight="1" s="348">
      <c r="A268" s="447"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row>
    <row r="269" ht="12.75" customHeight="1" s="348">
      <c r="A269" s="447"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row>
    <row r="270" ht="12.75" customHeight="1" s="348">
      <c r="A270" s="447"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row>
    <row r="271" ht="12.75" customHeight="1" s="348">
      <c r="A271" s="447"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row>
    <row r="272" ht="12.75" customHeight="1" s="348">
      <c r="A272" s="447"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row>
    <row r="273" ht="12.75" customHeight="1" s="348">
      <c r="A273" s="447"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row>
    <row r="274" ht="12.75" customHeight="1" s="348">
      <c r="A274" s="447"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row>
    <row r="275" ht="12.75" customHeight="1" s="348">
      <c r="A275" s="447"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row>
    <row r="276" ht="12.75" customHeight="1" s="348">
      <c r="A276" s="447"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row>
    <row r="277" ht="12.75" customHeight="1" s="348">
      <c r="A277" s="447"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row>
    <row r="278" ht="12.75" customHeight="1" s="348">
      <c r="A278" s="447"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row>
    <row r="279" ht="12.75" customHeight="1" s="348">
      <c r="A279" s="447"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row>
    <row r="280" ht="12.75" customHeight="1" s="348">
      <c r="A280" s="447"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row>
    <row r="281" ht="12.75" customHeight="1" s="348">
      <c r="A281" s="447"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row>
    <row r="282" ht="12.75" customHeight="1" s="348">
      <c r="A282" s="447"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row>
    <row r="283" ht="12.75" customHeight="1" s="348">
      <c r="A283" s="447"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row>
    <row r="284" ht="12.75" customHeight="1" s="348">
      <c r="A284" s="447"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row>
    <row r="285" ht="12.75" customHeight="1" s="348">
      <c r="A285" s="447"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row>
    <row r="286" ht="12.75" customHeight="1" s="348">
      <c r="A286" s="447"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row>
    <row r="287" ht="12.75" customHeight="1" s="348">
      <c r="A287" s="447"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row>
    <row r="288" ht="12.75" customHeight="1" s="348">
      <c r="A288" s="447"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row>
    <row r="289" ht="12.75" customHeight="1" s="348">
      <c r="A289" s="447"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row>
    <row r="290" ht="12.75" customHeight="1" s="348">
      <c r="A290" s="447"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row>
    <row r="291" ht="12.75" customHeight="1" s="348">
      <c r="A291" s="447"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row>
    <row r="292" ht="12.75" customHeight="1" s="348">
      <c r="A292" s="447"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row>
    <row r="293" ht="12.75" customHeight="1" s="348">
      <c r="A293" s="447"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row>
    <row r="294" ht="12.75" customHeight="1" s="348">
      <c r="A294" s="447"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row>
    <row r="295" ht="12.75" customHeight="1" s="348">
      <c r="A295" s="447"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row>
    <row r="296" ht="12.75" customHeight="1" s="348">
      <c r="A296" s="447"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row>
    <row r="297" ht="12.75" customHeight="1" s="348">
      <c r="A297" s="447"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row>
    <row r="298" ht="12.75" customHeight="1" s="348">
      <c r="A298" s="447"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row>
    <row r="299" ht="12.75" customHeight="1" s="348">
      <c r="A299" s="447"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row>
    <row r="300" ht="12.75" customHeight="1" s="348">
      <c r="A300" s="447"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row>
    <row r="301" ht="12.75" customHeight="1" s="348">
      <c r="A301" s="447"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row>
    <row r="302" ht="12.75" customHeight="1" s="348">
      <c r="A302" s="447"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row>
    <row r="303" ht="12.75" customHeight="1" s="348">
      <c r="A303" s="447"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row>
    <row r="304" ht="12.75" customHeight="1" s="348">
      <c r="A304" s="447"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row>
    <row r="305" ht="12.75" customHeight="1" s="348">
      <c r="A305" s="447"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row>
    <row r="306" ht="12.75" customHeight="1" s="348">
      <c r="A306" s="447"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row>
    <row r="307" ht="12.75" customHeight="1" s="348">
      <c r="A307" s="447"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row>
    <row r="308" ht="12.75" customHeight="1" s="348">
      <c r="A308" s="447"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row>
    <row r="309" ht="12.75" customHeight="1" s="348">
      <c r="A309" s="447"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row>
    <row r="310" ht="12.75" customHeight="1" s="348">
      <c r="A310" s="447"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row>
    <row r="311" ht="12.75" customHeight="1" s="348">
      <c r="A311" s="447"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row>
    <row r="312" ht="12.75" customHeight="1" s="348">
      <c r="A312" s="447"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row>
    <row r="313" ht="12.75" customHeight="1" s="348">
      <c r="A313" s="447"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row>
    <row r="314" ht="12.75" customHeight="1" s="348">
      <c r="A314" s="447"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row>
    <row r="315" ht="12.75" customHeight="1" s="348">
      <c r="A315" s="447"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row>
    <row r="316" ht="12.75" customHeight="1" s="348">
      <c r="A316" s="447"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row>
    <row r="317" ht="12.75" customHeight="1" s="348">
      <c r="A317" s="447"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row>
    <row r="318" ht="12.75" customHeight="1" s="348">
      <c r="A318" s="447"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row>
    <row r="319" ht="12.75" customHeight="1" s="348">
      <c r="A319" s="447"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row>
    <row r="320" ht="12.75" customHeight="1" s="348">
      <c r="A320" s="447"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row>
    <row r="321" ht="12.75" customHeight="1" s="348">
      <c r="A321" s="447"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row>
    <row r="322" ht="12.75" customHeight="1" s="348">
      <c r="A322" s="447"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row>
    <row r="323" ht="12.75" customHeight="1" s="348">
      <c r="A323" s="447"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row>
    <row r="324" ht="12.75" customHeight="1" s="348">
      <c r="A324" s="447"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row>
    <row r="325" ht="12.75" customHeight="1" s="348">
      <c r="A325" s="447"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row>
    <row r="326" ht="12.75" customHeight="1" s="348">
      <c r="A326" s="447"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row>
    <row r="327" ht="12.75" customHeight="1" s="348">
      <c r="A327" s="447"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row>
    <row r="328" ht="12.75" customHeight="1" s="348">
      <c r="A328" s="447"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row>
    <row r="329" ht="12.75" customHeight="1" s="348">
      <c r="A329" s="447"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row>
    <row r="330" ht="12.75" customHeight="1" s="348">
      <c r="A330" s="447"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row>
    <row r="331" ht="12.75" customHeight="1" s="348">
      <c r="A331" s="447"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row>
    <row r="332" ht="12.75" customHeight="1" s="348">
      <c r="A332" s="447"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row>
    <row r="333" ht="12.75" customHeight="1" s="348">
      <c r="A333" s="447"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row>
    <row r="334" ht="12.75" customHeight="1" s="348">
      <c r="A334" s="447"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row>
    <row r="335" ht="12.75" customHeight="1" s="348">
      <c r="A335" s="447"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row>
    <row r="336" ht="12.75" customHeight="1" s="348">
      <c r="A336" s="447"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row>
    <row r="337" ht="12.75" customHeight="1" s="348">
      <c r="A337" s="447"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row>
    <row r="338" ht="12.75" customHeight="1" s="348">
      <c r="A338" s="447"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row>
    <row r="339" ht="12.75" customHeight="1" s="348">
      <c r="A339" s="447"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row>
    <row r="340" ht="12.75" customHeight="1" s="348">
      <c r="A340" s="447"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row>
    <row r="341" ht="12.75" customHeight="1" s="348">
      <c r="A341" s="447"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row>
    <row r="342" ht="12.75" customHeight="1" s="348">
      <c r="A342" s="447"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row>
    <row r="343" ht="12.75" customHeight="1" s="348">
      <c r="A343" s="447"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row>
    <row r="344" ht="12.75" customHeight="1" s="348">
      <c r="A344" s="447"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row>
    <row r="345" ht="12.75" customHeight="1" s="348">
      <c r="A345" s="447"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row>
    <row r="346" ht="12.75" customHeight="1" s="348">
      <c r="A346" s="447"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row>
    <row r="347" ht="12.75" customHeight="1" s="348">
      <c r="A347" s="447"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row>
    <row r="348" ht="12.75" customHeight="1" s="348">
      <c r="A348" s="447"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row>
    <row r="349" ht="12.75" customHeight="1" s="348">
      <c r="A349" s="447"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row>
    <row r="350" ht="12.75" customHeight="1" s="348">
      <c r="A350" s="447"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row>
    <row r="351" ht="12.75" customHeight="1" s="348">
      <c r="A351" s="447"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row>
    <row r="352" ht="12.75" customHeight="1" s="348">
      <c r="A352" s="447"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row>
    <row r="353" ht="12.75" customHeight="1" s="348">
      <c r="A353" s="447"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row>
    <row r="354" ht="12.75" customHeight="1" s="348">
      <c r="A354" s="447"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row>
    <row r="355" ht="12.75" customHeight="1" s="348">
      <c r="A355" s="447"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row>
    <row r="356" ht="12.75" customHeight="1" s="348">
      <c r="A356" s="447"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row>
    <row r="357" ht="12.75" customHeight="1" s="348">
      <c r="A357" s="447"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row>
    <row r="358" ht="12.75" customHeight="1" s="348">
      <c r="A358" s="447"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row>
    <row r="359" ht="12.75" customHeight="1" s="348">
      <c r="A359" s="447"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row>
    <row r="360" ht="12.75" customHeight="1" s="348">
      <c r="A360" s="447"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row>
    <row r="361" ht="12.75" customHeight="1" s="348">
      <c r="A361" s="447"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row>
    <row r="362" ht="12.75" customHeight="1" s="348">
      <c r="A362" s="447"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row>
    <row r="363" ht="12.75" customHeight="1" s="348">
      <c r="A363" s="447"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row>
    <row r="364" ht="12.75" customHeight="1" s="348">
      <c r="A364" s="447"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row>
    <row r="365" ht="12.75" customHeight="1" s="348">
      <c r="A365" s="447"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row>
    <row r="366" ht="12.75" customHeight="1" s="348">
      <c r="A366" s="447"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row>
    <row r="367" ht="12.75" customHeight="1" s="348">
      <c r="A367" s="447"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row>
    <row r="368" ht="12.75" customHeight="1" s="348">
      <c r="A368" s="447"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row>
    <row r="369" ht="12.75" customHeight="1" s="348">
      <c r="A369" s="447"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row>
    <row r="370" ht="12.75" customHeight="1" s="348">
      <c r="A370" s="447"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row>
    <row r="371" ht="12.75" customHeight="1" s="348">
      <c r="A371" s="447"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row>
    <row r="372" ht="12.75" customHeight="1" s="348">
      <c r="A372" s="447"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row>
    <row r="373" ht="12.75" customHeight="1" s="348">
      <c r="A373" s="447"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row>
    <row r="374" ht="12.75" customHeight="1" s="348">
      <c r="A374" s="447"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row>
    <row r="375" ht="12.75" customHeight="1" s="348">
      <c r="A375" s="447"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row>
    <row r="376" ht="12.75" customHeight="1" s="348">
      <c r="A376" s="447"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row>
    <row r="377" ht="12.75" customHeight="1" s="348">
      <c r="A377" s="447"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row>
    <row r="378" ht="12.75" customHeight="1" s="348">
      <c r="A378" s="447"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row>
    <row r="379" ht="12.75" customHeight="1" s="348">
      <c r="A379" s="447"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row>
    <row r="380" ht="12.75" customHeight="1" s="348">
      <c r="A380" s="447"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row>
    <row r="381" ht="12.75" customHeight="1" s="348">
      <c r="A381" s="447"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row>
    <row r="382" ht="12.75" customHeight="1" s="348">
      <c r="A382" s="447"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row>
    <row r="383" ht="12.75" customHeight="1" s="348">
      <c r="A383" s="447"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row>
    <row r="384" ht="12.75" customHeight="1" s="348">
      <c r="A384" s="447"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row>
    <row r="385" ht="12.75" customHeight="1" s="348">
      <c r="A385" s="447"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row>
    <row r="386" ht="12.75" customHeight="1" s="348">
      <c r="A386" s="447"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row>
    <row r="387" ht="12.75" customHeight="1" s="348">
      <c r="A387" s="447"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row>
    <row r="388" ht="12.75" customHeight="1" s="348">
      <c r="A388" s="447"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row>
    <row r="389" ht="12.75" customHeight="1" s="348">
      <c r="A389" s="447"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row>
    <row r="390" ht="12.75" customHeight="1" s="348">
      <c r="A390" s="447"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row>
    <row r="391" ht="12.75" customHeight="1" s="348">
      <c r="A391" s="447"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row>
    <row r="392" ht="12.75" customHeight="1" s="348">
      <c r="A392" s="447"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row>
    <row r="393" ht="12.75" customHeight="1" s="348">
      <c r="A393" s="447"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row>
    <row r="394" ht="12.75" customHeight="1" s="348">
      <c r="A394" s="447"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row>
    <row r="395" ht="12.75" customHeight="1" s="348">
      <c r="A395" s="447"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row>
    <row r="396" ht="12.75" customHeight="1" s="348">
      <c r="A396" s="447"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row>
    <row r="397" ht="12.75" customHeight="1" s="348">
      <c r="A397" s="447"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row>
    <row r="398" ht="12.75" customHeight="1" s="348">
      <c r="A398" s="447"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row>
    <row r="399" ht="12.75" customHeight="1" s="348">
      <c r="A399" s="447"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row>
    <row r="400" ht="12.75" customHeight="1" s="348">
      <c r="A400" s="447"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row>
    <row r="401" ht="12.75" customHeight="1" s="348">
      <c r="A401" s="447"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row>
    <row r="402" ht="12.75" customHeight="1" s="348">
      <c r="A402" s="447"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row>
    <row r="403" ht="12.75" customHeight="1" s="348">
      <c r="A403" s="447"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row>
    <row r="404" ht="12.75" customHeight="1" s="348">
      <c r="A404" s="447"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row>
    <row r="405" ht="12.75" customHeight="1" s="348">
      <c r="A405" s="447"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row>
    <row r="406" ht="12.75" customHeight="1" s="348">
      <c r="A406" s="447"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row>
    <row r="407" ht="12.75" customHeight="1" s="348">
      <c r="A407" s="447"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row>
    <row r="408" ht="12.75" customHeight="1" s="348">
      <c r="A408" s="447"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row>
    <row r="409" ht="12.75" customHeight="1" s="348">
      <c r="A409" s="447"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row>
    <row r="410" ht="12.75" customHeight="1" s="348">
      <c r="A410" s="447"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row>
    <row r="411" ht="12.75" customHeight="1" s="348">
      <c r="A411" s="447"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row>
    <row r="412" ht="12.75" customHeight="1" s="348">
      <c r="A412" s="447"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row>
    <row r="413" ht="12.75" customHeight="1" s="348">
      <c r="A413" s="447"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row>
    <row r="414" ht="12.75" customHeight="1" s="348">
      <c r="A414" s="447"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row>
    <row r="415" ht="12.75" customHeight="1" s="348">
      <c r="A415" s="447"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row>
    <row r="416" ht="12.75" customHeight="1" s="348">
      <c r="A416" s="447"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row>
    <row r="417" ht="12.75" customHeight="1" s="348">
      <c r="A417" s="447"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row>
    <row r="418" ht="12.75" customHeight="1" s="348">
      <c r="A418" s="447"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row>
    <row r="419" ht="12.75" customHeight="1" s="348">
      <c r="A419" s="447"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row>
    <row r="420" ht="12.75" customHeight="1" s="348">
      <c r="A420" s="447"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row>
    <row r="421" ht="12.75" customHeight="1" s="348">
      <c r="A421" s="447"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row>
    <row r="422" ht="12.75" customHeight="1" s="348">
      <c r="A422" s="447"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row>
    <row r="423" ht="12.75" customHeight="1" s="348">
      <c r="A423" s="447"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row>
    <row r="424" ht="12.75" customHeight="1" s="348">
      <c r="A424" s="447"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row>
    <row r="425" ht="12.75" customHeight="1" s="348">
      <c r="A425" s="447"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row>
    <row r="426" ht="12.75" customHeight="1" s="348">
      <c r="A426" s="447"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row>
    <row r="427" ht="12.75" customHeight="1" s="348">
      <c r="A427" s="447"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row>
    <row r="428" ht="12.75" customHeight="1" s="348">
      <c r="A428" s="447"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row>
    <row r="429" ht="12.75" customHeight="1" s="348">
      <c r="A429" s="447"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row>
    <row r="430" ht="12.75" customHeight="1" s="348">
      <c r="A430" s="447"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row>
    <row r="431" ht="12.75" customHeight="1" s="348">
      <c r="A431" s="447"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row>
    <row r="432" ht="12.75" customHeight="1" s="348">
      <c r="A432" s="447"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row>
    <row r="433" ht="12.75" customHeight="1" s="348">
      <c r="A433" s="447"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row>
    <row r="434" ht="12.75" customHeight="1" s="348">
      <c r="A434" s="447"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row>
    <row r="435" ht="12.75" customHeight="1" s="348">
      <c r="A435" s="447"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row>
    <row r="436" ht="12.75" customHeight="1" s="348">
      <c r="A436" s="447"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row>
    <row r="437" ht="12.75" customHeight="1" s="348">
      <c r="A437" s="447"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row>
    <row r="438" ht="12.75" customHeight="1" s="348">
      <c r="A438" s="447"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row>
    <row r="439" ht="12.75" customHeight="1" s="348">
      <c r="A439" s="447"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row>
    <row r="440" ht="12.75" customHeight="1" s="348">
      <c r="A440" s="447"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row>
    <row r="441" ht="12.75" customHeight="1" s="348">
      <c r="A441" s="447"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row>
    <row r="442" ht="12.75" customHeight="1" s="348">
      <c r="A442" s="447"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row>
    <row r="443" ht="12.75" customHeight="1" s="348">
      <c r="A443" s="447"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row>
    <row r="444" ht="12.75" customHeight="1" s="348">
      <c r="A444" s="447"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row>
    <row r="445" ht="12.75" customHeight="1" s="348">
      <c r="A445" s="447"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row>
    <row r="446" ht="12.75" customHeight="1" s="348">
      <c r="A446" s="447"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row>
    <row r="447" ht="12.75" customHeight="1" s="348">
      <c r="A447" s="447"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row>
    <row r="448" ht="12.75" customHeight="1" s="348">
      <c r="A448" s="447"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row>
    <row r="449" ht="12.75" customHeight="1" s="348">
      <c r="A449" s="447"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row>
    <row r="450" ht="12.75" customHeight="1" s="348">
      <c r="A450" s="447"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row>
    <row r="451" ht="12.75" customHeight="1" s="348">
      <c r="A451" s="447"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row>
    <row r="452" ht="12.75" customHeight="1" s="348">
      <c r="A452" s="447"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row>
    <row r="453" ht="12.75" customHeight="1" s="348">
      <c r="A453" s="447"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row>
    <row r="454" ht="12.75" customHeight="1" s="348">
      <c r="A454" s="447"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row>
    <row r="455" ht="12.75" customHeight="1" s="348">
      <c r="A455" s="447"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row>
    <row r="456" ht="12.75" customHeight="1" s="348">
      <c r="A456" s="447"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row>
    <row r="457" ht="12.75" customHeight="1" s="348">
      <c r="A457" s="447"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row>
    <row r="458" ht="12.75" customHeight="1" s="348">
      <c r="A458" s="447"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row>
    <row r="459" ht="12.75" customHeight="1" s="348">
      <c r="A459" s="447"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row>
    <row r="460" ht="12.75" customHeight="1" s="348">
      <c r="A460" s="447"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row>
    <row r="461" ht="12.75" customHeight="1" s="348">
      <c r="A461" s="447"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row>
    <row r="462" ht="12.75" customHeight="1" s="348">
      <c r="A462" s="447"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row>
    <row r="463" ht="12.75" customHeight="1" s="348">
      <c r="A463" s="447"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row>
    <row r="464" ht="12.75" customHeight="1" s="348">
      <c r="A464" s="447"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row>
    <row r="465" ht="12.75" customHeight="1" s="348">
      <c r="A465" s="447"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row>
    <row r="466" ht="12.75" customHeight="1" s="348">
      <c r="A466" s="447"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row>
    <row r="467" ht="12.75" customHeight="1" s="348">
      <c r="A467" s="447"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row>
    <row r="468" ht="12.75" customHeight="1" s="348">
      <c r="A468" s="447"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row>
    <row r="469" ht="12.75" customHeight="1" s="348">
      <c r="A469" s="447"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row>
    <row r="470" ht="12.75" customHeight="1" s="348">
      <c r="A470" s="447"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row>
    <row r="471" ht="12.75" customHeight="1" s="348">
      <c r="A471" s="447"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row>
    <row r="472" ht="12.75" customHeight="1" s="348">
      <c r="A472" s="447"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row>
    <row r="473" ht="12.75" customHeight="1" s="348">
      <c r="A473" s="447"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row>
    <row r="474" ht="12.75" customHeight="1" s="348">
      <c r="A474" s="447"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row>
    <row r="475" ht="12.75" customHeight="1" s="348">
      <c r="A475" s="447"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row>
    <row r="476" ht="12.75" customHeight="1" s="348">
      <c r="A476" s="447"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row>
    <row r="477" ht="12.75" customHeight="1" s="348">
      <c r="A477" s="447"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row>
    <row r="478" ht="12.75" customHeight="1" s="348">
      <c r="A478" s="447"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row>
    <row r="479" ht="12.75" customHeight="1" s="348">
      <c r="A479" s="447"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row>
    <row r="480" ht="12.75" customHeight="1" s="348">
      <c r="A480" s="447"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row>
    <row r="481" ht="12.75" customHeight="1" s="348">
      <c r="A481" s="447"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row>
    <row r="482" ht="12.75" customHeight="1" s="348">
      <c r="A482" s="447"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row>
    <row r="483" ht="12.75" customHeight="1" s="348">
      <c r="A483" s="447"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row>
    <row r="484" ht="12.75" customHeight="1" s="348">
      <c r="A484" s="447"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row>
    <row r="485" ht="12.75" customHeight="1" s="348">
      <c r="A485" s="447"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row>
    <row r="486" ht="12.75" customHeight="1" s="348">
      <c r="A486" s="447"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row>
    <row r="487" ht="12.75" customHeight="1" s="348">
      <c r="A487" s="447"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row>
    <row r="488" ht="12.75" customHeight="1" s="348">
      <c r="A488" s="447"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row>
    <row r="489" ht="12.75" customHeight="1" s="348">
      <c r="A489" s="447"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row>
    <row r="490" ht="12.75" customHeight="1" s="348">
      <c r="A490" s="447"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row>
    <row r="491" ht="12.75" customHeight="1" s="348">
      <c r="A491" s="447"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row>
    <row r="492" ht="12.75" customHeight="1" s="348">
      <c r="A492" s="447"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row>
    <row r="493" ht="12.75" customHeight="1" s="348">
      <c r="A493" s="447"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row>
    <row r="494" ht="12.75" customHeight="1" s="348">
      <c r="A494" s="447"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row>
    <row r="495" ht="12.75" customHeight="1" s="348">
      <c r="A495" s="447"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row>
    <row r="496" ht="12.75" customHeight="1" s="348">
      <c r="A496" s="447"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row>
    <row r="497" ht="12.75" customHeight="1" s="348">
      <c r="A497" s="447"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row>
    <row r="498" ht="12.75" customHeight="1" s="348">
      <c r="A498" s="447"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row>
    <row r="499" ht="12.75" customHeight="1" s="348">
      <c r="A499" s="447"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row>
    <row r="500" ht="12.75" customHeight="1" s="348">
      <c r="A500" s="447"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row>
    <row r="501" ht="12.75" customHeight="1" s="348">
      <c r="A501" s="447"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row>
    <row r="502" ht="12.75" customHeight="1" s="348">
      <c r="A502" s="447"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row>
    <row r="503" ht="12.75" customHeight="1" s="348">
      <c r="A503" s="447"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row>
    <row r="504" ht="12.75" customHeight="1" s="348">
      <c r="A504" s="447"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row>
    <row r="505" ht="12.75" customHeight="1" s="348">
      <c r="A505" s="447"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row>
    <row r="506" ht="12.75" customHeight="1" s="348">
      <c r="A506" s="447"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row>
    <row r="507" ht="12.75" customHeight="1" s="348">
      <c r="A507" s="447"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row>
    <row r="508" ht="12.75" customHeight="1" s="348">
      <c r="A508" s="447"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row>
    <row r="509" ht="12.75" customHeight="1" s="348">
      <c r="A509" s="447"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row>
    <row r="510" ht="12.75" customHeight="1" s="348">
      <c r="A510" s="447"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row>
    <row r="511" ht="12.75" customHeight="1" s="348">
      <c r="A511" s="447"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row>
    <row r="512" ht="12.75" customHeight="1" s="348">
      <c r="A512" s="447"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row>
    <row r="513" ht="12.75" customHeight="1" s="348">
      <c r="A513" s="447"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row>
    <row r="514" ht="12.75" customHeight="1" s="348">
      <c r="A514" s="447"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row>
    <row r="515" ht="12.75" customHeight="1" s="348">
      <c r="A515" s="447"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row>
    <row r="516" ht="12.75" customHeight="1" s="348">
      <c r="A516" s="447"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row>
    <row r="517" ht="12.75" customHeight="1" s="348">
      <c r="A517" s="447"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row>
    <row r="518" ht="12.75" customHeight="1" s="348">
      <c r="A518" s="447"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row>
    <row r="519" ht="12.75" customHeight="1" s="348">
      <c r="A519" s="447"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row>
    <row r="520" ht="12.75" customHeight="1" s="348">
      <c r="A520" s="447"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row>
    <row r="521" ht="12.75" customHeight="1" s="348">
      <c r="A521" s="447"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row>
    <row r="522" ht="12.75" customHeight="1" s="348">
      <c r="A522" s="447"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row>
    <row r="523" ht="12.75" customHeight="1" s="348">
      <c r="A523" s="447"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row>
    <row r="524" ht="12.75" customHeight="1" s="348">
      <c r="A524" s="447"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row>
    <row r="525" ht="12.75" customHeight="1" s="348">
      <c r="A525" s="447"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row>
    <row r="526" ht="12.75" customHeight="1" s="348">
      <c r="A526" s="447"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row>
    <row r="527" ht="12.75" customHeight="1" s="348">
      <c r="A527" s="447"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row>
    <row r="528" ht="12.75" customHeight="1" s="348">
      <c r="A528" s="447"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row>
    <row r="529" ht="12.75" customHeight="1" s="348">
      <c r="A529" s="447"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row>
    <row r="530" ht="12.75" customHeight="1" s="348">
      <c r="A530" s="447"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row>
    <row r="531" ht="12.75" customHeight="1" s="348">
      <c r="A531" s="447"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row>
    <row r="532" ht="12.75" customHeight="1" s="348">
      <c r="A532" s="447"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row>
    <row r="533" ht="12.75" customHeight="1" s="348">
      <c r="A533" s="447"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row>
    <row r="534" ht="12.75" customHeight="1" s="348">
      <c r="A534" s="447"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row>
    <row r="535" ht="12.75" customHeight="1" s="348">
      <c r="A535" s="447"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row>
    <row r="536" ht="12.75" customHeight="1" s="348">
      <c r="A536" s="447"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row>
    <row r="537" ht="12.75" customHeight="1" s="348">
      <c r="A537" s="447"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row>
    <row r="538" ht="12.75" customHeight="1" s="348">
      <c r="A538" s="447"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row>
    <row r="539" ht="12.75" customHeight="1" s="348">
      <c r="A539" s="447"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row>
    <row r="540" ht="12.75" customHeight="1" s="348">
      <c r="A540" s="447"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row>
    <row r="541" ht="12.75" customHeight="1" s="348">
      <c r="A541" s="447"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row>
    <row r="542" ht="12.75" customHeight="1" s="348">
      <c r="A542" s="447"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row>
    <row r="543" ht="12.75" customHeight="1" s="348">
      <c r="A543" s="447"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row>
    <row r="544" ht="12.75" customHeight="1" s="348">
      <c r="A544" s="447"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row>
    <row r="545" ht="12.75" customHeight="1" s="348">
      <c r="A545" s="447"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row>
    <row r="546" ht="12.75" customHeight="1" s="348">
      <c r="A546" s="447"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row>
    <row r="547" ht="12.75" customHeight="1" s="348">
      <c r="A547" s="447"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row>
    <row r="548" ht="12.75" customHeight="1" s="348">
      <c r="A548" s="447"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row>
    <row r="549" ht="12.75" customHeight="1" s="348">
      <c r="A549" s="447"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row>
    <row r="550" ht="12.75" customHeight="1" s="348">
      <c r="A550" s="447"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row>
    <row r="551" ht="12.75" customHeight="1" s="348">
      <c r="A551" s="447"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row>
    <row r="552" ht="12.75" customHeight="1" s="348">
      <c r="A552" s="447"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row>
    <row r="553" ht="12.75" customHeight="1" s="348">
      <c r="A553" s="447"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row>
    <row r="554" ht="12.75" customHeight="1" s="348">
      <c r="A554" s="447"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row>
    <row r="555" ht="12.75" customHeight="1" s="348">
      <c r="A555" s="447"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row>
    <row r="556" ht="12.75" customHeight="1" s="348">
      <c r="A556" s="447"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row>
    <row r="557" ht="12.75" customHeight="1" s="348">
      <c r="A557" s="447"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row>
    <row r="558" ht="12.75" customHeight="1" s="348">
      <c r="A558" s="447"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row>
    <row r="559" ht="12.75" customHeight="1" s="348">
      <c r="A559" s="447"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row>
    <row r="560" ht="12.75" customHeight="1" s="348">
      <c r="A560" s="447"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row>
    <row r="561" ht="12.75" customHeight="1" s="348">
      <c r="A561" s="447"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row>
    <row r="562" ht="12.75" customHeight="1" s="348">
      <c r="A562" s="447"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row>
    <row r="563" ht="12.75" customHeight="1" s="348">
      <c r="A563" s="447"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row>
    <row r="564" ht="12.75" customHeight="1" s="348">
      <c r="A564" s="447"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row>
    <row r="565" ht="12.75" customHeight="1" s="348">
      <c r="A565" s="447"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row>
    <row r="566" ht="12.75" customHeight="1" s="348">
      <c r="A566" s="447"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row>
    <row r="567" ht="12.75" customHeight="1" s="348">
      <c r="A567" s="447"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row>
    <row r="568" ht="12.75" customHeight="1" s="348">
      <c r="A568" s="447"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row>
    <row r="569" ht="12.75" customHeight="1" s="348">
      <c r="A569" s="447"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row>
    <row r="570" ht="12.75" customHeight="1" s="348">
      <c r="A570" s="447"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row>
    <row r="571" ht="12.75" customHeight="1" s="348">
      <c r="A571" s="447"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row>
    <row r="572" ht="12.75" customHeight="1" s="348">
      <c r="A572" s="447"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row>
    <row r="573" ht="12.75" customHeight="1" s="348">
      <c r="A573" s="447"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row>
    <row r="574" ht="12.75" customHeight="1" s="348">
      <c r="A574" s="447"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row>
    <row r="575" ht="12.75" customHeight="1" s="348">
      <c r="A575" s="447"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row>
    <row r="576" ht="12.75" customHeight="1" s="348">
      <c r="A576" s="447"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row>
    <row r="577" ht="12.75" customHeight="1" s="348">
      <c r="A577" s="447"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row>
    <row r="578" ht="12.75" customHeight="1" s="348">
      <c r="A578" s="447"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row>
    <row r="579" ht="12.75" customHeight="1" s="348">
      <c r="A579" s="447"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row>
    <row r="580" ht="12.75" customHeight="1" s="348">
      <c r="A580" s="447"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row>
    <row r="581" ht="12.75" customHeight="1" s="348">
      <c r="A581" s="447"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row>
    <row r="582" ht="12.75" customHeight="1" s="348">
      <c r="A582" s="447"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row>
    <row r="583" ht="12.75" customHeight="1" s="348">
      <c r="A583" s="447"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row>
    <row r="584" ht="12.75" customHeight="1" s="348">
      <c r="A584" s="447"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row>
    <row r="585" ht="12.75" customHeight="1" s="348">
      <c r="A585" s="447"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row>
    <row r="586" ht="12.75" customHeight="1" s="348">
      <c r="A586" s="447"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row>
    <row r="587" ht="12.75" customHeight="1" s="348">
      <c r="A587" s="447"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row>
    <row r="588" ht="12.75" customHeight="1" s="348">
      <c r="A588" s="447"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row>
    <row r="589" ht="12.75" customHeight="1" s="348">
      <c r="A589" s="447"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row>
    <row r="590" ht="12.75" customHeight="1" s="348">
      <c r="A590" s="447"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row>
    <row r="591" ht="12.75" customHeight="1" s="348">
      <c r="A591" s="447"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row>
    <row r="592" ht="12.75" customHeight="1" s="348">
      <c r="A592" s="447"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row>
    <row r="593" ht="12.75" customHeight="1" s="348">
      <c r="A593" s="447"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row>
    <row r="594" ht="12.75" customHeight="1" s="348">
      <c r="A594" s="447"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row>
    <row r="595" ht="12.75" customHeight="1" s="348">
      <c r="A595" s="447"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row>
    <row r="596" ht="12.75" customHeight="1" s="348">
      <c r="A596" s="447"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row>
    <row r="597" ht="12.75" customHeight="1" s="348">
      <c r="A597" s="447"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row>
    <row r="598" ht="12.75" customHeight="1" s="348">
      <c r="A598" s="447"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row>
    <row r="599" ht="12.75" customHeight="1" s="348">
      <c r="A599" s="447"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row>
    <row r="600" ht="12.75" customHeight="1" s="348">
      <c r="A600" s="447"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row>
    <row r="601" ht="12.75" customHeight="1" s="348">
      <c r="A601" s="447"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row>
    <row r="602" ht="12.75" customHeight="1" s="348">
      <c r="A602" s="447"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row>
    <row r="603" ht="12.75" customHeight="1" s="348">
      <c r="A603" s="447"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row>
    <row r="604" ht="12.75" customHeight="1" s="348">
      <c r="A604" s="447"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row>
    <row r="605" ht="12.75" customHeight="1" s="348">
      <c r="A605" s="447"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row>
    <row r="606" ht="12.75" customHeight="1" s="348">
      <c r="A606" s="447"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row>
    <row r="607" ht="12.75" customHeight="1" s="348">
      <c r="A607" s="447"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row>
    <row r="608" ht="12.75" customHeight="1" s="348">
      <c r="A608" s="447"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row>
    <row r="609" ht="12.75" customHeight="1" s="348">
      <c r="A609" s="447"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row>
    <row r="610" ht="12.75" customHeight="1" s="348">
      <c r="A610" s="447"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row>
    <row r="611" ht="12.75" customHeight="1" s="348">
      <c r="A611" s="447"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row>
    <row r="612" ht="12.75" customHeight="1" s="348">
      <c r="A612" s="447"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row>
    <row r="613" ht="12.75" customHeight="1" s="348">
      <c r="A613" s="447"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row>
    <row r="614" ht="12.75" customHeight="1" s="348">
      <c r="A614" s="447"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row>
    <row r="615" ht="12.75" customHeight="1" s="348">
      <c r="A615" s="447"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row>
    <row r="616" ht="12.75" customHeight="1" s="348">
      <c r="A616" s="447"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row>
    <row r="617" ht="12.75" customHeight="1" s="348">
      <c r="A617" s="447"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row>
    <row r="618" ht="12.75" customHeight="1" s="348">
      <c r="A618" s="447"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row>
    <row r="619" ht="12.75" customHeight="1" s="348">
      <c r="A619" s="447"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row>
    <row r="620" ht="12.75" customHeight="1" s="348">
      <c r="A620" s="447"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row>
    <row r="621" ht="12.75" customHeight="1" s="348">
      <c r="A621" s="447"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row>
    <row r="622" ht="12.75" customHeight="1" s="348">
      <c r="A622" s="447"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row>
    <row r="623" ht="12.75" customHeight="1" s="348">
      <c r="A623" s="447"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row>
    <row r="624" ht="12.75" customHeight="1" s="348">
      <c r="A624" s="447"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row>
    <row r="625" ht="12.75" customHeight="1" s="348">
      <c r="A625" s="447"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row>
    <row r="626" ht="12.75" customHeight="1" s="348">
      <c r="A626" s="447"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row>
    <row r="627" ht="12.75" customHeight="1" s="348">
      <c r="A627" s="447"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row>
    <row r="628" ht="12.75" customHeight="1" s="348">
      <c r="A628" s="447"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row>
    <row r="629" ht="12.75" customHeight="1" s="348">
      <c r="A629" s="447"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row>
    <row r="630" ht="12.75" customHeight="1" s="348">
      <c r="A630" s="447"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row>
    <row r="631" ht="12.75" customHeight="1" s="348">
      <c r="A631" s="447"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row>
    <row r="632" ht="12.75" customHeight="1" s="348">
      <c r="A632" s="447"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row>
    <row r="633" ht="12.75" customHeight="1" s="348">
      <c r="A633" s="447"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row>
    <row r="634" ht="12.75" customHeight="1" s="348">
      <c r="A634" s="447"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row>
    <row r="635" ht="12.75" customHeight="1" s="348">
      <c r="A635" s="447"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row>
    <row r="636" ht="12.75" customHeight="1" s="348">
      <c r="A636" s="447"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row>
    <row r="637" ht="12.75" customHeight="1" s="348">
      <c r="A637" s="447"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row>
    <row r="638" ht="12.75" customHeight="1" s="348">
      <c r="A638" s="447"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row>
    <row r="639" ht="12.75" customHeight="1" s="348">
      <c r="A639" s="447"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row>
    <row r="640" ht="12.75" customHeight="1" s="348">
      <c r="A640" s="447"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row>
    <row r="641" ht="12.75" customHeight="1" s="348">
      <c r="A641" s="447"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row>
    <row r="642" ht="12.75" customHeight="1" s="348">
      <c r="A642" s="447"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row>
    <row r="643" ht="12.75" customHeight="1" s="348">
      <c r="A643" s="447"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row>
    <row r="644" ht="12.75" customHeight="1" s="348">
      <c r="A644" s="447"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row>
    <row r="645" ht="12.75" customHeight="1" s="348">
      <c r="A645" s="447"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row>
    <row r="646" ht="12.75" customHeight="1" s="348">
      <c r="A646" s="447"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row>
    <row r="647" ht="12.75" customHeight="1" s="348">
      <c r="A647" s="447"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row>
    <row r="648" ht="12.75" customHeight="1" s="348">
      <c r="A648" s="447"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row>
    <row r="649" ht="12.75" customHeight="1" s="348">
      <c r="A649" s="447"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row>
    <row r="650" ht="12.75" customHeight="1" s="348">
      <c r="A650" s="447"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row>
    <row r="651" ht="12.75" customHeight="1" s="348">
      <c r="A651" s="447"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row>
    <row r="652" ht="12.75" customHeight="1" s="348">
      <c r="A652" s="447"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row>
    <row r="653" ht="12.75" customHeight="1" s="348">
      <c r="A653" s="447"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row>
    <row r="654" ht="12.75" customHeight="1" s="348">
      <c r="A654" s="447"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row>
    <row r="655" ht="12.75" customHeight="1" s="348">
      <c r="A655" s="447"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row>
    <row r="656" ht="12.75" customHeight="1" s="348">
      <c r="A656" s="447"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row>
    <row r="657" ht="12.75" customHeight="1" s="348">
      <c r="A657" s="447"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row>
    <row r="658" ht="12.75" customHeight="1" s="348">
      <c r="A658" s="447"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row>
    <row r="659" ht="12.75" customHeight="1" s="348">
      <c r="A659" s="447"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row>
    <row r="660" ht="12.75" customHeight="1" s="348">
      <c r="A660" s="447"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row>
    <row r="661" ht="12.75" customHeight="1" s="348">
      <c r="A661" s="447"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row>
    <row r="662" ht="12.75" customHeight="1" s="348">
      <c r="A662" s="447"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row>
    <row r="663" ht="12.75" customHeight="1" s="348">
      <c r="A663" s="447"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row>
    <row r="664" ht="12.75" customHeight="1" s="348">
      <c r="A664" s="447"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row>
    <row r="665" ht="12.75" customHeight="1" s="348">
      <c r="A665" s="447"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row>
    <row r="666" ht="12.75" customHeight="1" s="348">
      <c r="A666" s="447"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row>
    <row r="667" ht="12.75" customHeight="1" s="348">
      <c r="A667" s="447"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row>
    <row r="668" ht="12.75" customHeight="1" s="348">
      <c r="A668" s="447"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row>
    <row r="669" ht="12.75" customHeight="1" s="348">
      <c r="A669" s="447"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row>
    <row r="670" ht="12.75" customHeight="1" s="348">
      <c r="A670" s="447"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row>
    <row r="671" ht="12.75" customHeight="1" s="348">
      <c r="A671" s="447"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row>
    <row r="672" ht="12.75" customHeight="1" s="348">
      <c r="A672" s="447"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row>
    <row r="673" ht="12.75" customHeight="1" s="348">
      <c r="A673" s="447"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row>
    <row r="674" ht="12.75" customHeight="1" s="348">
      <c r="A674" s="447"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row>
    <row r="675" ht="12.75" customHeight="1" s="348">
      <c r="A675" s="447"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row>
    <row r="676" ht="12.75" customHeight="1" s="348">
      <c r="A676" s="447"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row>
    <row r="677" ht="12.75" customHeight="1" s="348">
      <c r="A677" s="447"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row>
    <row r="678" ht="12.75" customHeight="1" s="348">
      <c r="A678" s="447"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row>
    <row r="679" ht="12.75" customHeight="1" s="348">
      <c r="A679" s="447"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row>
    <row r="680" ht="12.75" customHeight="1" s="348">
      <c r="A680" s="447"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row>
    <row r="681" ht="12.75" customHeight="1" s="348">
      <c r="A681" s="447"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row>
    <row r="682" ht="12.75" customHeight="1" s="348">
      <c r="A682" s="447"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row>
    <row r="683" ht="12.75" customHeight="1" s="348">
      <c r="A683" s="447"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row>
    <row r="684" ht="12.75" customHeight="1" s="348">
      <c r="A684" s="447"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row>
    <row r="685" ht="12.75" customHeight="1" s="348">
      <c r="A685" s="447"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row>
    <row r="686" ht="12.75" customHeight="1" s="348">
      <c r="A686" s="447"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row>
    <row r="687" ht="12.75" customHeight="1" s="348">
      <c r="A687" s="447"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row>
    <row r="688" ht="12.75" customHeight="1" s="348">
      <c r="A688" s="447"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row>
    <row r="689" ht="12.75" customHeight="1" s="348">
      <c r="A689" s="447"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row>
    <row r="690" ht="12.75" customHeight="1" s="348">
      <c r="A690" s="447"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row>
    <row r="691" ht="12.75" customHeight="1" s="348">
      <c r="A691" s="447"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row>
    <row r="692" ht="12.75" customHeight="1" s="348">
      <c r="A692" s="447"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row>
    <row r="693" ht="12.75" customHeight="1" s="348">
      <c r="A693" s="447"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row>
    <row r="694" ht="12.75" customHeight="1" s="348">
      <c r="A694" s="447"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row>
    <row r="695" ht="12.75" customHeight="1" s="348">
      <c r="A695" s="447"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row>
    <row r="696" ht="12.75" customHeight="1" s="348">
      <c r="A696" s="447"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row>
    <row r="697" ht="12.75" customHeight="1" s="348">
      <c r="A697" s="447"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row>
    <row r="698" ht="12.75" customHeight="1" s="348">
      <c r="A698" s="447"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row>
    <row r="699" ht="12.75" customHeight="1" s="348">
      <c r="A699" s="447"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row>
    <row r="700" ht="12.75" customHeight="1" s="348">
      <c r="A700" s="447"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row>
    <row r="701" ht="12.75" customHeight="1" s="348">
      <c r="A701" s="447"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row>
    <row r="702" ht="12.75" customHeight="1" s="348">
      <c r="A702" s="447"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row>
    <row r="703" ht="12.75" customHeight="1" s="348">
      <c r="A703" s="447"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row>
    <row r="704" ht="12.75" customHeight="1" s="348">
      <c r="A704" s="447"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row>
    <row r="705" ht="12.75" customHeight="1" s="348">
      <c r="A705" s="447"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row>
    <row r="706" ht="12.75" customHeight="1" s="348">
      <c r="A706" s="447"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row>
    <row r="707" ht="12.75" customHeight="1" s="348">
      <c r="A707" s="447"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row>
    <row r="708" ht="12.75" customHeight="1" s="348">
      <c r="A708" s="447"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row>
    <row r="709" ht="12.75" customHeight="1" s="348">
      <c r="A709" s="447"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row>
    <row r="710" ht="12.75" customHeight="1" s="348">
      <c r="A710" s="447"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row>
    <row r="711" ht="12.75" customHeight="1" s="348">
      <c r="A711" s="447"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row>
    <row r="712" ht="12.75" customHeight="1" s="348">
      <c r="A712" s="447"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row>
    <row r="713" ht="12.75" customHeight="1" s="348">
      <c r="A713" s="447"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row>
    <row r="714" ht="12.75" customHeight="1" s="348">
      <c r="A714" s="447"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row>
    <row r="715" ht="12.75" customHeight="1" s="348">
      <c r="A715" s="447"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row>
    <row r="716" ht="12.75" customHeight="1" s="348">
      <c r="A716" s="447"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row>
    <row r="717" ht="12.75" customHeight="1" s="348">
      <c r="A717" s="447"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row>
    <row r="718" ht="12.75" customHeight="1" s="348">
      <c r="A718" s="447"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row>
    <row r="719" ht="12.75" customHeight="1" s="348">
      <c r="A719" s="447"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row>
    <row r="720" ht="12.75" customHeight="1" s="348">
      <c r="A720" s="447"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row>
    <row r="721" ht="12.75" customHeight="1" s="348">
      <c r="A721" s="447"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row>
    <row r="722" ht="12.75" customHeight="1" s="348">
      <c r="A722" s="447"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row>
    <row r="723" ht="12.75" customHeight="1" s="348">
      <c r="A723" s="447"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row>
    <row r="724" ht="12.75" customHeight="1" s="348">
      <c r="A724" s="447"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row>
    <row r="725" ht="12.75" customHeight="1" s="348">
      <c r="A725" s="447"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row>
    <row r="726" ht="12.75" customHeight="1" s="348">
      <c r="A726" s="447"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row>
    <row r="727" ht="12.75" customHeight="1" s="348">
      <c r="A727" s="447"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row>
    <row r="728" ht="12.75" customHeight="1" s="348">
      <c r="A728" s="447"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row>
    <row r="729" ht="12.75" customHeight="1" s="348">
      <c r="A729" s="447"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row>
    <row r="730" ht="12.75" customHeight="1" s="348">
      <c r="A730" s="447"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row>
    <row r="731" ht="12.75" customHeight="1" s="348">
      <c r="A731" s="447"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row>
    <row r="732" ht="12.75" customHeight="1" s="348">
      <c r="A732" s="447"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row>
    <row r="733" ht="12.75" customHeight="1" s="348">
      <c r="A733" s="447"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row>
    <row r="734" ht="12.75" customHeight="1" s="348">
      <c r="A734" s="447"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row>
    <row r="735" ht="12.75" customHeight="1" s="348">
      <c r="A735" s="447"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row>
    <row r="736" ht="12.75" customHeight="1" s="348">
      <c r="A736" s="447"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row>
    <row r="737" ht="12.75" customHeight="1" s="348">
      <c r="A737" s="447"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row>
    <row r="738" ht="12.75" customHeight="1" s="348">
      <c r="A738" s="447"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row>
    <row r="739" ht="12.75" customHeight="1" s="348">
      <c r="A739" s="447"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row>
    <row r="740" ht="12.75" customHeight="1" s="348">
      <c r="A740" s="447"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row>
    <row r="741" ht="12.75" customHeight="1" s="348">
      <c r="A741" s="447"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row>
    <row r="742" ht="12.75" customHeight="1" s="348">
      <c r="A742" s="447"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row>
    <row r="743" ht="12.75" customHeight="1" s="348">
      <c r="A743" s="447"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row>
    <row r="744" ht="12.75" customHeight="1" s="348">
      <c r="A744" s="447"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row>
    <row r="745" ht="12.75" customHeight="1" s="348">
      <c r="A745" s="447"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row>
    <row r="746" ht="12.75" customHeight="1" s="348">
      <c r="A746" s="447"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row>
    <row r="747" ht="12.75" customHeight="1" s="348">
      <c r="A747" s="447"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row>
    <row r="748" ht="12.75" customHeight="1" s="348">
      <c r="A748" s="447"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row>
    <row r="749" ht="12.75" customHeight="1" s="348">
      <c r="A749" s="447"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row>
    <row r="750" ht="12.75" customHeight="1" s="348">
      <c r="A750" s="447"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row>
    <row r="751" ht="12.75" customHeight="1" s="348">
      <c r="A751" s="447"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row>
    <row r="752" ht="12.75" customHeight="1" s="348">
      <c r="A752" s="447"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row>
    <row r="753" ht="12.75" customHeight="1" s="348">
      <c r="A753" s="447"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row>
    <row r="754" ht="12.75" customHeight="1" s="348">
      <c r="A754" s="447"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row>
    <row r="755" ht="12.75" customHeight="1" s="348">
      <c r="A755" s="447"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row>
    <row r="756" ht="12.75" customHeight="1" s="348">
      <c r="A756" s="447"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row>
    <row r="757" ht="12.75" customHeight="1" s="348">
      <c r="A757" s="447"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row>
    <row r="758" ht="12.75" customHeight="1" s="348">
      <c r="A758" s="447"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row>
    <row r="759" ht="12.75" customHeight="1" s="348">
      <c r="A759" s="447"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row>
    <row r="760" ht="12.75" customHeight="1" s="348">
      <c r="A760" s="447"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row>
    <row r="761" ht="12.75" customHeight="1" s="348">
      <c r="A761" s="447"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row>
    <row r="762" ht="12.75" customHeight="1" s="348">
      <c r="A762" s="447"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row>
    <row r="763" ht="12.75" customHeight="1" s="348">
      <c r="A763" s="447"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row>
    <row r="764" ht="12.75" customHeight="1" s="348">
      <c r="A764" s="447"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row>
    <row r="765" ht="12.75" customHeight="1" s="348">
      <c r="A765" s="447"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row>
    <row r="766" ht="12.75" customHeight="1" s="348">
      <c r="A766" s="447"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row>
    <row r="767" ht="12.75" customHeight="1" s="348">
      <c r="A767" s="447"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row>
    <row r="768" ht="12.75" customHeight="1" s="348">
      <c r="A768" s="447"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row>
    <row r="769" ht="12.75" customHeight="1" s="348">
      <c r="A769" s="447"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row>
    <row r="770" ht="12.75" customHeight="1" s="348">
      <c r="A770" s="447"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row>
    <row r="771" ht="12.75" customHeight="1" s="348">
      <c r="A771" s="447"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row>
    <row r="772" ht="12.75" customHeight="1" s="348">
      <c r="A772" s="447"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row>
    <row r="773" ht="12.75" customHeight="1" s="348">
      <c r="A773" s="447"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row>
    <row r="774" ht="12.75" customHeight="1" s="348">
      <c r="A774" s="447"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row>
    <row r="775" ht="12.75" customHeight="1" s="348">
      <c r="A775" s="447"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row>
    <row r="776" ht="12.75" customHeight="1" s="348">
      <c r="A776" s="447"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row>
    <row r="777" ht="12.75" customHeight="1" s="348">
      <c r="A777" s="447"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row>
    <row r="778" ht="12.75" customHeight="1" s="348">
      <c r="A778" s="447"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row>
    <row r="779" ht="12.75" customHeight="1" s="348">
      <c r="A779" s="447"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row>
    <row r="780" ht="12.75" customHeight="1" s="348">
      <c r="A780" s="447"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row>
    <row r="781" ht="12.75" customHeight="1" s="348">
      <c r="A781" s="447"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row>
    <row r="782" ht="12.75" customHeight="1" s="348">
      <c r="A782" s="447"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row>
    <row r="783" ht="12.75" customHeight="1" s="348">
      <c r="A783" s="447"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row>
    <row r="784" ht="12.75" customHeight="1" s="348">
      <c r="A784" s="447"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row>
    <row r="785" ht="12.75" customHeight="1" s="348">
      <c r="A785" s="447"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row>
    <row r="786" ht="12.75" customHeight="1" s="348">
      <c r="A786" s="447"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row>
    <row r="787" ht="12.75" customHeight="1" s="348">
      <c r="A787" s="447"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row>
    <row r="788" ht="12.75" customHeight="1" s="348">
      <c r="A788" s="447"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row>
    <row r="789" ht="12.75" customHeight="1" s="348">
      <c r="A789" s="447"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row>
    <row r="790" ht="12.75" customHeight="1" s="348">
      <c r="A790" s="447"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row>
    <row r="791" ht="12.75" customHeight="1" s="348">
      <c r="A791" s="447"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row>
    <row r="792" ht="12.75" customHeight="1" s="348">
      <c r="A792" s="447"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row>
    <row r="793" ht="12.75" customHeight="1" s="348">
      <c r="A793" s="447"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row>
    <row r="794" ht="12.75" customHeight="1" s="348">
      <c r="A794" s="447"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row>
    <row r="795" ht="12.75" customHeight="1" s="348">
      <c r="A795" s="447"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row>
    <row r="796" ht="12.75" customHeight="1" s="348">
      <c r="A796" s="447"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row>
    <row r="797" ht="12.75" customHeight="1" s="348">
      <c r="A797" s="447"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row>
    <row r="798" ht="12.75" customHeight="1" s="348">
      <c r="A798" s="447"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row>
    <row r="799" ht="12.75" customHeight="1" s="348">
      <c r="A799" s="447"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row>
    <row r="800" ht="12.75" customHeight="1" s="348">
      <c r="A800" s="447"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row>
    <row r="801" ht="12.75" customHeight="1" s="348">
      <c r="A801" s="447"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row>
    <row r="802" ht="12.75" customHeight="1" s="348">
      <c r="A802" s="447"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row>
    <row r="803" ht="12.75" customHeight="1" s="348">
      <c r="A803" s="447"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row>
    <row r="804" ht="12.75" customHeight="1" s="348">
      <c r="A804" s="447"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row>
    <row r="805" ht="12.75" customHeight="1" s="348">
      <c r="A805" s="447"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row>
    <row r="806" ht="12.75" customHeight="1" s="348">
      <c r="A806" s="447"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row>
    <row r="807" ht="12.75" customHeight="1" s="348">
      <c r="A807" s="447"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row>
    <row r="808" ht="12.75" customHeight="1" s="348">
      <c r="A808" s="447"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row>
    <row r="809" ht="12.75" customHeight="1" s="348">
      <c r="A809" s="447"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row>
    <row r="810" ht="12.75" customHeight="1" s="348">
      <c r="A810" s="447"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row>
    <row r="811" ht="12.75" customHeight="1" s="348">
      <c r="A811" s="447"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row>
    <row r="812" ht="12.75" customHeight="1" s="348">
      <c r="A812" s="447"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row>
    <row r="813" ht="12.75" customHeight="1" s="348">
      <c r="A813" s="447"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row>
    <row r="814" ht="12.75" customHeight="1" s="348">
      <c r="A814" s="447"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row>
    <row r="815" ht="12.75" customHeight="1" s="348">
      <c r="A815" s="447"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row>
    <row r="816" ht="12.75" customHeight="1" s="348">
      <c r="A816" s="447"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row>
    <row r="817" ht="12.75" customHeight="1" s="348">
      <c r="A817" s="447"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row>
    <row r="818" ht="12.75" customHeight="1" s="348">
      <c r="A818" s="447"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row>
    <row r="819" ht="12.75" customHeight="1" s="348">
      <c r="A819" s="447"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row>
    <row r="820" ht="12.75" customHeight="1" s="348">
      <c r="A820" s="447"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row>
    <row r="821" ht="12.75" customHeight="1" s="348">
      <c r="A821" s="447"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row>
    <row r="822" ht="12.75" customHeight="1" s="348">
      <c r="A822" s="447"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row>
    <row r="823" ht="12.75" customHeight="1" s="348">
      <c r="A823" s="447"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row>
    <row r="824" ht="12.75" customHeight="1" s="348">
      <c r="A824" s="447"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row>
    <row r="825" ht="12.75" customHeight="1" s="348">
      <c r="A825" s="447"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row>
    <row r="826" ht="12.75" customHeight="1" s="348">
      <c r="A826" s="447"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row>
    <row r="827" ht="12.75" customHeight="1" s="348">
      <c r="A827" s="447"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row>
    <row r="828" ht="12.75" customHeight="1" s="348">
      <c r="A828" s="447"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row>
    <row r="829" ht="12.75" customHeight="1" s="348">
      <c r="A829" s="447"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row>
    <row r="830" ht="12.75" customHeight="1" s="348">
      <c r="A830" s="447"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row>
    <row r="831" ht="12.75" customHeight="1" s="348">
      <c r="A831" s="447"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row>
    <row r="832" ht="12.75" customHeight="1" s="348">
      <c r="A832" s="447"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row>
    <row r="833" ht="12.75" customHeight="1" s="348">
      <c r="A833" s="447"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row>
    <row r="834" ht="12.75" customHeight="1" s="348">
      <c r="A834" s="447"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row>
    <row r="835" ht="12.75" customHeight="1" s="348">
      <c r="A835" s="447"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row>
    <row r="836" ht="12.75" customHeight="1" s="348">
      <c r="A836" s="447"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row>
    <row r="837" ht="12.75" customHeight="1" s="348">
      <c r="A837" s="447"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row>
    <row r="838" ht="12.75" customHeight="1" s="348">
      <c r="A838" s="447"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row>
    <row r="839" ht="12.75" customHeight="1" s="348">
      <c r="A839" s="447"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row>
    <row r="840" ht="12.75" customHeight="1" s="348">
      <c r="A840" s="447"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row>
    <row r="841" ht="12.75" customHeight="1" s="348">
      <c r="A841" s="447"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row>
    <row r="842" ht="12.75" customHeight="1" s="348">
      <c r="A842" s="447"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row>
    <row r="843" ht="12.75" customHeight="1" s="348">
      <c r="A843" s="447"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row>
    <row r="844" ht="12.75" customHeight="1" s="348">
      <c r="A844" s="447"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row>
    <row r="845" ht="12.75" customHeight="1" s="348">
      <c r="A845" s="447"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row>
    <row r="846" ht="12.75" customHeight="1" s="348">
      <c r="A846" s="447"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row>
    <row r="847" ht="12.75" customHeight="1" s="348">
      <c r="A847" s="447"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row>
    <row r="848" ht="12.75" customHeight="1" s="348">
      <c r="A848" s="447"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row>
    <row r="849" ht="12.75" customHeight="1" s="348">
      <c r="A849" s="447"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row>
    <row r="850" ht="12.75" customHeight="1" s="348">
      <c r="A850" s="447"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row>
    <row r="851" ht="12.75" customHeight="1" s="348">
      <c r="A851" s="447"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row>
    <row r="852" ht="12.75" customHeight="1" s="348">
      <c r="A852" s="447"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row>
    <row r="853" ht="12.75" customHeight="1" s="348">
      <c r="A853" s="447"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row>
    <row r="854" ht="12.75" customHeight="1" s="348">
      <c r="A854" s="447"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row>
    <row r="855" ht="12.75" customHeight="1" s="348">
      <c r="A855" s="447"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row>
    <row r="856" ht="12.75" customHeight="1" s="348">
      <c r="A856" s="447"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row>
    <row r="857" ht="12.75" customHeight="1" s="348">
      <c r="A857" s="447"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row>
    <row r="858" ht="12.75" customHeight="1" s="348">
      <c r="A858" s="447"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row>
    <row r="859" ht="12.75" customHeight="1" s="348">
      <c r="A859" s="447"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row>
    <row r="860" ht="12.75" customHeight="1" s="348">
      <c r="A860" s="447"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row>
    <row r="861" ht="12.75" customHeight="1" s="348">
      <c r="A861" s="447"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row>
    <row r="862" ht="12.75" customHeight="1" s="348">
      <c r="A862" s="447"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row>
    <row r="863" ht="12.75" customHeight="1" s="348">
      <c r="A863" s="447"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row>
    <row r="864" ht="12.75" customHeight="1" s="348">
      <c r="A864" s="447"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row>
    <row r="865" ht="12.75" customHeight="1" s="348">
      <c r="A865" s="447"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row>
    <row r="866" ht="12.75" customHeight="1" s="348">
      <c r="A866" s="447"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row>
    <row r="867" ht="12.75" customHeight="1" s="348">
      <c r="A867" s="447"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row>
    <row r="868" ht="12.75" customHeight="1" s="348">
      <c r="A868" s="447"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row>
    <row r="869" ht="12.75" customHeight="1" s="348">
      <c r="A869" s="447"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row>
    <row r="870" ht="12.75" customHeight="1" s="348">
      <c r="A870" s="447"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row>
    <row r="871" ht="12.75" customHeight="1" s="348">
      <c r="A871" s="447"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row>
    <row r="872" ht="12.75" customHeight="1" s="348">
      <c r="A872" s="447"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row>
    <row r="873" ht="12.75" customHeight="1" s="348">
      <c r="A873" s="447"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row>
    <row r="874" ht="12.75" customHeight="1" s="348">
      <c r="A874" s="447"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row>
    <row r="875" ht="12.75" customHeight="1" s="348">
      <c r="A875" s="447"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row>
    <row r="876" ht="12.75" customHeight="1" s="348">
      <c r="A876" s="447"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row>
    <row r="877" ht="12.75" customHeight="1" s="348">
      <c r="A877" s="447"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row>
    <row r="878" ht="12.75" customHeight="1" s="348">
      <c r="A878" s="447"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row>
    <row r="879" ht="12.75" customHeight="1" s="348">
      <c r="A879" s="447"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row>
    <row r="880" ht="12.75" customHeight="1" s="348">
      <c r="A880" s="447"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row>
    <row r="881" ht="12.75" customHeight="1" s="348">
      <c r="A881" s="447"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row>
    <row r="882" ht="12.75" customHeight="1" s="348">
      <c r="A882" s="447"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row>
    <row r="883" ht="12.75" customHeight="1" s="348">
      <c r="A883" s="447"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row>
    <row r="884" ht="12.75" customHeight="1" s="348">
      <c r="A884" s="447"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row>
    <row r="885" ht="12.75" customHeight="1" s="348">
      <c r="A885" s="447"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row>
    <row r="886" ht="12.75" customHeight="1" s="348">
      <c r="A886" s="447"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row>
    <row r="887" ht="12.75" customHeight="1" s="348">
      <c r="A887" s="447"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row>
    <row r="888" ht="12.75" customHeight="1" s="348">
      <c r="A888" s="447"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row>
    <row r="889" ht="12.75" customHeight="1" s="348">
      <c r="A889" s="447"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row>
    <row r="890" ht="12.75" customHeight="1" s="348">
      <c r="A890" s="447"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row>
    <row r="891" ht="12.75" customHeight="1" s="348">
      <c r="A891" s="447"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row>
    <row r="892" ht="12.75" customHeight="1" s="348">
      <c r="A892" s="447"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row>
    <row r="893" ht="12.75" customHeight="1" s="348">
      <c r="A893" s="447"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row>
    <row r="894" ht="12.75" customHeight="1" s="348">
      <c r="A894" s="447"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row>
    <row r="895" ht="12.75" customHeight="1" s="348">
      <c r="A895" s="447"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row>
    <row r="896" ht="12.75" customHeight="1" s="348">
      <c r="A896" s="447"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row>
    <row r="897" ht="12.75" customHeight="1" s="348">
      <c r="A897" s="447"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row>
    <row r="898" ht="12.75" customHeight="1" s="348">
      <c r="A898" s="447"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row>
    <row r="899" ht="12.75" customHeight="1" s="348">
      <c r="A899" s="447"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row>
    <row r="900" ht="12.75" customHeight="1" s="348">
      <c r="A900" s="447"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row>
    <row r="901" ht="12.75" customHeight="1" s="348">
      <c r="A901" s="447"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row>
    <row r="902" ht="12.75" customHeight="1" s="348">
      <c r="A902" s="447"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row>
    <row r="903" ht="12.75" customHeight="1" s="348">
      <c r="A903" s="447"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row>
    <row r="904" ht="12.75" customHeight="1" s="348">
      <c r="A904" s="447"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row>
    <row r="905" ht="12.75" customHeight="1" s="348">
      <c r="A905" s="447"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row>
    <row r="906" ht="12.75" customHeight="1" s="348">
      <c r="A906" s="447"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row>
    <row r="907" ht="12.75" customHeight="1" s="348">
      <c r="A907" s="447"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row>
    <row r="908" ht="12.75" customHeight="1" s="348">
      <c r="A908" s="447"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row>
    <row r="909" ht="12.75" customHeight="1" s="348">
      <c r="A909" s="447"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row>
    <row r="910" ht="12.75" customHeight="1" s="348">
      <c r="A910" s="447"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row>
    <row r="911" ht="12.75" customHeight="1" s="348">
      <c r="A911" s="447"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row>
    <row r="912" ht="12.75" customHeight="1" s="348">
      <c r="A912" s="447"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row>
    <row r="913" ht="12.75" customHeight="1" s="348">
      <c r="A913" s="447"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row>
    <row r="914" ht="12.75" customHeight="1" s="348">
      <c r="A914" s="447"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row>
    <row r="915" ht="12.75" customHeight="1" s="348">
      <c r="A915" s="447"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row>
    <row r="916" ht="12.75" customHeight="1" s="348">
      <c r="A916" s="447"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row>
    <row r="917" ht="12.75" customHeight="1" s="348">
      <c r="A917" s="447"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row>
    <row r="918" ht="12.75" customHeight="1" s="348">
      <c r="A918" s="447"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row>
    <row r="919" ht="12.75" customHeight="1" s="348">
      <c r="A919" s="447"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row>
    <row r="920" ht="12.75" customHeight="1" s="348">
      <c r="A920" s="447"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row>
    <row r="921" ht="12.75" customHeight="1" s="348">
      <c r="A921" s="447"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row>
    <row r="922" ht="12.75" customHeight="1" s="348">
      <c r="A922" s="447"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row>
    <row r="923" ht="12.75" customHeight="1" s="348">
      <c r="A923" s="447"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row>
    <row r="924" ht="12.75" customHeight="1" s="348">
      <c r="A924" s="447"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row>
    <row r="925" ht="12.75" customHeight="1" s="348">
      <c r="A925" s="447"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row>
    <row r="926" ht="12.75" customHeight="1" s="348">
      <c r="A926" s="447"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row>
    <row r="927" ht="12.75" customHeight="1" s="348">
      <c r="A927" s="447"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row>
    <row r="928" ht="12.75" customHeight="1" s="348">
      <c r="A928" s="447"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row>
    <row r="929" ht="12.75" customHeight="1" s="348">
      <c r="A929" s="447"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row>
    <row r="930" ht="12.75" customHeight="1" s="348">
      <c r="A930" s="447"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row>
    <row r="931" ht="12.75" customHeight="1" s="348">
      <c r="A931" s="447"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row>
    <row r="932" ht="12.75" customHeight="1" s="348">
      <c r="A932" s="447"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row>
    <row r="933" ht="12.75" customHeight="1" s="348">
      <c r="A933" s="447"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row>
    <row r="934" ht="12.75" customHeight="1" s="348">
      <c r="A934" s="447"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row>
    <row r="935" ht="12.75" customHeight="1" s="348">
      <c r="A935" s="447"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row>
    <row r="936" ht="12.75" customHeight="1" s="348">
      <c r="A936" s="447"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row>
    <row r="937" ht="12.75" customHeight="1" s="348">
      <c r="A937" s="447"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row>
    <row r="938" ht="12.75" customHeight="1" s="348">
      <c r="A938" s="447"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row>
    <row r="939" ht="12.75" customHeight="1" s="348">
      <c r="A939" s="447"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row>
    <row r="940" ht="12.75" customHeight="1" s="348">
      <c r="A940" s="447"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row>
    <row r="941" ht="12.75" customHeight="1" s="348">
      <c r="A941" s="447"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row>
    <row r="942" ht="12.75" customHeight="1" s="348">
      <c r="A942" s="447"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row>
    <row r="943" ht="12.75" customHeight="1" s="348">
      <c r="A943" s="447"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row>
    <row r="944" ht="12.75" customHeight="1" s="348">
      <c r="A944" s="447"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row>
    <row r="945" ht="12.75" customHeight="1" s="348">
      <c r="A945" s="447"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row>
    <row r="946" ht="12.75" customHeight="1" s="348">
      <c r="A946" s="447"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row>
    <row r="947" ht="12.75" customHeight="1" s="348">
      <c r="A947" s="447"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row>
    <row r="948" ht="12.75" customHeight="1" s="348">
      <c r="A948" s="447"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row>
    <row r="949" ht="12.75" customHeight="1" s="348">
      <c r="A949" s="447"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row>
    <row r="950" ht="12.75" customHeight="1" s="348">
      <c r="A950" s="447"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row>
    <row r="951" ht="12.75" customHeight="1" s="348">
      <c r="A951" s="447"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row>
    <row r="952" ht="12.75" customHeight="1" s="348">
      <c r="A952" s="447"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row>
    <row r="953" ht="12.75" customHeight="1" s="348">
      <c r="A953" s="447"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row>
    <row r="954" ht="12.75" customHeight="1" s="348">
      <c r="A954" s="447"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row>
    <row r="955" ht="12.75" customHeight="1" s="348">
      <c r="A955" s="447"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row>
    <row r="956" ht="12.75" customHeight="1" s="348">
      <c r="A956" s="447"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row>
    <row r="957" ht="12.75" customHeight="1" s="348">
      <c r="A957" s="447"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row>
    <row r="958" ht="12.75" customHeight="1" s="348">
      <c r="A958" s="447"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row>
    <row r="959" ht="12.75" customHeight="1" s="348">
      <c r="A959" s="447"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row>
    <row r="960" ht="12.75" customHeight="1" s="348">
      <c r="A960" s="447"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row>
    <row r="961" ht="12.75" customHeight="1" s="348">
      <c r="A961" s="447"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row>
    <row r="962" ht="12.75" customHeight="1" s="348">
      <c r="A962" s="447"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row>
    <row r="963" ht="12.75" customHeight="1" s="348">
      <c r="A963" s="447"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row>
    <row r="964" ht="12.75" customHeight="1" s="348">
      <c r="A964" s="447"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row>
    <row r="965" ht="12.75" customHeight="1" s="348">
      <c r="A965" s="447"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row>
    <row r="966" ht="12.75" customHeight="1" s="348">
      <c r="A966" s="447"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row>
    <row r="967" ht="12.75" customHeight="1" s="348">
      <c r="A967" s="447"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row>
    <row r="968" ht="12.75" customHeight="1" s="348">
      <c r="A968" s="447"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row>
    <row r="969" ht="12.75" customHeight="1" s="348">
      <c r="A969" s="447"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row>
    <row r="970" ht="12.75" customHeight="1" s="348">
      <c r="A970" s="447"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row>
    <row r="971" ht="12.75" customHeight="1" s="348">
      <c r="A971" s="447"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row>
    <row r="972" ht="12.75" customHeight="1" s="348">
      <c r="A972" s="447"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row>
    <row r="973" ht="12.75" customHeight="1" s="348">
      <c r="A973" s="447"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row>
    <row r="974" ht="12.75" customHeight="1" s="348">
      <c r="A974" s="447"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row>
    <row r="975" ht="12.75" customHeight="1" s="348">
      <c r="A975" s="447"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row>
    <row r="976" ht="12.75" customHeight="1" s="348">
      <c r="A976" s="447"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row>
    <row r="977" ht="12.75" customHeight="1" s="348">
      <c r="A977" s="447"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row>
    <row r="978" ht="12.75" customHeight="1" s="348">
      <c r="A978" s="447"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row>
    <row r="979" ht="12.75" customHeight="1" s="348">
      <c r="A979" s="447"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row>
    <row r="980" ht="12.75" customHeight="1" s="348">
      <c r="A980" s="447"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row>
    <row r="981" ht="12.75" customHeight="1" s="348">
      <c r="A981" s="447"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row>
    <row r="982" ht="12.75" customHeight="1" s="348">
      <c r="A982" s="447"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row>
    <row r="983" ht="12.75" customHeight="1" s="348">
      <c r="A983" s="447"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row>
    <row r="984" ht="12.75" customHeight="1" s="348">
      <c r="A984" s="447"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row>
    <row r="985" ht="12.75" customHeight="1" s="348">
      <c r="A985" s="447"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row>
    <row r="986" ht="12.75" customHeight="1" s="348">
      <c r="A986" s="447"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row>
    <row r="987" ht="12.75" customHeight="1" s="348">
      <c r="A987" s="447"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row>
    <row r="988" ht="12.75" customHeight="1" s="348">
      <c r="A988" s="447"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row>
    <row r="989" ht="12.75" customHeight="1" s="348">
      <c r="A989" s="447"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row>
    <row r="990" ht="12.75" customHeight="1" s="348">
      <c r="A990" s="447"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row>
    <row r="991" ht="12.75" customHeight="1" s="348">
      <c r="A991" s="447"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row>
    <row r="992" ht="12.75" customHeight="1" s="348">
      <c r="A992" s="447"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row>
    <row r="993" ht="12.75" customHeight="1" s="348">
      <c r="A993" s="447"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row>
    <row r="994" ht="12.75" customHeight="1" s="348">
      <c r="A994" s="447"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row>
    <row r="995" ht="12.75" customHeight="1" s="348">
      <c r="A995" s="447"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row>
    <row r="996" ht="12.75" customHeight="1" s="348">
      <c r="A996" s="447"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row>
    <row r="997" ht="12.75" customHeight="1" s="348">
      <c r="A997" s="447"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row>
    <row r="998" ht="12.75" customHeight="1" s="348">
      <c r="A998" s="447"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row>
    <row r="999" ht="12.75" customHeight="1" s="348">
      <c r="A999" s="447"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row>
    <row r="1000" ht="12.75" customHeight="1" s="348">
      <c r="A1000" s="447"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row>
    <row r="1001" ht="12.75" customHeight="1" s="348">
      <c r="A1001" s="447"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row>
  </sheetData>
  <mergeCells count="32">
    <mergeCell ref="B11:D11"/>
    <mergeCell ref="B8:D8"/>
    <mergeCell ref="C42:D42"/>
    <mergeCell ref="B3:F3"/>
    <mergeCell ref="H41:I41"/>
    <mergeCell ref="F40:G40"/>
    <mergeCell ref="H40:I40"/>
    <mergeCell ref="B10:D10"/>
    <mergeCell ref="H39:I39"/>
    <mergeCell ref="C41:D41"/>
    <mergeCell ref="B9:D9"/>
    <mergeCell ref="B60:C60"/>
    <mergeCell ref="F42:G42"/>
    <mergeCell ref="C40:D40"/>
    <mergeCell ref="B14:F14"/>
    <mergeCell ref="F41:G41"/>
    <mergeCell ref="B6:D6"/>
    <mergeCell ref="B44:F44"/>
    <mergeCell ref="B5:D5"/>
    <mergeCell ref="B38:F38"/>
    <mergeCell ref="B4:D4"/>
    <mergeCell ref="B7:D7"/>
    <mergeCell ref="B49:C49"/>
    <mergeCell ref="C39:D39"/>
    <mergeCell ref="F39:G39"/>
    <mergeCell ref="B51:C51"/>
    <mergeCell ref="A1:F1"/>
    <mergeCell ref="H42:I42"/>
    <mergeCell ref="B52:D52"/>
    <mergeCell ref="B21:D21"/>
    <mergeCell ref="B50:C50"/>
    <mergeCell ref="B12:D12"/>
  </mergeCells>
  <pageMargins left="0.75" right="0.75" top="1" bottom="1" header="0" footer="0"/>
  <pageSetup orientation="portrait" scale="75"/>
  <headerFooter>
    <oddHeader>&amp;LCommon Data Set 2021-2022</oddHeader>
    <oddFooter>&amp;C&amp;A&amp;RPage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showGridLines="0" zoomScale="145" zoomScaleNormal="145" workbookViewId="0">
      <selection activeCell="A1" sqref="A1:E1"/>
    </sheetView>
  </sheetViews>
  <sheetFormatPr baseColWidth="8" defaultColWidth="12.7109375" defaultRowHeight="15" customHeight="1"/>
  <cols>
    <col width="3.7109375" customWidth="1" style="366" min="1" max="1"/>
    <col width="31.7109375" customWidth="1" style="366" min="2" max="2"/>
    <col width="18.7109375" customWidth="1" style="366" min="3" max="5"/>
    <col width="0.7109375" customWidth="1" style="366" min="6" max="6"/>
    <col width="8.7109375" customWidth="1" style="366" min="7" max="26"/>
    <col width="12.7109375" customWidth="1" style="366" min="27" max="16384"/>
  </cols>
  <sheetData>
    <row r="1" ht="12.75" customHeight="1" s="348">
      <c r="A1" s="363" t="inlineStr">
        <is>
          <t>G. ANNUAL EXPENSES</t>
        </is>
      </c>
      <c r="F1" s="453" t="n"/>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6.75" customHeight="1" s="348">
      <c r="A2" s="192" t="n"/>
      <c r="B2" s="192" t="n"/>
      <c r="C2" s="192" t="n"/>
      <c r="D2" s="192" t="n"/>
      <c r="E2" s="192"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26" t="inlineStr">
        <is>
          <t>G0</t>
        </is>
      </c>
      <c r="B3" s="460" t="inlineStr">
        <is>
          <t>Please provide the URL of your institution’s net price calculator:</t>
        </is>
      </c>
      <c r="C3" s="460" t="n"/>
      <c r="D3" s="460" t="n"/>
      <c r="E3" s="460" t="n"/>
      <c r="F3" s="453" t="n"/>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12.75" customHeight="1" s="348">
      <c r="A4" s="415" t="n"/>
      <c r="B4" s="451" t="inlineStr">
        <is>
          <t>https://secure.osfa.illinois.edu/NPC/NPC.asp</t>
        </is>
      </c>
      <c r="C4" s="498" t="n"/>
      <c r="D4" s="498" t="n"/>
      <c r="E4" s="498" t="n"/>
      <c r="F4" s="453" t="n"/>
      <c r="G4" s="453"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12.75" customHeight="1" s="348">
      <c r="A5" s="415" t="n"/>
      <c r="B5" s="161" t="n"/>
      <c r="C5" s="161" t="n"/>
      <c r="D5" s="161" t="n"/>
      <c r="E5" s="161" t="n"/>
      <c r="F5" s="453" t="n"/>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27.75" customHeight="1" s="348">
      <c r="A6" s="415" t="n"/>
      <c r="B6" s="401" t="inlineStr">
        <is>
          <t>Provide 2023-2024 academic year costs of attendance for the following categories that are applicable to your institution.</t>
        </is>
      </c>
      <c r="G6" s="401" t="n"/>
      <c r="H6" s="401" t="n"/>
      <c r="I6" s="401" t="n"/>
      <c r="J6" s="401" t="n"/>
      <c r="K6" s="401" t="n"/>
      <c r="L6" s="401" t="n"/>
      <c r="M6" s="401" t="n"/>
      <c r="N6" s="401" t="n"/>
      <c r="O6" s="401" t="n"/>
      <c r="P6" s="401" t="n"/>
      <c r="Q6" s="401" t="n"/>
      <c r="R6" s="401" t="n"/>
      <c r="S6" s="401" t="n"/>
      <c r="T6" s="401" t="n"/>
      <c r="U6" s="401" t="n"/>
      <c r="V6" s="401" t="n"/>
      <c r="W6" s="401" t="n"/>
      <c r="X6" s="401" t="n"/>
      <c r="Y6" s="401" t="n"/>
      <c r="Z6" s="401" t="n"/>
    </row>
    <row r="7" ht="14.25" customHeight="1" s="348">
      <c r="A7" s="415" t="n"/>
      <c r="B7" s="401" t="n"/>
      <c r="C7" s="401" t="n"/>
      <c r="D7" s="401" t="n"/>
      <c r="E7" s="401" t="n"/>
      <c r="F7" s="453" t="n"/>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12" customHeight="1" s="348">
      <c r="A8" s="119" t="n"/>
      <c r="B8" s="382" t="inlineStr">
        <is>
          <t>Check here if your institution's 2023-2024 academic year costs of attendance are not available at this time and provide an approximate date (i.e., month/day) when your institution's final 2023-2024 academic year costs of attendance will be available:</t>
        </is>
      </c>
      <c r="G8" s="401" t="n"/>
      <c r="H8" s="401" t="n"/>
      <c r="I8" s="401" t="n"/>
      <c r="J8" s="401" t="n"/>
      <c r="K8" s="401" t="n"/>
      <c r="L8" s="401" t="n"/>
      <c r="M8" s="401" t="n"/>
      <c r="N8" s="401" t="n"/>
      <c r="O8" s="401" t="n"/>
      <c r="P8" s="401" t="n"/>
      <c r="Q8" s="401" t="n"/>
      <c r="R8" s="401" t="n"/>
      <c r="S8" s="401" t="n"/>
      <c r="T8" s="401" t="n"/>
      <c r="U8" s="401" t="n"/>
      <c r="V8" s="401" t="n"/>
      <c r="W8" s="401" t="n"/>
      <c r="X8" s="401" t="n"/>
      <c r="Y8" s="401" t="n"/>
      <c r="Z8" s="401" t="n"/>
    </row>
    <row r="9" ht="13.5" customHeight="1" s="348">
      <c r="A9" s="415" t="n"/>
      <c r="G9" s="401" t="n"/>
      <c r="H9" s="401" t="n"/>
      <c r="I9" s="401" t="n"/>
      <c r="J9" s="401" t="n"/>
      <c r="K9" s="401" t="n"/>
      <c r="L9" s="401" t="n"/>
      <c r="M9" s="401" t="n"/>
      <c r="N9" s="401" t="n"/>
      <c r="O9" s="401" t="n"/>
      <c r="P9" s="401" t="n"/>
      <c r="Q9" s="401" t="n"/>
      <c r="R9" s="401" t="n"/>
      <c r="S9" s="401" t="n"/>
      <c r="T9" s="401" t="n"/>
      <c r="U9" s="401" t="n"/>
      <c r="V9" s="401" t="n"/>
      <c r="W9" s="401" t="n"/>
      <c r="X9" s="401" t="n"/>
      <c r="Y9" s="401" t="n"/>
      <c r="Z9" s="401" t="n"/>
    </row>
    <row r="10" ht="12.75" customHeight="1" s="348">
      <c r="A10" s="415" t="n"/>
      <c r="G10" s="401" t="n"/>
      <c r="H10" s="401" t="n"/>
      <c r="I10" s="401" t="n"/>
      <c r="J10" s="401" t="n"/>
      <c r="K10" s="401" t="n"/>
      <c r="L10" s="401" t="n"/>
      <c r="M10" s="401" t="n"/>
      <c r="N10" s="401" t="n"/>
      <c r="O10" s="401" t="n"/>
      <c r="P10" s="401" t="n"/>
      <c r="Q10" s="401" t="n"/>
      <c r="R10" s="401" t="n"/>
      <c r="S10" s="401" t="n"/>
      <c r="T10" s="401" t="n"/>
      <c r="U10" s="401" t="n"/>
      <c r="V10" s="401" t="n"/>
      <c r="W10" s="401" t="n"/>
      <c r="X10" s="401" t="n"/>
      <c r="Y10" s="401" t="n"/>
      <c r="Z10" s="401" t="n"/>
    </row>
    <row r="11" ht="12.75" customHeight="1" s="348">
      <c r="A11" s="415" t="n"/>
      <c r="B11" s="413" t="n"/>
      <c r="C11" s="498" t="n"/>
      <c r="D11" s="498" t="n"/>
      <c r="E11" s="498" t="n"/>
      <c r="F11" s="453" t="n"/>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c r="A12" s="426" t="n"/>
      <c r="B12" s="426" t="n"/>
      <c r="C12" s="426" t="n"/>
      <c r="D12" s="426" t="n"/>
      <c r="E12" s="426" t="n"/>
      <c r="F12" s="453" t="n"/>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4.25" customHeight="1" s="348">
      <c r="A13" s="426" t="inlineStr">
        <is>
          <t>G1</t>
        </is>
      </c>
      <c r="B13" s="399" t="inlineStr">
        <is>
          <t>Undergraduate full-time tuition, required fees, room and board</t>
        </is>
      </c>
      <c r="F13" s="453" t="n"/>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39" customHeight="1" s="348">
      <c r="A14" s="426" t="n"/>
      <c r="B14" s="396" t="inlineStr">
        <is>
          <t xml:space="preserve">List the typical tuition, required fees, and room and board for a full-time undergraduate student for the FULL 2023-2024 academic year. (30 semester hours or 45 quarter hours for institutions that derive annual tuition by multiplying credit hour cost by number of credits). </t>
        </is>
      </c>
      <c r="F14" s="453" t="n"/>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28.5" customHeight="1" s="348">
      <c r="A15" s="426" t="n"/>
      <c r="B15" s="399" t="inlineStr">
        <is>
          <t xml:space="preserve">•     A full academic year refers to the period of time generally extending from September to June; usually 
      equated to two semesters, two trimesters, three quarters, or the period covered by a four-one-four plan. </t>
        </is>
      </c>
      <c r="G15" s="399" t="n"/>
      <c r="H15" s="399" t="n"/>
      <c r="I15" s="399" t="n"/>
      <c r="J15" s="399" t="n"/>
      <c r="K15" s="399" t="n"/>
      <c r="L15" s="399" t="n"/>
      <c r="M15" s="399" t="n"/>
      <c r="N15" s="399" t="n"/>
      <c r="O15" s="399" t="n"/>
      <c r="P15" s="399" t="n"/>
      <c r="Q15" s="399" t="n"/>
      <c r="R15" s="399" t="n"/>
      <c r="S15" s="399" t="n"/>
      <c r="T15" s="399" t="n"/>
      <c r="U15" s="399" t="n"/>
      <c r="V15" s="399" t="n"/>
      <c r="W15" s="399" t="n"/>
      <c r="X15" s="399" t="n"/>
      <c r="Y15" s="399" t="n"/>
      <c r="Z15" s="399" t="n"/>
    </row>
    <row r="16" ht="15" customHeight="1" s="348">
      <c r="A16" s="426" t="n"/>
      <c r="B16" s="396" t="inlineStr">
        <is>
          <t xml:space="preserve">•     Room and board is defined as double occupancy and 19 meals per week or the maximum meal plan. </t>
        </is>
      </c>
      <c r="G16" s="399" t="n"/>
      <c r="H16" s="399" t="n"/>
      <c r="I16" s="399" t="n"/>
      <c r="J16" s="399" t="n"/>
      <c r="K16" s="399" t="n"/>
      <c r="L16" s="399" t="n"/>
      <c r="M16" s="399" t="n"/>
      <c r="N16" s="399" t="n"/>
      <c r="O16" s="399" t="n"/>
      <c r="P16" s="399" t="n"/>
      <c r="Q16" s="399" t="n"/>
      <c r="R16" s="399" t="n"/>
      <c r="S16" s="399" t="n"/>
      <c r="T16" s="399" t="n"/>
      <c r="U16" s="399" t="n"/>
      <c r="V16" s="399" t="n"/>
      <c r="W16" s="399" t="n"/>
      <c r="X16" s="399" t="n"/>
      <c r="Y16" s="399" t="n"/>
      <c r="Z16" s="399" t="n"/>
    </row>
    <row r="17" ht="28.5" customHeight="1" s="348">
      <c r="A17" s="426" t="n"/>
      <c r="B17" s="399" t="inlineStr">
        <is>
          <t xml:space="preserve">•     Required fees include only charges that all full-time students must pay that are not included in tuition 
      (e.g., registration, health, or activity fees.) </t>
        </is>
      </c>
      <c r="G17" s="399" t="n"/>
      <c r="H17" s="399" t="n"/>
      <c r="I17" s="399" t="n"/>
      <c r="J17" s="399" t="n"/>
      <c r="K17" s="399" t="n"/>
      <c r="L17" s="399" t="n"/>
      <c r="M17" s="399" t="n"/>
      <c r="N17" s="399" t="n"/>
      <c r="O17" s="399" t="n"/>
      <c r="P17" s="399" t="n"/>
      <c r="Q17" s="399" t="n"/>
      <c r="R17" s="399" t="n"/>
      <c r="S17" s="399" t="n"/>
      <c r="T17" s="399" t="n"/>
      <c r="U17" s="399" t="n"/>
      <c r="V17" s="399" t="n"/>
      <c r="W17" s="399" t="n"/>
      <c r="X17" s="399" t="n"/>
      <c r="Y17" s="399" t="n"/>
      <c r="Z17" s="399" t="n"/>
    </row>
    <row r="18" ht="14.25" customHeight="1" s="348">
      <c r="A18" s="426" t="n"/>
      <c r="B18" s="396" t="inlineStr">
        <is>
          <t>•     Do not include optional fees (e.g., parking, laboratory use).</t>
        </is>
      </c>
      <c r="G18" s="399" t="n"/>
      <c r="H18" s="399" t="n"/>
      <c r="I18" s="399" t="n"/>
      <c r="J18" s="399" t="n"/>
      <c r="K18" s="399" t="n"/>
      <c r="L18" s="399" t="n"/>
      <c r="M18" s="399" t="n"/>
      <c r="N18" s="399" t="n"/>
      <c r="O18" s="399" t="n"/>
      <c r="P18" s="399" t="n"/>
      <c r="Q18" s="399" t="n"/>
      <c r="R18" s="399" t="n"/>
      <c r="S18" s="399" t="n"/>
      <c r="T18" s="399" t="n"/>
      <c r="U18" s="399" t="n"/>
      <c r="V18" s="399" t="n"/>
      <c r="W18" s="399" t="n"/>
      <c r="X18" s="399" t="n"/>
      <c r="Y18" s="399" t="n"/>
      <c r="Z18" s="399" t="n"/>
    </row>
    <row r="19" ht="9.75" customHeight="1" s="348">
      <c r="A19" s="426" t="n"/>
      <c r="B19" s="453" t="n"/>
      <c r="C19" s="400" t="n"/>
      <c r="D19" s="426" t="n"/>
      <c r="E19" s="426" t="n"/>
      <c r="F19" s="453"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c r="A20" s="426" t="inlineStr">
        <is>
          <t>G1</t>
        </is>
      </c>
      <c r="B20" s="182" t="n"/>
      <c r="C20" s="196" t="inlineStr">
        <is>
          <t>First-Year</t>
        </is>
      </c>
      <c r="D20" s="196" t="inlineStr">
        <is>
          <t>Undergraduates</t>
        </is>
      </c>
      <c r="E20" s="453" t="n"/>
      <c r="F20" s="453" t="n"/>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c r="A21" s="426" t="n"/>
      <c r="B21" s="176" t="inlineStr">
        <is>
          <t>PRIVATE INSTITUTIONS</t>
        </is>
      </c>
      <c r="C21" s="197" t="n"/>
      <c r="D21" s="197" t="n"/>
      <c r="E21" s="453" t="n"/>
      <c r="F21" s="453" t="n"/>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c r="A22" s="426" t="n"/>
      <c r="B22" s="198" t="inlineStr">
        <is>
          <t>Tuition:</t>
        </is>
      </c>
      <c r="C22" s="540" t="n">
        <v>12712</v>
      </c>
      <c r="D22" s="541" t="inlineStr">
        <is>
          <t>XXXXX</t>
        </is>
      </c>
      <c r="E22" s="453" t="n"/>
      <c r="F22" s="453" t="n"/>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c r="A23" s="426" t="n"/>
      <c r="B23" s="201" t="inlineStr">
        <is>
          <t>PUBLIC INSTITUTIONS</t>
        </is>
      </c>
      <c r="C23" s="542" t="n"/>
      <c r="D23" s="543" t="n"/>
      <c r="E23" s="453" t="n"/>
      <c r="F23" s="453" t="n"/>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c r="A24" s="426" t="n"/>
      <c r="B24" s="198" t="inlineStr">
        <is>
          <t>Tuition: In-district</t>
        </is>
      </c>
      <c r="C24" s="540" t="n">
        <v>12712</v>
      </c>
      <c r="D24" s="541" t="n">
        <v>12474</v>
      </c>
      <c r="E24" s="453" t="n"/>
      <c r="F24" s="453" t="n"/>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2.75" customHeight="1" s="348">
      <c r="A25" s="426" t="n"/>
      <c r="B25" s="198" t="inlineStr">
        <is>
          <t>Tuition: In-state (out-of-district):</t>
        </is>
      </c>
      <c r="C25" s="540" t="n">
        <v>12712</v>
      </c>
      <c r="D25" s="541" t="n">
        <v>12474</v>
      </c>
      <c r="E25" s="453" t="n"/>
      <c r="F25" s="453" t="n"/>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c r="A26" s="426" t="n"/>
      <c r="B26" s="198" t="inlineStr">
        <is>
          <t>Tuition: Out-of-state:</t>
        </is>
      </c>
      <c r="C26" s="540" t="n">
        <v>31208</v>
      </c>
      <c r="D26" s="541" t="n">
        <v>30446</v>
      </c>
      <c r="E26" s="453" t="n"/>
      <c r="F26" s="453"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n"/>
      <c r="B27" s="178" t="inlineStr">
        <is>
          <t>Tuition: Non-resident</t>
        </is>
      </c>
      <c r="C27" s="540" t="n">
        <v>32138</v>
      </c>
      <c r="D27" s="541" t="n">
        <v>31354</v>
      </c>
      <c r="E27" s="453" t="n"/>
      <c r="F27" s="453" t="n"/>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204" t="inlineStr">
        <is>
          <t>FOR ALL INSTITUTIONS</t>
        </is>
      </c>
      <c r="C28" s="544" t="n"/>
      <c r="D28" s="545" t="n"/>
      <c r="E28" s="453" t="n"/>
      <c r="F28" s="453"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2.75" customHeight="1" s="348">
      <c r="A29" s="426" t="n"/>
      <c r="B29" s="178" t="inlineStr">
        <is>
          <t>Required Fees</t>
        </is>
      </c>
      <c r="C29" s="540" t="n">
        <v>4860</v>
      </c>
      <c r="D29" s="541" t="n">
        <v>4664</v>
      </c>
      <c r="E29" s="453" t="n"/>
      <c r="F29" s="453" t="n"/>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c r="A30" s="426" t="n"/>
      <c r="B30" s="178" t="inlineStr">
        <is>
          <t>Room and Board (on-campus):</t>
        </is>
      </c>
      <c r="C30" s="540" t="n">
        <v>12972</v>
      </c>
      <c r="D30" s="541" t="n">
        <v>12354</v>
      </c>
      <c r="E30" s="453" t="n"/>
      <c r="F30" s="453" t="n"/>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c r="A31" s="426" t="n"/>
      <c r="B31" s="178" t="inlineStr">
        <is>
          <t>Room Only (on-campus):</t>
        </is>
      </c>
      <c r="C31" s="540" t="n">
        <v>6960</v>
      </c>
      <c r="D31" s="541" t="n">
        <v>6628</v>
      </c>
      <c r="E31" s="453" t="n"/>
      <c r="F31" s="453" t="n"/>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5" customHeight="1" s="348">
      <c r="A32" s="426" t="n"/>
      <c r="B32" s="178" t="inlineStr">
        <is>
          <t>Board Only (on-campus meal plan):</t>
        </is>
      </c>
      <c r="C32" s="540" t="n">
        <v>6012</v>
      </c>
      <c r="D32" s="541" t="n">
        <v>5726</v>
      </c>
      <c r="E32" s="453" t="n"/>
      <c r="F32" s="453" t="n"/>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9" customHeight="1" s="348">
      <c r="A33" s="415" t="n"/>
      <c r="B33" s="453" t="n"/>
      <c r="C33" s="453" t="n"/>
      <c r="D33" s="453" t="n"/>
      <c r="E33" s="453" t="n"/>
      <c r="F33" s="453" t="n"/>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26.25" customHeight="1" s="348">
      <c r="A34" s="426" t="n"/>
      <c r="B34" s="382" t="inlineStr">
        <is>
          <t xml:space="preserve">Comprehensive tuition and room and board fee (if your college cannot provide separate tuition and room and board fees):
</t>
        </is>
      </c>
      <c r="E34" s="88" t="inlineStr">
        <is>
          <t>XXXXX</t>
        </is>
      </c>
      <c r="F34" s="453" t="n"/>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c r="A35" s="426" t="n"/>
      <c r="B35" s="382" t="n"/>
      <c r="C35" s="382" t="n"/>
      <c r="D35" s="546" t="n"/>
      <c r="E35" s="453" t="n"/>
      <c r="F35" s="453" t="n"/>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26" t="n"/>
      <c r="B36" s="382" t="inlineStr">
        <is>
          <t>Other:</t>
        </is>
      </c>
      <c r="C36" s="413" t="n"/>
      <c r="D36" s="498" t="n"/>
      <c r="E36" s="498" t="n"/>
      <c r="F36" s="453" t="n"/>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12.75" customHeight="1" s="348">
      <c r="A37" s="426" t="n"/>
      <c r="B37" s="382" t="n"/>
      <c r="G37" s="382" t="n"/>
      <c r="H37" s="382" t="n"/>
      <c r="I37" s="382" t="n"/>
      <c r="J37" s="382" t="n"/>
      <c r="K37" s="382" t="n"/>
      <c r="L37" s="382" t="n"/>
      <c r="M37" s="382" t="n"/>
      <c r="N37" s="382" t="n"/>
      <c r="O37" s="382" t="n"/>
      <c r="P37" s="382" t="n"/>
      <c r="Q37" s="382" t="n"/>
      <c r="R37" s="382" t="n"/>
      <c r="S37" s="382" t="n"/>
      <c r="T37" s="382" t="n"/>
      <c r="U37" s="382" t="n"/>
      <c r="V37" s="382" t="n"/>
      <c r="W37" s="382" t="n"/>
      <c r="X37" s="382" t="n"/>
      <c r="Y37" s="382" t="n"/>
      <c r="Z37" s="382" t="n"/>
    </row>
    <row r="38" ht="12.75" customHeight="1" s="348">
      <c r="A38" s="415" t="n"/>
      <c r="B38" s="402" t="n"/>
      <c r="D38" s="187" t="inlineStr">
        <is>
          <t>Minimum</t>
        </is>
      </c>
      <c r="E38" s="187" t="inlineStr">
        <is>
          <t>Maximum</t>
        </is>
      </c>
      <c r="F38" s="453" t="n"/>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25.5" customHeight="1" s="348">
      <c r="A39" s="426" t="inlineStr">
        <is>
          <t>G2</t>
        </is>
      </c>
      <c r="B39" s="547" t="inlineStr">
        <is>
          <t>Number of credits per term a student can take for the stated full-time tuition.</t>
        </is>
      </c>
      <c r="C39" s="509" t="n"/>
      <c r="D39" s="128" t="n">
        <v>12</v>
      </c>
      <c r="E39" s="128" t="n">
        <v>18</v>
      </c>
      <c r="F39" s="453" t="n"/>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415" t="n"/>
      <c r="B40" s="453" t="n"/>
      <c r="C40" s="453" t="n"/>
      <c r="D40" s="453" t="n"/>
      <c r="E40" s="453" t="n"/>
      <c r="F40" s="453"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415" t="n"/>
      <c r="B41" s="402" t="n"/>
      <c r="D41" s="187" t="inlineStr">
        <is>
          <t>Yes</t>
        </is>
      </c>
      <c r="E41" s="187" t="inlineStr">
        <is>
          <t>No</t>
        </is>
      </c>
      <c r="F41" s="453" t="n"/>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27.75" customHeight="1" s="348">
      <c r="A42" s="426" t="inlineStr">
        <is>
          <t>G3</t>
        </is>
      </c>
      <c r="B42" s="547" t="inlineStr">
        <is>
          <t>Do tuition and fees vary by year of study (e.g., sophomore, junior, senior)?</t>
        </is>
      </c>
      <c r="C42" s="509" t="n"/>
      <c r="D42" s="184" t="inlineStr">
        <is>
          <t>X</t>
        </is>
      </c>
      <c r="E42" s="184" t="n"/>
      <c r="F42" s="453" t="n"/>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28.5" customHeight="1" s="348">
      <c r="A43" s="426" t="inlineStr">
        <is>
          <t>G4</t>
        </is>
      </c>
      <c r="B43" s="382" t="inlineStr">
        <is>
          <t xml:space="preserve">Do tuition and fees vary by undergraduate instructional program?                         </t>
        </is>
      </c>
      <c r="D43" s="184" t="inlineStr">
        <is>
          <t>X</t>
        </is>
      </c>
      <c r="E43" s="208" t="n"/>
      <c r="F43" s="453"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28.5" customHeight="1" s="348">
      <c r="A44" s="426" t="n"/>
      <c r="B44" s="382" t="inlineStr">
        <is>
          <t>If yes, what percentage of full-time undergraduates pay more than the tuition and fees reported in G1?</t>
        </is>
      </c>
      <c r="D44" s="209" t="n">
        <v>0.6535116265309745</v>
      </c>
      <c r="E44" s="186" t="n"/>
      <c r="F44" s="453" t="n"/>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15" t="n"/>
      <c r="B45" s="453" t="n"/>
      <c r="F45" s="453"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9.5" customHeight="1" s="348">
      <c r="A46" s="426" t="inlineStr">
        <is>
          <t>G5</t>
        </is>
      </c>
      <c r="B46" s="387" t="inlineStr">
        <is>
          <t>Provide the estimated expenses for a typical full-time undergraduate student:</t>
        </is>
      </c>
      <c r="C46" s="498" t="n"/>
      <c r="D46" s="498" t="n"/>
      <c r="E46" s="498"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26" t="n"/>
      <c r="B47" s="180" t="n"/>
      <c r="C47" s="142" t="inlineStr">
        <is>
          <t>Residents</t>
        </is>
      </c>
      <c r="D47" s="142" t="inlineStr">
        <is>
          <t>Commuters
(living at home)</t>
        </is>
      </c>
      <c r="E47" s="142" t="inlineStr">
        <is>
          <t>Commuters
(not living at home)</t>
        </is>
      </c>
      <c r="F47" s="453" t="n"/>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26" t="n"/>
      <c r="B48" s="182" t="inlineStr">
        <is>
          <t>Books and supplies:</t>
        </is>
      </c>
      <c r="C48" s="540" t="n">
        <v>1200</v>
      </c>
      <c r="D48" s="540" t="n">
        <v>1200</v>
      </c>
      <c r="E48" s="540" t="n">
        <v>1200</v>
      </c>
      <c r="F48" s="453" t="n"/>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26" t="n"/>
      <c r="B49" s="182" t="inlineStr">
        <is>
          <t>Room only:</t>
        </is>
      </c>
      <c r="C49" s="548" t="n"/>
      <c r="D49" s="548" t="n"/>
      <c r="E49" s="549" t="inlineStr">
        <is>
          <t>XXXXX</t>
        </is>
      </c>
      <c r="F49" s="453" t="n"/>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n"/>
      <c r="B50" s="182" t="inlineStr">
        <is>
          <t>Board only:</t>
        </is>
      </c>
      <c r="C50" s="548" t="n"/>
      <c r="D50" s="549" t="inlineStr">
        <is>
          <t>XXXXX</t>
        </is>
      </c>
      <c r="E50" s="549" t="inlineStr">
        <is>
          <t>XXXXX</t>
        </is>
      </c>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26" t="n"/>
      <c r="B51" s="212" t="inlineStr">
        <is>
          <t>Room and board total*</t>
        </is>
      </c>
      <c r="C51" s="548" t="n"/>
      <c r="D51" s="548" t="n"/>
      <c r="E51" s="540" t="n">
        <v>13938</v>
      </c>
      <c r="F51" s="453" t="n"/>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26" t="n"/>
      <c r="B52" s="182" t="inlineStr">
        <is>
          <t>Transportation:</t>
        </is>
      </c>
      <c r="C52" s="540" t="n">
        <v>500</v>
      </c>
      <c r="D52" s="540" t="n">
        <v>500</v>
      </c>
      <c r="E52" s="540" t="n">
        <v>500</v>
      </c>
      <c r="F52" s="453"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26" t="n"/>
      <c r="B53" s="182" t="inlineStr">
        <is>
          <t>Other expenses:</t>
        </is>
      </c>
      <c r="C53" s="540" t="n">
        <v>2000</v>
      </c>
      <c r="D53" s="540" t="n">
        <v>2000</v>
      </c>
      <c r="E53" s="540" t="n">
        <v>2000</v>
      </c>
      <c r="F53" s="453"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2.75" customHeight="1" s="348">
      <c r="A54" s="415" t="n"/>
      <c r="B54" s="410" t="inlineStr">
        <is>
          <t>* If your college cannot provide separate room and board figures for commuters not living at home</t>
        </is>
      </c>
      <c r="F54" s="453"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26" t="inlineStr">
        <is>
          <t>G6</t>
        </is>
      </c>
      <c r="B56" s="387" t="inlineStr">
        <is>
          <t xml:space="preserve">Undergraduate per-credit-hour charges (tuition only): </t>
        </is>
      </c>
      <c r="C56" s="498" t="n"/>
      <c r="D56" s="453" t="n"/>
      <c r="E56" s="453" t="n"/>
      <c r="F56" s="453" t="n"/>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26" t="n"/>
      <c r="B57" s="198" t="inlineStr">
        <is>
          <t>PRIVATE INSTITUTIONS:</t>
        </is>
      </c>
      <c r="C57" s="549" t="inlineStr">
        <is>
          <t>XXXXX</t>
        </is>
      </c>
      <c r="D57" s="453" t="n"/>
      <c r="E57" s="453" t="n"/>
      <c r="F57" s="453"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26" t="n"/>
      <c r="B58" s="198" t="inlineStr">
        <is>
          <t>PUBLIC INSTITUTIONS:</t>
        </is>
      </c>
      <c r="C58" s="549" t="inlineStr">
        <is>
          <t>XXXXX</t>
        </is>
      </c>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26" t="n"/>
      <c r="B59" s="198" t="inlineStr">
        <is>
          <t>In-district:</t>
        </is>
      </c>
      <c r="C59" s="549" t="inlineStr">
        <is>
          <t>XXXXX</t>
        </is>
      </c>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26" t="n"/>
      <c r="B60" s="198" t="inlineStr">
        <is>
          <t>In-state (out-of-district):</t>
        </is>
      </c>
      <c r="C60" s="549" t="inlineStr">
        <is>
          <t>XXXXX</t>
        </is>
      </c>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26" t="n"/>
      <c r="B61" s="198" t="inlineStr">
        <is>
          <t>Out-of-state:</t>
        </is>
      </c>
      <c r="C61" s="549" t="inlineStr">
        <is>
          <t>XXXXX</t>
        </is>
      </c>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26" t="n"/>
      <c r="B62" s="198" t="inlineStr">
        <is>
          <t>NONRESIDENTS:</t>
        </is>
      </c>
      <c r="C62" s="549" t="inlineStr">
        <is>
          <t>XXXXX</t>
        </is>
      </c>
      <c r="D62" s="453" t="n"/>
      <c r="E62" s="453"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15" t="n"/>
      <c r="B63" s="453" t="n"/>
      <c r="C63" s="453" t="n"/>
      <c r="D63" s="453" t="n"/>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15"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15" t="n"/>
      <c r="B65" s="453" t="n"/>
      <c r="C65" s="453" t="n"/>
      <c r="D65" s="453" t="n"/>
      <c r="E65" s="453" t="n"/>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15" t="n"/>
      <c r="B66" s="453" t="n"/>
      <c r="C66" s="453" t="n"/>
      <c r="D66" s="453" t="n"/>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15"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15" t="n"/>
      <c r="B68" s="453" t="n"/>
      <c r="C68" s="453" t="n"/>
      <c r="D68" s="453" t="n"/>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15" t="n"/>
      <c r="B69" s="453" t="n"/>
      <c r="C69" s="453" t="n"/>
      <c r="D69" s="453" t="n"/>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15" t="n"/>
      <c r="B70" s="453" t="n"/>
      <c r="C70" s="453" t="n"/>
      <c r="D70" s="453"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15" t="n"/>
      <c r="B71" s="453" t="n"/>
      <c r="C71" s="453" t="n"/>
      <c r="D71" s="453" t="n"/>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15" t="n"/>
      <c r="B72" s="453" t="n"/>
      <c r="C72" s="453" t="n"/>
      <c r="D72" s="453"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15" t="n"/>
      <c r="B73" s="453" t="n"/>
      <c r="C73" s="453" t="n"/>
      <c r="D73" s="453"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15" t="n"/>
      <c r="B74" s="453" t="n"/>
      <c r="C74" s="453" t="n"/>
      <c r="D74" s="453"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15"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15" t="n"/>
      <c r="B76" s="453" t="n"/>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15" t="n"/>
      <c r="B77" s="453" t="n"/>
      <c r="C77" s="453" t="n"/>
      <c r="D77" s="453" t="n"/>
      <c r="E77" s="453" t="n"/>
      <c r="F77" s="453" t="n"/>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15" t="n"/>
      <c r="B78" s="453" t="n"/>
      <c r="C78" s="453" t="n"/>
      <c r="D78" s="453" t="n"/>
      <c r="E78" s="453" t="n"/>
      <c r="F78" s="453"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15" t="n"/>
      <c r="B79" s="453" t="n"/>
      <c r="C79" s="453" t="n"/>
      <c r="D79" s="453" t="n"/>
      <c r="E79" s="453" t="n"/>
      <c r="F79" s="453"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15"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15" t="n"/>
      <c r="B81" s="453" t="n"/>
      <c r="C81" s="453" t="n"/>
      <c r="D81" s="453" t="n"/>
      <c r="E81" s="453" t="n"/>
      <c r="F81" s="453"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15" t="n"/>
      <c r="B82" s="453" t="n"/>
      <c r="C82" s="453" t="n"/>
      <c r="D82" s="453" t="n"/>
      <c r="E82" s="453" t="n"/>
      <c r="F82" s="453"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53" t="n"/>
      <c r="C83" s="453" t="n"/>
      <c r="D83" s="453" t="n"/>
      <c r="E83" s="453" t="n"/>
      <c r="F83" s="453"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15"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15" t="n"/>
      <c r="B85" s="453" t="n"/>
      <c r="C85" s="453" t="n"/>
      <c r="D85" s="453" t="n"/>
      <c r="E85" s="453" t="n"/>
      <c r="F85" s="453"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15" t="n"/>
      <c r="B86" s="453" t="n"/>
      <c r="C86" s="453" t="n"/>
      <c r="D86" s="453" t="n"/>
      <c r="E86" s="453" t="n"/>
      <c r="F86" s="453" t="n"/>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15" t="n"/>
      <c r="B87" s="453" t="n"/>
      <c r="C87" s="453" t="n"/>
      <c r="D87" s="453" t="n"/>
      <c r="E87" s="453" t="n"/>
      <c r="F87" s="453"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15" t="n"/>
      <c r="B88" s="453" t="n"/>
      <c r="C88" s="453" t="n"/>
      <c r="D88" s="453" t="n"/>
      <c r="E88" s="453" t="n"/>
      <c r="F88" s="453"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15" t="n"/>
      <c r="B89" s="453" t="n"/>
      <c r="C89" s="453" t="n"/>
      <c r="D89" s="453" t="n"/>
      <c r="E89" s="453" t="n"/>
      <c r="F89" s="453" t="n"/>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15"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15" t="n"/>
      <c r="B91" s="453" t="n"/>
      <c r="C91" s="453" t="n"/>
      <c r="D91" s="453" t="n"/>
      <c r="E91" s="453" t="n"/>
      <c r="F91" s="453"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15" t="n"/>
      <c r="B92" s="453" t="n"/>
      <c r="C92" s="453" t="n"/>
      <c r="D92" s="453" t="n"/>
      <c r="E92" s="453" t="n"/>
      <c r="F92" s="453"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15" t="n"/>
      <c r="B93" s="453" t="n"/>
      <c r="C93" s="453" t="n"/>
      <c r="D93" s="453" t="n"/>
      <c r="E93" s="453" t="n"/>
      <c r="F93" s="453" t="n"/>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15" t="n"/>
      <c r="B94" s="453" t="n"/>
      <c r="C94" s="453" t="n"/>
      <c r="D94" s="453" t="n"/>
      <c r="E94" s="453" t="n"/>
      <c r="F94" s="453"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15" t="n"/>
      <c r="B95" s="453" t="n"/>
      <c r="C95" s="453" t="n"/>
      <c r="D95" s="453" t="n"/>
      <c r="E95" s="453" t="n"/>
      <c r="F95" s="453" t="n"/>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15" t="n"/>
      <c r="B96" s="453" t="n"/>
      <c r="C96" s="453" t="n"/>
      <c r="D96" s="453" t="n"/>
      <c r="E96" s="453" t="n"/>
      <c r="F96" s="453"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15" t="n"/>
      <c r="B97" s="453" t="n"/>
      <c r="C97" s="453" t="n"/>
      <c r="D97" s="453" t="n"/>
      <c r="E97" s="453" t="n"/>
      <c r="F97" s="453"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15" t="n"/>
      <c r="B98" s="453" t="n"/>
      <c r="C98" s="453" t="n"/>
      <c r="D98" s="453" t="n"/>
      <c r="E98" s="453" t="n"/>
      <c r="F98" s="453"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15" t="n"/>
      <c r="B99" s="453" t="n"/>
      <c r="C99" s="453" t="n"/>
      <c r="D99" s="453" t="n"/>
      <c r="E99" s="453" t="n"/>
      <c r="F99" s="453"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15" t="n"/>
      <c r="B100" s="453" t="n"/>
      <c r="C100" s="453" t="n"/>
      <c r="D100" s="453" t="n"/>
      <c r="E100" s="453" t="n"/>
      <c r="F100" s="453" t="n"/>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15" t="n"/>
      <c r="B101" s="453" t="n"/>
      <c r="C101" s="453" t="n"/>
      <c r="D101" s="453" t="n"/>
      <c r="E101" s="453" t="n"/>
      <c r="F101" s="453"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15"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15"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15"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15"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15"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15"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15"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15"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15"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15"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15"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15"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15"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15"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15"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15"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15"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15"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15"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15"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15"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15"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15"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15"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15"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15"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15"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15"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15"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15"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15"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15"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15"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15"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15"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15"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15"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15"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15"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15"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15"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15"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15"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15"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15"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15"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15"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15"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15"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15"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15"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15"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15"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15"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15"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15"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15"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15"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15"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15"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15"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15"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15"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15"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15"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15"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15"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15"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15"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15"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15"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15"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15"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15"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15"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15"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15"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15"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15"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15"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24">
    <mergeCell ref="B16:F16"/>
    <mergeCell ref="A1:E1"/>
    <mergeCell ref="B56:C56"/>
    <mergeCell ref="B18:F18"/>
    <mergeCell ref="B43:C43"/>
    <mergeCell ref="B34:D34"/>
    <mergeCell ref="B39:C39"/>
    <mergeCell ref="B45:E45"/>
    <mergeCell ref="C36:E36"/>
    <mergeCell ref="B4:E4"/>
    <mergeCell ref="B8:F10"/>
    <mergeCell ref="B42:C42"/>
    <mergeCell ref="B54:E54"/>
    <mergeCell ref="B17:F17"/>
    <mergeCell ref="B46:E46"/>
    <mergeCell ref="B38:C38"/>
    <mergeCell ref="B44:C44"/>
    <mergeCell ref="B37:F37"/>
    <mergeCell ref="B11:E11"/>
    <mergeCell ref="B14:E14"/>
    <mergeCell ref="B6:F6"/>
    <mergeCell ref="B15:F15"/>
    <mergeCell ref="B13:E13"/>
    <mergeCell ref="B41:C41"/>
  </mergeCells>
  <hyperlinks>
    <hyperlink xmlns:r="http://schemas.openxmlformats.org/officeDocument/2006/relationships" ref="B4" r:id="rId1"/>
  </hyperlinks>
  <pageMargins left="0.75" right="0.75" top="1" bottom="1" header="0" footer="0"/>
  <pageSetup orientation="portrait" scale="75"/>
  <headerFooter>
    <oddHeader>&amp;LCommon Data Set 2021-2022</oddHeader>
    <oddFooter>&amp;LCDS-G&amp;RPage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showGridLines="0" zoomScale="130" zoomScaleNormal="130" workbookViewId="0">
      <selection activeCell="A1" sqref="A1:F1"/>
    </sheetView>
  </sheetViews>
  <sheetFormatPr baseColWidth="8" defaultColWidth="12.7109375" defaultRowHeight="15" customHeight="1"/>
  <cols>
    <col width="4.7109375" customWidth="1" style="366" min="1" max="1"/>
    <col width="2.42578125" customWidth="1" style="366" min="2" max="2"/>
    <col width="41" customWidth="1" style="366" min="3" max="3"/>
    <col width="14.28515625" customWidth="1" style="366" min="4" max="6"/>
    <col width="9.28515625" customWidth="1" style="366" min="7" max="7"/>
    <col hidden="1" width="8.7109375" customWidth="1" style="366" min="8" max="26"/>
    <col width="12.7109375" customWidth="1" style="366" min="27" max="16384"/>
  </cols>
  <sheetData>
    <row r="1" ht="12.75" customHeight="1" s="348">
      <c r="A1" s="363" t="inlineStr">
        <is>
          <t>H. FINANCIAL AID</t>
        </is>
      </c>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15" t="n"/>
      <c r="B3" s="454" t="inlineStr">
        <is>
          <t>Please refer to the following financial aid definitions when completing Section H.</t>
        </is>
      </c>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8.25" customHeight="1" s="348">
      <c r="A4" s="426" t="n"/>
      <c r="B4" s="396" t="n"/>
      <c r="G4" s="453"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20.25" customHeight="1" s="348">
      <c r="A5" s="426" t="n"/>
      <c r="B5" s="396" t="inlineStr">
        <is>
          <t>Awarded aid: The dollar amounts offered to financial aid applicants.</t>
        </is>
      </c>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32.25" customHeight="1" s="348">
      <c r="A6" s="426" t="n"/>
      <c r="B6" s="396" t="inlineStr">
        <is>
          <t xml:space="preserve">Financial aid applicant: Any applicant who submits any one of the institutionally required financial aid applications/forms, such as the FAFSA. </t>
        </is>
      </c>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44.25" customHeight="1" s="348">
      <c r="A7" s="426" t="n"/>
      <c r="B7" s="396"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30.75" customHeight="1" s="348">
      <c r="A8" s="426" t="n"/>
      <c r="B8" s="396" t="inlineStr">
        <is>
          <t>Institutional scholarships and grants: Endowed scholarships, annual gifts and tuition funded grants for which the institution determines the recipient.</t>
        </is>
      </c>
      <c r="G8" s="453" t="n"/>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28.5" customHeight="1" s="348">
      <c r="A9" s="426" t="n"/>
      <c r="B9" s="396" t="inlineStr">
        <is>
          <t>Financial need: As determined by your institution using the federal methodology and/or your institution's own standards.</t>
        </is>
      </c>
      <c r="G9" s="453" t="n"/>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44.25" customHeight="1" s="348">
      <c r="A10" s="426" t="n"/>
      <c r="B10" s="396" t="inlineStr">
        <is>
          <t>Need-based aid: College-funded or college-administered award from institutional, state, federal, or other sources for which a student must have financial need to qualify. This includes both institutional and non-institutional student aid (grants, jobs, and loans).</t>
        </is>
      </c>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31.5" customHeight="1" s="348">
      <c r="A11" s="426" t="n"/>
      <c r="B11" s="396" t="inlineStr">
        <is>
          <t>Need-based scholarship or grant aid: Scholarships and grants from institutional, state, federal, or other sources for which a student must have financial need to qualify.</t>
        </is>
      </c>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31.5" customHeight="1" s="348">
      <c r="A12" s="426" t="n"/>
      <c r="B12" s="396" t="inlineStr">
        <is>
          <t>Need-based self-help aid: Loans and jobs from institutional, state, federal, or other sources for which a student must demonstrate financial need to qualify.</t>
        </is>
      </c>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65.25" customHeight="1" s="348">
      <c r="A13" s="426" t="n"/>
      <c r="B13" s="396"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3.5" customHeight="1" s="348">
      <c r="A14" s="426" t="n"/>
      <c r="B14" s="399" t="inlineStr">
        <is>
          <t>Note: Suggested order of precedence for counting non-need money as need-based:</t>
        </is>
      </c>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3.5" customHeight="1" s="348">
      <c r="A15" s="426" t="n"/>
      <c r="B15" s="396" t="n"/>
      <c r="C15" s="396" t="inlineStr">
        <is>
          <t>1. Non-need institutional grants</t>
        </is>
      </c>
      <c r="D15" s="396" t="inlineStr">
        <is>
          <t>6. Non-need outside grants</t>
        </is>
      </c>
      <c r="F15" s="396" t="n"/>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3.5" customHeight="1" s="348">
      <c r="A16" s="426" t="n"/>
      <c r="B16" s="396" t="n"/>
      <c r="C16" s="396" t="inlineStr">
        <is>
          <t>2. Non-need tuition waivers</t>
        </is>
      </c>
      <c r="D16" s="396" t="inlineStr">
        <is>
          <t>7. Non-need student loans</t>
        </is>
      </c>
      <c r="F16" s="396" t="n"/>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3.5" customHeight="1" s="348">
      <c r="A17" s="426" t="n"/>
      <c r="B17" s="396" t="n"/>
      <c r="C17" s="396" t="inlineStr">
        <is>
          <t>3. Non-need athletic awards</t>
        </is>
      </c>
      <c r="D17" s="396" t="inlineStr">
        <is>
          <t>8. Non-need parent loans</t>
        </is>
      </c>
      <c r="F17" s="396" t="n"/>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c r="A18" s="426" t="n"/>
      <c r="B18" s="396" t="n"/>
      <c r="C18" s="396" t="inlineStr">
        <is>
          <t>4. Non-need federal grants</t>
        </is>
      </c>
      <c r="D18" s="396" t="inlineStr">
        <is>
          <t xml:space="preserve">9. Non-need work
</t>
        </is>
      </c>
      <c r="F18" s="396" t="n"/>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8.75" customHeight="1" s="348">
      <c r="A19" s="426" t="n"/>
      <c r="B19" s="396" t="n"/>
      <c r="C19" s="396" t="inlineStr">
        <is>
          <t>5. Non-need state grants</t>
        </is>
      </c>
      <c r="D19" s="396" t="n"/>
      <c r="E19" s="396" t="n"/>
      <c r="F19" s="396"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31.5" customHeight="1" s="348">
      <c r="A20" s="426" t="n"/>
      <c r="B20" s="396" t="inlineStr">
        <is>
          <t>Non-need-based self-help aid: Loans and jobs from institutional, state, or other sources for which a student need not demonstrate financial need to qualify.</t>
        </is>
      </c>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32.25" customHeight="1" s="348">
      <c r="A21" s="426" t="n"/>
      <c r="B21" s="396" t="inlineStr">
        <is>
          <t>Private student loans: A nonfederal loan made by a lender such as a bank, credit union or private lender used to pay for up to the annual cost of education, less any financial aid received.</t>
        </is>
      </c>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39.75" customHeight="1" s="348">
      <c r="A22" s="426" t="n"/>
      <c r="B22" s="396"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25.5" customHeight="1" s="348">
      <c r="A23" s="426" t="n"/>
      <c r="B23" s="396" t="inlineStr">
        <is>
          <t>Work study and employment: Federal and state work study aid, and any employment packaged by your institution in financial aid awards.</t>
        </is>
      </c>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c r="A24" s="426" t="n"/>
      <c r="B24" s="396" t="n"/>
      <c r="C24" s="396" t="n"/>
      <c r="D24" s="396" t="n"/>
      <c r="E24" s="396" t="n"/>
      <c r="F24" s="396" t="n"/>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3.5" customHeight="1" s="348">
      <c r="A25" s="426" t="n"/>
      <c r="B25" s="455" t="inlineStr">
        <is>
          <t>DO NOT INCLUDE ANY AID RELATED TO THE CARES ACT OR UNIQUE THE COVID-19 PANDEMIC</t>
        </is>
      </c>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3.5" customHeight="1" s="348">
      <c r="A26" s="426" t="n"/>
      <c r="B26" s="455" t="n"/>
      <c r="C26" s="455" t="n"/>
      <c r="D26" s="455" t="n"/>
      <c r="E26" s="455" t="n"/>
      <c r="F26" s="455"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n"/>
      <c r="B27" s="456" t="inlineStr">
        <is>
          <t>Aid Awarded to Enrolled Undergraduates</t>
        </is>
      </c>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457"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43.5" customHeight="1" s="348">
      <c r="A29" s="426" t="inlineStr">
        <is>
          <t>H1</t>
        </is>
      </c>
      <c r="B29" s="396" t="inlineStr">
        <is>
          <t>Enter total dollar amounts awarded to enrolled full-time and less than full-time degree-seeking undergraduates (using the same cohort reported in CDS Question B1, “total degree-seeking” undergraduates) in the following categories.</t>
        </is>
      </c>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27" customHeight="1" s="348">
      <c r="A30" s="426" t="n"/>
      <c r="B30" s="396" t="inlineStr">
        <is>
          <t>•     If the data being reported are final figures for the 2021-2022 academic year (see the next item below), 
      use the 2021-2022 academic year's CDS Question B1 cohort.</t>
        </is>
      </c>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c r="A31" s="426" t="n"/>
      <c r="B31" s="396" t="inlineStr">
        <is>
          <t xml:space="preserve">•     Include aid awarded to international students (i.e., those not qualifying for federal aid). </t>
        </is>
      </c>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27" customHeight="1" s="348">
      <c r="A32" s="426" t="n"/>
      <c r="B32" s="396" t="inlineStr">
        <is>
          <t>•     Aid that is non-need-based but that was used to meet need should be reported in the need-based aid 
      column.</t>
        </is>
      </c>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27" customHeight="1" s="348">
      <c r="A33" s="426" t="n"/>
      <c r="B33" s="396" t="inlineStr">
        <is>
          <t>•     For a suggested order of precedence in assigning categories of aid to cover need, see the entry for “non-
      need-based scholarship or grant aid” on the last page of the definitions section.</t>
        </is>
      </c>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3.5" customHeight="1" s="348">
      <c r="A34" s="426" t="n"/>
      <c r="B34" s="455" t="inlineStr">
        <is>
          <t>•     Do NOT include any aid related to the CARES Act or unique to the COVID-19 pandemic.</t>
        </is>
      </c>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c r="A35" s="426" t="n"/>
      <c r="B35" s="396" t="n"/>
      <c r="C35" s="382" t="n"/>
      <c r="D35" s="382" t="n"/>
      <c r="E35" s="382" t="n"/>
      <c r="F35" s="382" t="n"/>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26" t="n"/>
      <c r="B36" s="396" t="n"/>
      <c r="E36" s="213" t="inlineStr">
        <is>
          <t>2022-2023 estimated</t>
        </is>
      </c>
      <c r="F36" s="214" t="inlineStr">
        <is>
          <t>2021-2022 Final</t>
        </is>
      </c>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27" customHeight="1" s="348">
      <c r="A37" s="426" t="n"/>
      <c r="B37" s="512" t="inlineStr">
        <is>
          <t>Indicate the academic year for which data are reported for items H1, H2, H2A, and H6 below:</t>
        </is>
      </c>
      <c r="D37" s="509" t="n"/>
      <c r="E37" s="215" t="n"/>
      <c r="F37" s="215" t="inlineStr">
        <is>
          <t>X</t>
        </is>
      </c>
      <c r="G37" s="453"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c r="A38" s="426" t="n"/>
      <c r="B38" s="382" t="inlineStr">
        <is>
          <t>Which needs-analysis methodology does your institution use in awarding institutional aid? (Formerly H3)</t>
        </is>
      </c>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12.75" customHeight="1" s="348">
      <c r="A39" s="426" t="n"/>
      <c r="B39" s="382" t="n"/>
      <c r="C39" s="382" t="n"/>
      <c r="D39" s="382" t="n"/>
      <c r="E39" s="382" t="n"/>
      <c r="F39" s="382" t="n"/>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119" t="inlineStr">
        <is>
          <t>X</t>
        </is>
      </c>
      <c r="B40" s="460" t="inlineStr">
        <is>
          <t>Federal methodology (FM)</t>
        </is>
      </c>
      <c r="D40" s="186" t="n"/>
      <c r="E40" s="453" t="n"/>
      <c r="F40" s="453"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119" t="n"/>
      <c r="B41" s="415" t="inlineStr">
        <is>
          <t>Institutional methodology (IM)</t>
        </is>
      </c>
      <c r="D41" s="186" t="n"/>
      <c r="E41" s="453" t="n"/>
      <c r="F41" s="453" t="n"/>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c r="A42" s="119" t="n"/>
      <c r="B42" s="415" t="inlineStr">
        <is>
          <t>Both FM and IM</t>
        </is>
      </c>
      <c r="D42" s="186" t="n"/>
      <c r="E42" s="453" t="n"/>
      <c r="F42" s="453" t="n"/>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c r="A43" s="415" t="n"/>
      <c r="B43" s="453" t="n"/>
      <c r="C43" s="453" t="n"/>
      <c r="D43" s="453" t="n"/>
      <c r="E43" s="453" t="n"/>
      <c r="F43" s="453"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12.75" customHeight="1" s="348">
      <c r="A44" s="426" t="n"/>
      <c r="B44" s="180" t="n"/>
      <c r="C44" s="494" t="n"/>
      <c r="D44" s="495" t="n"/>
      <c r="E44" s="142" t="inlineStr">
        <is>
          <t>Need-based
(Include non-need-based aid use to meet need.)</t>
        </is>
      </c>
      <c r="F44" s="216" t="inlineStr">
        <is>
          <t>Non-need-based
(Exclude non-need-based aid use to meet need.)</t>
        </is>
      </c>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26" t="n"/>
      <c r="B45" s="388" t="inlineStr">
        <is>
          <t>Scholarships/Grants</t>
        </is>
      </c>
      <c r="C45" s="217" t="n"/>
      <c r="D45" s="217" t="n"/>
      <c r="E45" s="176" t="n"/>
      <c r="F45" s="218"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26" t="n"/>
      <c r="B46" s="550" t="inlineStr">
        <is>
          <t>Federal</t>
        </is>
      </c>
      <c r="C46" s="494" t="n"/>
      <c r="D46" s="495" t="n"/>
      <c r="E46" s="551" t="n">
        <v>47945187.94</v>
      </c>
      <c r="F46" s="551" t="n">
        <v>1576778.85</v>
      </c>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26.25" customHeight="1" s="348">
      <c r="A47" s="426" t="n"/>
      <c r="B47" s="178" t="inlineStr">
        <is>
          <t>State all states, not only the state in which your institution is located</t>
        </is>
      </c>
      <c r="C47" s="494" t="n"/>
      <c r="D47" s="495" t="n"/>
      <c r="E47" s="551" t="n">
        <v>53431199.04</v>
      </c>
      <c r="F47" s="551" t="n">
        <v>1521267.32</v>
      </c>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40.5" customHeight="1" s="348">
      <c r="A48" s="426" t="n"/>
      <c r="B48" s="178" t="inlineStr">
        <is>
          <t>Institutional: Endowed scholarships, annual gifts and tuition funded grants, awarded by the college, excluding athletic aid and tuition waivers (which are reported below).</t>
        </is>
      </c>
      <c r="C48" s="494" t="n"/>
      <c r="D48" s="495" t="n"/>
      <c r="E48" s="551" t="n">
        <v>133469196.79</v>
      </c>
      <c r="F48" s="551" t="n">
        <v>17011397.67</v>
      </c>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27.75" customHeight="1" s="348">
      <c r="A49" s="426" t="n"/>
      <c r="B49" s="178" t="inlineStr">
        <is>
          <t>Scholarships/grants from external sources (e.g. Kiwanis, National Merit) not awarded by the college</t>
        </is>
      </c>
      <c r="C49" s="494" t="n"/>
      <c r="D49" s="495" t="n"/>
      <c r="E49" s="551" t="n">
        <v>7495302.71</v>
      </c>
      <c r="F49" s="551" t="n">
        <v>7656447.35</v>
      </c>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n"/>
      <c r="B50" s="550" t="inlineStr">
        <is>
          <t>Total Scholarships/Grants</t>
        </is>
      </c>
      <c r="C50" s="494" t="n"/>
      <c r="D50" s="495" t="n"/>
      <c r="E50" s="220">
        <f>SUM(E46:E49)</f>
        <v/>
      </c>
      <c r="F50" s="220">
        <f>SUM(F46:F49)</f>
        <v/>
      </c>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26" t="n"/>
      <c r="B51" s="388" t="inlineStr">
        <is>
          <t>Self-Help</t>
        </is>
      </c>
      <c r="C51" s="217" t="n"/>
      <c r="D51" s="217" t="n"/>
      <c r="E51" s="176" t="n"/>
      <c r="F51" s="218" t="n"/>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26" t="n"/>
      <c r="B52" s="178" t="inlineStr">
        <is>
          <t>Student loans from all sources (excluding parent loans)</t>
        </is>
      </c>
      <c r="C52" s="494" t="n"/>
      <c r="D52" s="495" t="n"/>
      <c r="E52" s="221" t="n">
        <v>54728530.54</v>
      </c>
      <c r="F52" s="221" t="n">
        <v>20383742</v>
      </c>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26" t="n"/>
      <c r="B53" s="178" t="inlineStr">
        <is>
          <t>Federal Work-Study</t>
        </is>
      </c>
      <c r="C53" s="494" t="n"/>
      <c r="D53" s="495" t="n"/>
      <c r="E53" s="221" t="n">
        <v>3187202.8</v>
      </c>
      <c r="F53" s="180"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25.5" customHeight="1" s="348">
      <c r="A54" s="426" t="n"/>
      <c r="B54" s="178" t="inlineStr">
        <is>
          <t>State and other (e.g., institutional) work-study/employment (Note: Excludes Federal Work-Study captured above.)</t>
        </is>
      </c>
      <c r="C54" s="494" t="n"/>
      <c r="D54" s="495" t="n"/>
      <c r="E54" s="221" t="n">
        <v>10129468.36</v>
      </c>
      <c r="F54" s="222" t="n">
        <v>11217765.17</v>
      </c>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26" t="n"/>
      <c r="B55" s="550" t="inlineStr">
        <is>
          <t>Total Self-Help</t>
        </is>
      </c>
      <c r="C55" s="494" t="n"/>
      <c r="D55" s="495" t="n"/>
      <c r="E55" s="220">
        <f>SUM(E52:E54)</f>
        <v/>
      </c>
      <c r="F55" s="220">
        <f>SUM(F52,F54)</f>
        <v/>
      </c>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26" t="n"/>
      <c r="B56" s="550" t="inlineStr">
        <is>
          <t>Parent Loans</t>
        </is>
      </c>
      <c r="C56" s="494" t="n"/>
      <c r="D56" s="495" t="n"/>
      <c r="E56" s="221" t="n">
        <v>47511842</v>
      </c>
      <c r="F56" s="221" t="n">
        <v>18988118</v>
      </c>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42.75" customHeight="1" s="348">
      <c r="A57" s="426" t="n"/>
      <c r="B57" s="178" t="inlineStr">
        <is>
          <t>Tuition Waivers
Note: Reporting is optional. Report tuition waivers in this row if you choose to report them. Do not report tuition waivers elsewhere.</t>
        </is>
      </c>
      <c r="C57" s="494" t="n"/>
      <c r="D57" s="495" t="n"/>
      <c r="E57" s="221" t="n">
        <v>15472683.38</v>
      </c>
      <c r="F57" s="221" t="n">
        <v>8619107.74</v>
      </c>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26" t="n"/>
      <c r="B58" s="550" t="inlineStr">
        <is>
          <t>Athletic Awards</t>
        </is>
      </c>
      <c r="C58" s="494" t="n"/>
      <c r="D58" s="495" t="n"/>
      <c r="E58" s="221" t="n">
        <v>4867527.43</v>
      </c>
      <c r="F58" s="221" t="n">
        <v>7198434.28</v>
      </c>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15" t="n"/>
      <c r="B59" s="453" t="n"/>
      <c r="C59" s="453" t="n"/>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28.5" customHeight="1" s="348">
      <c r="A60" s="426" t="inlineStr">
        <is>
          <t>H2</t>
        </is>
      </c>
      <c r="B60" s="401" t="inlineStr">
        <is>
          <t>Number of Enrolled Students Awarded Aid: List the number of degree-seeking full-time and less-than-full-time undergraduates who applied for and were awarded financial aid from any source.</t>
        </is>
      </c>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31.5" customHeight="1" s="348">
      <c r="A61" s="426" t="n"/>
      <c r="B61" s="401" t="inlineStr">
        <is>
          <t>•     Aid that is non-need-based but that was used to meet need should be counted as need-
      based aid.</t>
        </is>
      </c>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5" customHeight="1" s="348">
      <c r="A62" s="426" t="n"/>
      <c r="B62" s="461" t="inlineStr">
        <is>
          <t>•     Numbers should reflect the cohort awarded the dollars reported in H1.</t>
        </is>
      </c>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30" customHeight="1" s="348">
      <c r="A63" s="426" t="n"/>
      <c r="B63" s="382" t="inlineStr">
        <is>
          <t>•     In the chart below, students may be counted in more than one row, and full-time, first-time,
      first-year students should also be counted as full-time undergraduates.</t>
        </is>
      </c>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5" customHeight="1" s="348">
      <c r="A64" s="426" t="n"/>
      <c r="B64" s="455" t="inlineStr">
        <is>
          <t>•     Do NOT include any aid related to the CARES Act or unique to the COVID-19 pandemic.</t>
        </is>
      </c>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4.25" customHeight="1" s="348">
      <c r="A65" s="426" t="n"/>
      <c r="B65" s="401" t="n"/>
      <c r="C65" s="382" t="n"/>
      <c r="D65" s="382" t="n"/>
      <c r="E65" s="382" t="n"/>
      <c r="F65" s="382"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40.9" customHeight="1" s="348">
      <c r="A66" s="426" t="n"/>
      <c r="B66" s="223" t="n"/>
      <c r="C66" s="224" t="n"/>
      <c r="D66" s="225" t="inlineStr">
        <is>
          <t>Full-time         First-time
First-year</t>
        </is>
      </c>
      <c r="E66" s="226" t="inlineStr">
        <is>
          <t>Full-time Undergrad 
(Incl. Fresh)</t>
        </is>
      </c>
      <c r="F66" s="226" t="inlineStr">
        <is>
          <t>Less Than
Full-time
Undergrad</t>
        </is>
      </c>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24" customHeight="1" s="348">
      <c r="A67" s="426" t="n"/>
      <c r="B67" s="227" t="inlineStr">
        <is>
          <t>A</t>
        </is>
      </c>
      <c r="C67" s="228" t="inlineStr">
        <is>
          <t>Number of degree-seeking undergraduate students (CDS Item B1 if reporting on Fall 2022 cohort)</t>
        </is>
      </c>
      <c r="D67" s="229" t="n">
        <v>8273</v>
      </c>
      <c r="E67" s="229" t="n">
        <v>33113</v>
      </c>
      <c r="F67" s="229" t="n">
        <v>776</v>
      </c>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24.75" customHeight="1" s="348">
      <c r="A68" s="426" t="n"/>
      <c r="B68" s="227" t="inlineStr">
        <is>
          <t>B</t>
        </is>
      </c>
      <c r="C68" s="228" t="inlineStr">
        <is>
          <t>Number of students in line a who applied for need-based financial aid</t>
        </is>
      </c>
      <c r="D68" s="229" t="n">
        <v>6458</v>
      </c>
      <c r="E68" s="229" t="n">
        <v>21406</v>
      </c>
      <c r="F68" s="229" t="n">
        <v>281</v>
      </c>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25.15" customHeight="1" s="348">
      <c r="A69" s="426" t="n"/>
      <c r="B69" s="227" t="inlineStr">
        <is>
          <t>C</t>
        </is>
      </c>
      <c r="C69" s="228" t="inlineStr">
        <is>
          <t>Number of students in line b who were determined to have financial need</t>
        </is>
      </c>
      <c r="D69" s="229" t="n">
        <v>3927</v>
      </c>
      <c r="E69" s="229" t="n">
        <v>15595</v>
      </c>
      <c r="F69" s="229" t="n">
        <v>201</v>
      </c>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25.15" customHeight="1" s="348">
      <c r="A70" s="426" t="n"/>
      <c r="B70" s="227" t="inlineStr">
        <is>
          <t>D</t>
        </is>
      </c>
      <c r="C70" s="228" t="inlineStr">
        <is>
          <t>Number of students in line c who were awarded any financial aid</t>
        </is>
      </c>
      <c r="D70" s="229" t="n">
        <v>3671</v>
      </c>
      <c r="E70" s="229" t="n">
        <v>14876</v>
      </c>
      <c r="F70" s="229" t="n">
        <v>158</v>
      </c>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25.5" customHeight="1" s="348">
      <c r="A71" s="426" t="n"/>
      <c r="B71" s="227" t="inlineStr">
        <is>
          <t>E</t>
        </is>
      </c>
      <c r="C71" s="228" t="inlineStr">
        <is>
          <t>Number of students in line d who were awarded any need-based scholarship or grant aid</t>
        </is>
      </c>
      <c r="D71" s="229" t="n">
        <v>3253</v>
      </c>
      <c r="E71" s="229" t="n">
        <v>13271</v>
      </c>
      <c r="F71" s="229" t="n">
        <v>134</v>
      </c>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24.4" customHeight="1" s="348">
      <c r="A72" s="426" t="n"/>
      <c r="B72" s="227" t="inlineStr">
        <is>
          <t>F</t>
        </is>
      </c>
      <c r="C72" s="228" t="inlineStr">
        <is>
          <t>Number of students in line d who were awarded any need-based self-help aid</t>
        </is>
      </c>
      <c r="D72" s="229" t="n">
        <v>2575</v>
      </c>
      <c r="E72" s="229" t="n">
        <v>9993</v>
      </c>
      <c r="F72" s="229" t="n">
        <v>102</v>
      </c>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24" customHeight="1" s="348">
      <c r="A73" s="426" t="n"/>
      <c r="B73" s="227" t="inlineStr">
        <is>
          <t>G</t>
        </is>
      </c>
      <c r="C73" s="228" t="inlineStr">
        <is>
          <t>Number of students in line d who were awarded any non-need-based scholarship or grant aid</t>
        </is>
      </c>
      <c r="D73" s="229" t="n">
        <v>846</v>
      </c>
      <c r="E73" s="229" t="n">
        <v>2092</v>
      </c>
      <c r="F73" s="229" t="n">
        <v>18</v>
      </c>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37.15" customHeight="1" s="348">
      <c r="A74" s="426" t="n"/>
      <c r="B74" s="227" t="inlineStr">
        <is>
          <t>H</t>
        </is>
      </c>
      <c r="C74" s="228" t="inlineStr">
        <is>
          <t>Number of students in line d whose need was fully met (exclude PLUS loans, unsubsidized loans, and private alternative loans)</t>
        </is>
      </c>
      <c r="D74" s="229" t="n">
        <v>744</v>
      </c>
      <c r="E74" s="229" t="n">
        <v>2372</v>
      </c>
      <c r="F74" s="229" t="n">
        <v>9</v>
      </c>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72" customHeight="1" s="348">
      <c r="A75" s="426" t="n"/>
      <c r="B75" s="227" t="inlineStr">
        <is>
          <t>I</t>
        </is>
      </c>
      <c r="C75" s="228" t="inlineStr">
        <is>
          <t>On average, the percentage of need that was met of students who were awarded any need-based aid. Exclude any aid that was awarded in excess of need as well as any resources that were awarded to replace EFC (PLUS loans, unsubsidized loans, and private alternative loans)</t>
        </is>
      </c>
      <c r="D75" s="229" t="n">
        <v>71</v>
      </c>
      <c r="E75" s="229" t="n">
        <v>71</v>
      </c>
      <c r="F75" s="229" t="n">
        <v>49</v>
      </c>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49.15" customHeight="1" s="348">
      <c r="A76" s="426" t="n"/>
      <c r="B76" s="227" t="inlineStr">
        <is>
          <t>J</t>
        </is>
      </c>
      <c r="C76" s="228" t="inlineStr">
        <is>
          <t>The average financial aid package of those in line d. Exclude any resources that were awarded to replace EFC (PLUS loans, unsubsidized loans, and private alternative loans)</t>
        </is>
      </c>
      <c r="D76" s="230" t="n">
        <v>20307</v>
      </c>
      <c r="E76" s="230" t="n">
        <v>20494</v>
      </c>
      <c r="F76" s="230" t="n">
        <v>10347</v>
      </c>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33.4" customHeight="1" s="348">
      <c r="A77" s="426" t="n"/>
      <c r="B77" s="231" t="inlineStr">
        <is>
          <t>K</t>
        </is>
      </c>
      <c r="C77" s="232" t="inlineStr">
        <is>
          <t>Average need-based scholarship and grant award of those in line e</t>
        </is>
      </c>
      <c r="D77" s="230" t="n">
        <v>19550</v>
      </c>
      <c r="E77" s="230" t="n">
        <v>19706</v>
      </c>
      <c r="F77" s="230" t="n">
        <v>10116</v>
      </c>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36.4" customHeight="1" s="348">
      <c r="A78" s="426" t="n"/>
      <c r="B78" s="227" t="inlineStr">
        <is>
          <t>L</t>
        </is>
      </c>
      <c r="C78" s="228" t="inlineStr">
        <is>
          <t>Average need-based self-help award (excluding PLUS loans, unsubsidized loans, and private alternative loans) of those in line f</t>
        </is>
      </c>
      <c r="D78" s="230" t="n">
        <v>4423</v>
      </c>
      <c r="E78" s="230" t="n">
        <v>4443</v>
      </c>
      <c r="F78" s="230" t="n">
        <v>3240</v>
      </c>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39" customHeight="1" s="348">
      <c r="A79" s="426" t="n"/>
      <c r="B79" s="227" t="inlineStr">
        <is>
          <t>M</t>
        </is>
      </c>
      <c r="C79" s="228" t="inlineStr">
        <is>
          <t>Average need-based loan (excluding PLUS loans, unsubsidized loans, and private alternative loans) of those in line f who were awarded a need-based loan</t>
        </is>
      </c>
      <c r="D79" s="230" t="n">
        <v>3747</v>
      </c>
      <c r="E79" s="230" t="n">
        <v>3990</v>
      </c>
      <c r="F79" s="230" t="n">
        <v>2965</v>
      </c>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15"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42.75" customHeight="1" s="348">
      <c r="A81" s="426" t="inlineStr">
        <is>
          <t>H2A</t>
        </is>
      </c>
      <c r="B81" s="401" t="inlineStr">
        <is>
          <t>Number of Enrolled Students Awarded Non-need-based Scholarships and Grants: List the number of degree-seeking full-time and less-than-full-time undergraduates who had no financial need and who were awarded institutional non-need-based scholarship or grant aid.</t>
        </is>
      </c>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3.5" customHeight="1" s="348">
      <c r="A82" s="426" t="n"/>
      <c r="B82" s="382" t="inlineStr">
        <is>
          <t>•     Numbers should reflect the cohort awarded the dollars reported in H1.</t>
        </is>
      </c>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24.75" customHeight="1" s="348">
      <c r="A83" s="426" t="n"/>
      <c r="B83" s="382" t="inlineStr">
        <is>
          <t>•     In the chart below, students may be counted in more than one row, and full-time, first-time, first-year students should also be 
      counted as full-time undergraduates.</t>
        </is>
      </c>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23.25" customHeight="1" s="348">
      <c r="A84" s="426" t="n"/>
      <c r="B84" s="463" t="inlineStr">
        <is>
          <t>•     Do NOT include any aid related to the CARES Act or unique to the COVID-19 pandemic.</t>
        </is>
      </c>
      <c r="C84" s="498" t="n"/>
      <c r="D84" s="498" t="n"/>
      <c r="E84" s="498" t="n"/>
      <c r="F84" s="498"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35.65" customHeight="1" s="348">
      <c r="A85" s="426" t="n"/>
      <c r="B85" s="223" t="n"/>
      <c r="C85" s="224" t="n"/>
      <c r="D85" s="226" t="inlineStr">
        <is>
          <t>Full-time       
First-time
First-year</t>
        </is>
      </c>
      <c r="E85" s="226" t="inlineStr">
        <is>
          <t>Full-time
Undergrad
(Incl. Fresh.)</t>
        </is>
      </c>
      <c r="F85" s="226" t="inlineStr">
        <is>
          <t>Less Than
Full-time
Undergrad</t>
        </is>
      </c>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49.5" customHeight="1" s="348">
      <c r="A86" s="426" t="n"/>
      <c r="B86" s="233" t="inlineStr">
        <is>
          <t>N</t>
        </is>
      </c>
      <c r="C86" s="228" t="inlineStr">
        <is>
          <t>Number of students in line a who had no financial need and who were awarded institutional non-need-based scholarship or grant aid (exclude those who were awarded athletic awards and tuition benefits)</t>
        </is>
      </c>
      <c r="D86" s="229" t="n">
        <v>939</v>
      </c>
      <c r="E86" s="229" t="n">
        <v>3855</v>
      </c>
      <c r="F86" s="229" t="n">
        <v>77</v>
      </c>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25.15" customHeight="1" s="348">
      <c r="A87" s="426" t="n"/>
      <c r="B87" s="233" t="inlineStr">
        <is>
          <t>O</t>
        </is>
      </c>
      <c r="C87" s="228" t="inlineStr">
        <is>
          <t>Average dollar amount of institutional non-need-based scholarship and grant aid awarded to students in line n</t>
        </is>
      </c>
      <c r="D87" s="234" t="n">
        <v>6983</v>
      </c>
      <c r="E87" s="234" t="n">
        <v>7287</v>
      </c>
      <c r="F87" s="234" t="n">
        <v>4950</v>
      </c>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38.65" customHeight="1" s="348">
      <c r="A88" s="426" t="n"/>
      <c r="B88" s="233" t="inlineStr">
        <is>
          <t>P</t>
        </is>
      </c>
      <c r="C88" s="228" t="inlineStr">
        <is>
          <t>Number of students in line a who were awarded an institutional non-need-based athletic scholarship or grant</t>
        </is>
      </c>
      <c r="D88" s="229" t="n">
        <v>40</v>
      </c>
      <c r="E88" s="229" t="n">
        <v>211</v>
      </c>
      <c r="F88" s="229" t="n">
        <v>4</v>
      </c>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38.65" customHeight="1" s="348">
      <c r="A89" s="426" t="n"/>
      <c r="B89" s="233" t="inlineStr">
        <is>
          <t>Q</t>
        </is>
      </c>
      <c r="C89" s="228" t="inlineStr">
        <is>
          <t>Average dollar amount of institutional non-need-based athletic scholarships and grants awarded to students in line p</t>
        </is>
      </c>
      <c r="D89" s="234" t="n">
        <v>34610</v>
      </c>
      <c r="E89" s="234" t="n">
        <v>34266</v>
      </c>
      <c r="F89" s="234" t="n">
        <v>18980</v>
      </c>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53"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27" customHeight="1" s="348">
      <c r="A91" s="426" t="n"/>
      <c r="B91" s="235" t="n"/>
      <c r="C91" s="464" t="inlineStr">
        <is>
          <t xml:space="preserve">Note: These are the graduates and loan types to include and exclude in order to fill out CDS H4 and H5. </t>
        </is>
      </c>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4.25" customHeight="1" s="348">
      <c r="A92" s="426" t="n"/>
      <c r="B92" s="235" t="n"/>
      <c r="C92" s="437" t="inlineStr">
        <is>
          <t>Include:</t>
        </is>
      </c>
      <c r="D92" s="476" t="n"/>
      <c r="E92" s="476" t="n"/>
      <c r="F92" s="476"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29.25" customHeight="1" s="348">
      <c r="A93" s="426" t="n"/>
      <c r="B93" s="235" t="n"/>
      <c r="C93" s="465" t="inlineStr">
        <is>
          <t>•     2022 undergraduate class: all students who started at your institution as first-time students and 
      received a bachelor's degree between July 1, 2021 and June 30, 2022.</t>
        </is>
      </c>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4.25" customHeight="1" s="348">
      <c r="A94" s="426" t="n"/>
      <c r="B94" s="235" t="n"/>
      <c r="C94" s="462" t="inlineStr">
        <is>
          <t>•     Only loans made to students who borrowed while enrolled at your institution.</t>
        </is>
      </c>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4.25" customHeight="1" s="348">
      <c r="A95" s="426" t="n"/>
      <c r="B95" s="235" t="n"/>
      <c r="C95" s="462" t="inlineStr">
        <is>
          <t>•     Co-signed loans.</t>
        </is>
      </c>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4.25" customHeight="1" s="348">
      <c r="A96" s="426" t="n"/>
      <c r="B96" s="235" t="n"/>
      <c r="C96" s="462" t="inlineStr">
        <is>
          <t>Exclude</t>
        </is>
      </c>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4.25" customHeight="1" s="348">
      <c r="A97" s="426" t="n"/>
      <c r="B97" s="235" t="n"/>
      <c r="C97" s="462" t="inlineStr">
        <is>
          <t>•     Students who transferred in.</t>
        </is>
      </c>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4.25" customHeight="1" s="348">
      <c r="A98" s="426" t="n"/>
      <c r="B98" s="235" t="n"/>
      <c r="C98" s="462" t="inlineStr">
        <is>
          <t>•     Money borrowed at other institutions.</t>
        </is>
      </c>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4.25" customHeight="1" s="348">
      <c r="A99" s="426" t="n"/>
      <c r="B99" s="235" t="n"/>
      <c r="C99" s="462" t="inlineStr">
        <is>
          <t>•     Parent loans</t>
        </is>
      </c>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27.75" customHeight="1" s="348">
      <c r="A100" s="426" t="n"/>
      <c r="B100" s="235" t="n"/>
      <c r="C100" s="462" t="inlineStr">
        <is>
          <t>•     Students who did not graduate or who graduated with another degree or certificate (but no 
      bachelor’s degree).</t>
        </is>
      </c>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26" t="n"/>
      <c r="B101" s="235" t="n"/>
      <c r="C101" s="414" t="inlineStr">
        <is>
          <t>•     Any aid related to the CARE Act or unique the COVID-19 pandemic.</t>
        </is>
      </c>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15"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53.25" customHeight="1" s="348">
      <c r="A103" s="426" t="inlineStr">
        <is>
          <t>H4</t>
        </is>
      </c>
      <c r="B103" s="522" t="inlineStr">
        <is>
          <t>Provide the number of students in the 2022 undergraduate class who started at your institution as first-time students and received a bachelor's degree between July 1, 2021 and June 30, 2022. Exclude students who transferred into your institution.</t>
        </is>
      </c>
      <c r="E103" s="509" t="n"/>
      <c r="F103" s="239" t="n">
        <v>6691</v>
      </c>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66" customHeight="1" s="348">
      <c r="A104" s="488" t="n"/>
      <c r="B104" s="474"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28.5" customHeight="1" s="348">
      <c r="A105" s="365" t="inlineStr">
        <is>
          <t>H5. Number and percent of students in class (defined in H4 above) borrowing from federal, non-federal, and any loan sources, and the average (or mean) amount borrowed.</t>
        </is>
      </c>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32.25" customHeight="1" s="348">
      <c r="A106" s="367" t="inlineStr">
        <is>
          <t xml:space="preserve">•     The “Average per-undergraduate-borrower cumulative principal borrowed,” is designed to provide better 
      information about student borrowing from federal and nonfederal (institutional, state, commercial) sources. </t>
        </is>
      </c>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47.25" customHeight="1" s="348" thickBot="1">
      <c r="A107" s="367" t="inlineStr">
        <is>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is>
      </c>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66" customHeight="1" s="348">
      <c r="A108" s="466" t="n"/>
      <c r="B108" s="142" t="inlineStr">
        <is>
          <t>Source/Type of Loan</t>
        </is>
      </c>
      <c r="C108" s="516" t="n"/>
      <c r="D108" s="552" t="inlineStr">
        <is>
          <t>Number in the class (defined in H4 above) who borrowed from the types of loans specified in the first column</t>
        </is>
      </c>
      <c r="E108" s="553" t="inlineStr">
        <is>
          <t>Percent of the class (defined above) who borrowed from the types of loans specified in the first column (nearest 1%)</t>
        </is>
      </c>
      <c r="F108" s="554" t="inlineStr">
        <is>
          <t>Average per-undergraduate-borrower cumulative principal borrowed from the types of loans specified in the first column (nearest $1)</t>
        </is>
      </c>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80.25" customHeight="1" s="348" thickBot="1">
      <c r="A109" s="509" t="n"/>
      <c r="B109" s="517" t="n"/>
      <c r="C109" s="518" t="n"/>
      <c r="D109" s="555" t="n"/>
      <c r="E109" s="556" t="n"/>
      <c r="F109" s="557"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66" customHeight="1" s="348">
      <c r="A110" s="488" t="n"/>
      <c r="B110" s="82" t="inlineStr">
        <is>
          <t>A</t>
        </is>
      </c>
      <c r="C110" s="240" t="inlineStr">
        <is>
          <t>Any loan program: Federal Perkins, Federal Stafford Subsidized and Unsubsidized, institutional, state, private loans that your institution is aware of, etc. Include both Federal Direct Student Loans and Federal Family Education Loans.</t>
        </is>
      </c>
      <c r="D110" s="241" t="n">
        <v>2712</v>
      </c>
      <c r="E110" s="242" t="n">
        <v>0.41</v>
      </c>
      <c r="F110" s="558" t="n">
        <v>22817</v>
      </c>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56.25" customHeight="1" s="348">
      <c r="A111" s="488" t="n"/>
      <c r="B111" s="82" t="inlineStr">
        <is>
          <t>B</t>
        </is>
      </c>
      <c r="C111" s="244" t="inlineStr">
        <is>
          <t>Federal loan programs: Federal Perkins, Federal Stafford Subsidized and Unsubsidized. Include both Federal Direct Student Loans and Federal Family Education Loans.</t>
        </is>
      </c>
      <c r="D111" s="245" t="n">
        <v>2643</v>
      </c>
      <c r="E111" s="246" t="n">
        <v>0.4</v>
      </c>
      <c r="F111" s="540" t="n">
        <v>18335</v>
      </c>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33" customHeight="1" s="348">
      <c r="A112" s="488" t="n"/>
      <c r="B112" s="82" t="inlineStr">
        <is>
          <t>C</t>
        </is>
      </c>
      <c r="C112" s="165" t="inlineStr">
        <is>
          <t>Institutional loan programs.</t>
        </is>
      </c>
      <c r="D112" s="245" t="n">
        <v>436</v>
      </c>
      <c r="E112" s="246" t="n">
        <v>0.07000000000000001</v>
      </c>
      <c r="F112" s="540" t="n">
        <v>3087</v>
      </c>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35.25" customHeight="1" s="348">
      <c r="A113" s="488" t="n"/>
      <c r="B113" s="82" t="inlineStr">
        <is>
          <t>D</t>
        </is>
      </c>
      <c r="C113" s="165" t="inlineStr">
        <is>
          <t>State loan programs.</t>
        </is>
      </c>
      <c r="D113" s="245" t="n">
        <v>0</v>
      </c>
      <c r="E113" s="246" t="n">
        <v>0</v>
      </c>
      <c r="F113" s="540" t="n">
        <v>0</v>
      </c>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36.75" customHeight="1" s="348">
      <c r="A114" s="488" t="n"/>
      <c r="B114" s="82" t="inlineStr">
        <is>
          <t>E</t>
        </is>
      </c>
      <c r="C114" s="165" t="inlineStr">
        <is>
          <t>Private student loans made by a bank or lender.</t>
        </is>
      </c>
      <c r="D114" s="245" t="n">
        <v>334</v>
      </c>
      <c r="E114" s="246" t="n">
        <v>0.05</v>
      </c>
      <c r="F114" s="540" t="n">
        <v>36150</v>
      </c>
      <c r="G114" s="559" t="n"/>
      <c r="H114" s="560" t="n"/>
      <c r="I114" s="540" t="n"/>
      <c r="J114" s="540" t="n"/>
      <c r="K114" s="540" t="n"/>
      <c r="L114" s="540" t="n"/>
      <c r="M114" s="540" t="n"/>
      <c r="N114" s="540" t="n"/>
      <c r="O114" s="540" t="n"/>
      <c r="P114" s="540" t="n"/>
      <c r="Q114" s="540" t="n"/>
      <c r="R114" s="540" t="n"/>
      <c r="S114" s="540" t="n"/>
      <c r="T114" s="540" t="n"/>
      <c r="U114" s="540" t="n"/>
      <c r="V114" s="540" t="n"/>
      <c r="W114" s="540" t="n"/>
      <c r="X114" s="540" t="n"/>
      <c r="Y114" s="540" t="n"/>
      <c r="Z114" s="540" t="n"/>
    </row>
    <row r="115" ht="12.75" customHeight="1" s="348">
      <c r="A115" s="426"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8.75" customHeight="1" s="348">
      <c r="A116" s="415" t="n"/>
      <c r="B116" s="475" t="inlineStr">
        <is>
          <t>Aid to Undergraduate Degree-seeking Nonresidents</t>
        </is>
      </c>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5" customHeight="1" s="348">
      <c r="A117" s="415" t="n"/>
      <c r="B117" s="475" t="n"/>
      <c r="C117" s="401" t="inlineStr">
        <is>
          <t>•     Report numbers and dollar amounts for the same academic year checked in item H1</t>
        </is>
      </c>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 customHeight="1" s="348">
      <c r="A118" s="415" t="n"/>
      <c r="B118" s="475" t="n"/>
      <c r="C118" s="382" t="n"/>
      <c r="D118" s="382" t="n"/>
      <c r="E118" s="382" t="n"/>
      <c r="F118" s="382"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26.25" customHeight="1" s="348">
      <c r="A119" s="426" t="inlineStr">
        <is>
          <t>H6</t>
        </is>
      </c>
      <c r="B119" s="382" t="inlineStr">
        <is>
          <t>Indicate your institution’s policy regarding institutional scholarship and grant aid for undergraduate degree-seeking nonresidents:</t>
        </is>
      </c>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4.25" customHeight="1" s="348">
      <c r="A120" s="426" t="n"/>
      <c r="B120" s="382" t="n"/>
      <c r="C120" s="382" t="n"/>
      <c r="D120" s="382" t="n"/>
      <c r="E120" s="382" t="n"/>
      <c r="F120" s="382"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119" t="n"/>
      <c r="B121" s="415" t="inlineStr">
        <is>
          <t>Institutional need-based scholarship or grant aid is available</t>
        </is>
      </c>
      <c r="E121" s="186"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119" t="inlineStr">
        <is>
          <t>X</t>
        </is>
      </c>
      <c r="B122" s="415" t="inlineStr">
        <is>
          <t>Institutional non-need-based scholarship or grant aid is available</t>
        </is>
      </c>
      <c r="E122" s="186"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119" t="n"/>
      <c r="B123" s="415" t="inlineStr">
        <is>
          <t>Institutional scholarship or grant aid is not available</t>
        </is>
      </c>
      <c r="E123" s="186"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40.5" customHeight="1" s="348">
      <c r="A125" s="426" t="n"/>
      <c r="B125" s="508" t="inlineStr">
        <is>
          <t>If institutional financial aid is available for undergraduate degree-seeking nonresidents, provide the number of undergraduate degree-seeking nonresidents who were awarded need-based or non-need-based aid:</t>
        </is>
      </c>
      <c r="E125" s="509" t="n"/>
      <c r="F125" s="250" t="n">
        <v>36</v>
      </c>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382" t="n"/>
      <c r="C126" s="400" t="n"/>
      <c r="D126" s="382" t="n"/>
      <c r="E126" s="382" t="n"/>
      <c r="F126" s="161"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25.5" customHeight="1" s="348">
      <c r="A127" s="426" t="n"/>
      <c r="B127" s="508" t="inlineStr">
        <is>
          <t>Average dollar amount of institutional financial aid awarded to undergraduate degree-seeking nonresidents:</t>
        </is>
      </c>
      <c r="E127" s="509" t="n"/>
      <c r="F127" s="561" t="n">
        <v>5730.13</v>
      </c>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252"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26.25" customHeight="1" s="348">
      <c r="A129" s="426" t="n"/>
      <c r="B129" s="508" t="inlineStr">
        <is>
          <t>Total dollar amount of institutional financial aid awarded to undergraduate degree-seeking nonresidents:</t>
        </is>
      </c>
      <c r="E129" s="509" t="n"/>
      <c r="F129" s="561" t="n">
        <v>206284.8</v>
      </c>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26.25" customHeight="1" s="348">
      <c r="A130" s="426" t="n"/>
      <c r="B130" s="382" t="n"/>
      <c r="C130" s="382" t="n"/>
      <c r="D130" s="382" t="n"/>
      <c r="E130" s="382" t="n"/>
      <c r="F130" s="546"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26" t="inlineStr">
        <is>
          <t>H7</t>
        </is>
      </c>
      <c r="B131" s="382" t="inlineStr">
        <is>
          <t>Check off all financial aid forms nonresident first-year financial aid applicants must submit:</t>
        </is>
      </c>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26" t="n"/>
      <c r="B132" s="382" t="n"/>
      <c r="C132" s="382" t="n"/>
      <c r="D132" s="382" t="n"/>
      <c r="E132" s="382" t="n"/>
      <c r="F132" s="382"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119" t="n"/>
      <c r="B133" s="415" t="inlineStr">
        <is>
          <t>Institution’s own financial aid form</t>
        </is>
      </c>
      <c r="E133" s="161"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119" t="n"/>
      <c r="B134" s="415" t="inlineStr">
        <is>
          <t>CSS/Financial Aid PROFILE</t>
        </is>
      </c>
      <c r="E134" s="161"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119" t="n"/>
      <c r="B135" s="415" t="inlineStr">
        <is>
          <t>International Student’s Financial Aid Application</t>
        </is>
      </c>
      <c r="E135" s="161"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119" t="n"/>
      <c r="B136" s="415" t="inlineStr">
        <is>
          <t>International Student’s Certification of Finances</t>
        </is>
      </c>
      <c r="E136" s="161"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119" t="inlineStr">
        <is>
          <t>X</t>
        </is>
      </c>
      <c r="B137" s="382" t="inlineStr">
        <is>
          <t>Other (specify):</t>
        </is>
      </c>
      <c r="E137" s="161"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26" t="n"/>
      <c r="B138" s="413" t="inlineStr">
        <is>
          <t>RISE App</t>
        </is>
      </c>
      <c r="C138" s="498" t="n"/>
      <c r="D138" s="498"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253" t="inlineStr">
        <is>
          <t>Process for First-Year Students</t>
        </is>
      </c>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2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26" t="inlineStr">
        <is>
          <t>H8</t>
        </is>
      </c>
      <c r="B142" s="382" t="inlineStr">
        <is>
          <t>Check off all financial aid forms domestic first-year financial aid applicants must submit:</t>
        </is>
      </c>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26" t="n"/>
      <c r="B143" s="382" t="n"/>
      <c r="C143" s="382" t="n"/>
      <c r="D143" s="382" t="n"/>
      <c r="E143" s="382" t="n"/>
      <c r="F143" s="382"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119" t="inlineStr">
        <is>
          <t>X</t>
        </is>
      </c>
      <c r="B144" s="415" t="inlineStr">
        <is>
          <t>FAFSA</t>
        </is>
      </c>
      <c r="E144" s="161"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119" t="n"/>
      <c r="B145" s="415" t="inlineStr">
        <is>
          <t>Institution's own financial aid form</t>
        </is>
      </c>
      <c r="E145" s="161"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119" t="n"/>
      <c r="B146" s="415" t="inlineStr">
        <is>
          <t>CSS/Financial Aid PROFILE</t>
        </is>
      </c>
      <c r="E146" s="161"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119" t="n"/>
      <c r="B147" s="415" t="inlineStr">
        <is>
          <t>State aid form</t>
        </is>
      </c>
      <c r="E147" s="161"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119" t="n"/>
      <c r="B148" s="415" t="inlineStr">
        <is>
          <t>Noncustodial PROFILE</t>
        </is>
      </c>
      <c r="E148" s="161"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119" t="n"/>
      <c r="B149" s="415" t="inlineStr">
        <is>
          <t>Business/Farm Supplement</t>
        </is>
      </c>
      <c r="E149" s="161"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119" t="n"/>
      <c r="B150" s="382" t="inlineStr">
        <is>
          <t>Other (specify):</t>
        </is>
      </c>
      <c r="E150" s="161"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26" t="n"/>
      <c r="B151" s="413" t="n"/>
      <c r="C151" s="498" t="n"/>
      <c r="D151" s="498"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26" t="inlineStr">
        <is>
          <t>H9</t>
        </is>
      </c>
      <c r="B153" s="415" t="inlineStr">
        <is>
          <t>Indicate filing dates for first-year students:</t>
        </is>
      </c>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8.75" customHeight="1" s="348">
      <c r="A154" s="426" t="n"/>
      <c r="B154" s="415" t="n"/>
      <c r="C154" s="410" t="inlineStr">
        <is>
          <t>Priority date for filing required financial aid forms:</t>
        </is>
      </c>
      <c r="D154" s="254" t="n">
        <v>45000</v>
      </c>
      <c r="E154" s="528" t="n"/>
      <c r="F154" s="161"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22.5" customHeight="1" s="348">
      <c r="A155" s="426" t="n"/>
      <c r="B155" s="415" t="n"/>
      <c r="C155" s="410" t="inlineStr">
        <is>
          <t>Deadline for filing required financial aid forms:</t>
        </is>
      </c>
      <c r="D155" s="88" t="n"/>
      <c r="E155" s="528"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1.25" customHeight="1" s="348">
      <c r="A156" s="426" t="n"/>
      <c r="B156" s="415" t="n"/>
      <c r="C156" s="410" t="n"/>
      <c r="D156" s="125" t="n"/>
      <c r="E156" s="528"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26" t="n"/>
      <c r="B157" s="74" t="inlineStr">
        <is>
          <t>X</t>
        </is>
      </c>
      <c r="C157" s="382" t="inlineStr">
        <is>
          <t>No deadline for filing required forms (applications processed on a rolling basis)</t>
        </is>
      </c>
      <c r="D157" s="368" t="n"/>
      <c r="E157" s="368"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368"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382" t="n"/>
      <c r="C159" s="382"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26" t="inlineStr">
        <is>
          <t>H10</t>
        </is>
      </c>
      <c r="B160" s="382" t="inlineStr">
        <is>
          <t>Indicate notification dates for first-year students (answer a or b):</t>
        </is>
      </c>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26" t="n"/>
      <c r="B161" s="382" t="n"/>
      <c r="C161" s="382" t="n"/>
      <c r="D161" s="382" t="n"/>
      <c r="E161" s="382" t="n"/>
      <c r="F161" s="382"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26" t="n"/>
      <c r="B162" s="453" t="n"/>
      <c r="C162" s="415" t="inlineStr">
        <is>
          <t xml:space="preserve">a) Students notified on or about (date): </t>
        </is>
      </c>
      <c r="D162" s="125" t="n"/>
      <c r="E162" s="562" t="n"/>
      <c r="F162" s="161"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26" t="n"/>
      <c r="B163" s="453" t="n"/>
      <c r="C163" s="427" t="n"/>
      <c r="D163" s="125" t="n"/>
      <c r="E163" s="562" t="n"/>
      <c r="F163" s="161"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26" t="n"/>
      <c r="B164" s="453" t="n"/>
      <c r="D164" s="563" t="n"/>
      <c r="E164" s="160" t="n"/>
      <c r="F164" s="161"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26" t="n"/>
      <c r="B165" s="258" t="n"/>
      <c r="C165" s="412" t="inlineStr">
        <is>
          <t>b) Students notified on a rolling basis:</t>
        </is>
      </c>
      <c r="D165" s="186" t="n"/>
      <c r="E165" s="186" t="n"/>
      <c r="F165" s="161"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26" t="n"/>
      <c r="B166" s="119" t="inlineStr">
        <is>
          <t>X</t>
        </is>
      </c>
      <c r="C166" s="412" t="inlineStr">
        <is>
          <t>Yes</t>
        </is>
      </c>
      <c r="D166" s="562"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119" t="n"/>
      <c r="C167" s="410" t="inlineStr">
        <is>
          <t>No</t>
        </is>
      </c>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10" t="inlineStr">
        <is>
          <t>If yes, starting date:</t>
        </is>
      </c>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260" t="n">
        <v>44972</v>
      </c>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26" t="inlineStr">
        <is>
          <t>H11</t>
        </is>
      </c>
      <c r="B171" s="415" t="inlineStr">
        <is>
          <t>Indicate reply dates:</t>
        </is>
      </c>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26" t="n"/>
      <c r="B172" s="519" t="inlineStr">
        <is>
          <t xml:space="preserve">Students must reply by (date): </t>
        </is>
      </c>
      <c r="C172" s="495" t="n"/>
      <c r="D172" s="525" t="n">
        <v>45047</v>
      </c>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26" t="n"/>
      <c r="B173" s="519" t="inlineStr">
        <is>
          <t>or within _______ weeks of notification.</t>
        </is>
      </c>
      <c r="C173" s="495" t="n"/>
      <c r="D173" s="261"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253" t="inlineStr">
        <is>
          <t>Types of Aid Available</t>
        </is>
      </c>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20.25" customHeight="1" s="348">
      <c r="A176" s="415" t="n"/>
      <c r="B176" s="125" t="inlineStr">
        <is>
          <t>Please check off all types of aid available to undergraduates at your institution:</t>
        </is>
      </c>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26" t="inlineStr">
        <is>
          <t>H12</t>
        </is>
      </c>
      <c r="B177" s="426" t="inlineStr">
        <is>
          <t>Loans</t>
        </is>
      </c>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26" t="n"/>
      <c r="B178" s="415"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119" t="inlineStr">
        <is>
          <t>X</t>
        </is>
      </c>
      <c r="B179" s="415" t="inlineStr">
        <is>
          <t>Direct Subsidized Stafford Loans</t>
        </is>
      </c>
      <c r="E179" s="186"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119" t="inlineStr">
        <is>
          <t>X</t>
        </is>
      </c>
      <c r="B180" s="415" t="inlineStr">
        <is>
          <t>Direct Unsubsidized Stafford Loans</t>
        </is>
      </c>
      <c r="E180" s="186"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119" t="inlineStr">
        <is>
          <t>X</t>
        </is>
      </c>
      <c r="B181" s="415" t="inlineStr">
        <is>
          <t>Direct PLUS Loans</t>
        </is>
      </c>
      <c r="E181" s="186"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119" t="n"/>
      <c r="B182" s="415" t="inlineStr">
        <is>
          <t>Federal Perkins Loans</t>
        </is>
      </c>
      <c r="E182" s="186"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119" t="n"/>
      <c r="B183" s="415" t="inlineStr">
        <is>
          <t>Federal Nursing Loans</t>
        </is>
      </c>
      <c r="E183" s="186"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119" t="n"/>
      <c r="B184" s="415" t="inlineStr">
        <is>
          <t>State Loans</t>
        </is>
      </c>
      <c r="E184" s="186"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119" t="inlineStr">
        <is>
          <t>X</t>
        </is>
      </c>
      <c r="B185" s="415" t="inlineStr">
        <is>
          <t>College/university loans from institutional funds</t>
        </is>
      </c>
      <c r="E185" s="186"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119" t="n"/>
      <c r="B186" s="382" t="inlineStr">
        <is>
          <t>Other (specify):</t>
        </is>
      </c>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26" t="n"/>
      <c r="B187" s="413" t="n"/>
      <c r="C187" s="498" t="n"/>
      <c r="D187" s="498"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26" t="inlineStr">
        <is>
          <t>H13</t>
        </is>
      </c>
      <c r="B189" s="426" t="inlineStr">
        <is>
          <t>Need Based Scholarships and Grants</t>
        </is>
      </c>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26" t="n"/>
      <c r="B190" s="415"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119" t="inlineStr">
        <is>
          <t>X</t>
        </is>
      </c>
      <c r="B191" s="415" t="inlineStr">
        <is>
          <t>Federal Pell</t>
        </is>
      </c>
      <c r="E191" s="186"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119" t="inlineStr">
        <is>
          <t>X</t>
        </is>
      </c>
      <c r="B192" s="415" t="inlineStr">
        <is>
          <t>SEOG</t>
        </is>
      </c>
      <c r="E192" s="186"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119" t="inlineStr">
        <is>
          <t>X</t>
        </is>
      </c>
      <c r="B193" s="415" t="inlineStr">
        <is>
          <t>State scholarships/grants</t>
        </is>
      </c>
      <c r="E193" s="186"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119" t="inlineStr">
        <is>
          <t>X</t>
        </is>
      </c>
      <c r="B194" s="415" t="inlineStr">
        <is>
          <t>Private scholarships</t>
        </is>
      </c>
      <c r="E194" s="186"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119" t="inlineStr">
        <is>
          <t>X</t>
        </is>
      </c>
      <c r="B195" s="415" t="inlineStr">
        <is>
          <t>College/university scholarship or grant aid from institutional funds</t>
        </is>
      </c>
      <c r="E195" s="186"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119" t="inlineStr">
        <is>
          <t>X</t>
        </is>
      </c>
      <c r="B196" s="415" t="inlineStr">
        <is>
          <t>United Negro College Fund</t>
        </is>
      </c>
      <c r="E196" s="186"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119" t="n"/>
      <c r="B197" s="415" t="inlineStr">
        <is>
          <t>Federal Nursing Scholarship</t>
        </is>
      </c>
      <c r="E197" s="186"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119" t="n"/>
      <c r="B198" s="382" t="inlineStr">
        <is>
          <t>Other (specify):</t>
        </is>
      </c>
      <c r="E198" s="161"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26" t="n"/>
      <c r="B199" s="413" t="n"/>
      <c r="C199" s="498" t="n"/>
      <c r="D199" s="498"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26" t="inlineStr">
        <is>
          <t>H14</t>
        </is>
      </c>
      <c r="B201" s="415" t="inlineStr">
        <is>
          <t>Check off criteria used in awarding institutional aid. Check all that apply.</t>
        </is>
      </c>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26" t="n"/>
      <c r="B202" s="180" t="n"/>
      <c r="C202" s="495" t="n"/>
      <c r="D202" s="129" t="inlineStr">
        <is>
          <t>Non-Need Based</t>
        </is>
      </c>
      <c r="E202" s="129" t="inlineStr">
        <is>
          <t>Need-Based</t>
        </is>
      </c>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26" t="n"/>
      <c r="B203" s="182" t="inlineStr">
        <is>
          <t>Academics</t>
        </is>
      </c>
      <c r="C203" s="495" t="n"/>
      <c r="D203" s="119" t="inlineStr">
        <is>
          <t>X</t>
        </is>
      </c>
      <c r="E203" s="119" t="inlineStr">
        <is>
          <t>X</t>
        </is>
      </c>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26" t="n"/>
      <c r="B204" s="182" t="inlineStr">
        <is>
          <t>Alumni affiliation</t>
        </is>
      </c>
      <c r="C204" s="495" t="n"/>
      <c r="D204" s="119" t="inlineStr">
        <is>
          <t>X</t>
        </is>
      </c>
      <c r="E204" s="119"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26" t="n"/>
      <c r="B205" s="182" t="inlineStr">
        <is>
          <t>Art</t>
        </is>
      </c>
      <c r="C205" s="495" t="n"/>
      <c r="D205" s="119" t="inlineStr">
        <is>
          <t>X</t>
        </is>
      </c>
      <c r="E205" s="119" t="inlineStr">
        <is>
          <t>X</t>
        </is>
      </c>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26" t="n"/>
      <c r="B206" s="182" t="inlineStr">
        <is>
          <t>Athletics</t>
        </is>
      </c>
      <c r="C206" s="495" t="n"/>
      <c r="D206" s="119" t="inlineStr">
        <is>
          <t>X</t>
        </is>
      </c>
      <c r="E206" s="119" t="inlineStr">
        <is>
          <t>X</t>
        </is>
      </c>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26" t="n"/>
      <c r="B207" s="182" t="inlineStr">
        <is>
          <t>Job skills</t>
        </is>
      </c>
      <c r="C207" s="495" t="n"/>
      <c r="D207" s="119" t="n"/>
      <c r="E207" s="119"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26" t="n"/>
      <c r="B208" s="182" t="inlineStr">
        <is>
          <t>ROTC</t>
        </is>
      </c>
      <c r="C208" s="495" t="n"/>
      <c r="D208" s="119" t="inlineStr">
        <is>
          <t>X</t>
        </is>
      </c>
      <c r="E208" s="262"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26" t="n"/>
      <c r="B209" s="182" t="inlineStr">
        <is>
          <t>Leadership</t>
        </is>
      </c>
      <c r="C209" s="495" t="n"/>
      <c r="D209" s="119" t="inlineStr">
        <is>
          <t>X</t>
        </is>
      </c>
      <c r="E209" s="119" t="inlineStr">
        <is>
          <t>X</t>
        </is>
      </c>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26" t="n"/>
      <c r="B210" s="182" t="inlineStr">
        <is>
          <t>Minority status</t>
        </is>
      </c>
      <c r="C210" s="495" t="n"/>
      <c r="D210" s="119" t="inlineStr">
        <is>
          <t>X</t>
        </is>
      </c>
      <c r="E210" s="119" t="inlineStr">
        <is>
          <t>X</t>
        </is>
      </c>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26" t="n"/>
      <c r="B211" s="182" t="inlineStr">
        <is>
          <t>Music/drama</t>
        </is>
      </c>
      <c r="C211" s="495" t="n"/>
      <c r="D211" s="119" t="inlineStr">
        <is>
          <t>X</t>
        </is>
      </c>
      <c r="E211" s="119" t="inlineStr">
        <is>
          <t>X</t>
        </is>
      </c>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26" t="n"/>
      <c r="B212" s="182" t="inlineStr">
        <is>
          <t>Religious affiliation</t>
        </is>
      </c>
      <c r="C212" s="495" t="n"/>
      <c r="D212" s="119" t="n"/>
      <c r="E212" s="119"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26" t="n"/>
      <c r="B213" s="182" t="inlineStr">
        <is>
          <t>State/district residency</t>
        </is>
      </c>
      <c r="C213" s="495" t="n"/>
      <c r="D213" s="119" t="inlineStr">
        <is>
          <t>X</t>
        </is>
      </c>
      <c r="E213" s="119" t="inlineStr">
        <is>
          <t>X</t>
        </is>
      </c>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50.25" customHeight="1" s="348">
      <c r="A215" s="426" t="inlineStr">
        <is>
          <t>H15</t>
        </is>
      </c>
      <c r="B215" s="476" t="inlineStr">
        <is>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is>
      </c>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178" t="inlineStr">
        <is>
          <t>Beginning with the 2019-20 award year new freshman or new transfer students whose family income is $67,100 or less and has $50,000 or less in family assets will be considered for Illinois Commitment.  This program will provide financial awards to cover the tuition and campus fees for in-state students whose meet these qualifications.</t>
        </is>
      </c>
      <c r="C216" s="499" t="n"/>
      <c r="D216" s="499" t="n"/>
      <c r="E216" s="516"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564" t="n"/>
      <c r="E217" s="509"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564" t="n"/>
      <c r="E218" s="509"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517" t="n"/>
      <c r="C219" s="498" t="n"/>
      <c r="D219" s="498" t="n"/>
      <c r="E219" s="518"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10" t="inlineStr">
        <is>
          <t>Are these policies related to the COVID-19 pandemic?</t>
        </is>
      </c>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10" t="n"/>
      <c r="C222" s="410" t="n"/>
      <c r="D222" s="410" t="n"/>
      <c r="E222" s="410"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119" t="n"/>
      <c r="C223" s="410" t="inlineStr">
        <is>
          <t>Yes</t>
        </is>
      </c>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182" t="inlineStr">
        <is>
          <t>X</t>
        </is>
      </c>
      <c r="C224" s="410" t="inlineStr">
        <is>
          <t>No</t>
        </is>
      </c>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148">
    <mergeCell ref="B7:F7"/>
    <mergeCell ref="B81:F81"/>
    <mergeCell ref="B57:D57"/>
    <mergeCell ref="B25:F25"/>
    <mergeCell ref="B148:D148"/>
    <mergeCell ref="B3:F3"/>
    <mergeCell ref="B179:D179"/>
    <mergeCell ref="D108:D109"/>
    <mergeCell ref="F108:F109"/>
    <mergeCell ref="B53:D53"/>
    <mergeCell ref="B44:D44"/>
    <mergeCell ref="B131:F131"/>
    <mergeCell ref="B27:F27"/>
    <mergeCell ref="B221:E221"/>
    <mergeCell ref="B37:D37"/>
    <mergeCell ref="B186:D186"/>
    <mergeCell ref="B108:C109"/>
    <mergeCell ref="B11:F11"/>
    <mergeCell ref="B60:F60"/>
    <mergeCell ref="B133:D133"/>
    <mergeCell ref="B215:E215"/>
    <mergeCell ref="B198:D198"/>
    <mergeCell ref="B205:C205"/>
    <mergeCell ref="B116:F116"/>
    <mergeCell ref="B34:F34"/>
    <mergeCell ref="B28:F28"/>
    <mergeCell ref="B135:D135"/>
    <mergeCell ref="B144:D144"/>
    <mergeCell ref="B211:C211"/>
    <mergeCell ref="B84:F84"/>
    <mergeCell ref="B40:C40"/>
    <mergeCell ref="C93:F93"/>
    <mergeCell ref="B54:D54"/>
    <mergeCell ref="B30:F30"/>
    <mergeCell ref="B185:D185"/>
    <mergeCell ref="B216:E219"/>
    <mergeCell ref="A107:F107"/>
    <mergeCell ref="B134:D134"/>
    <mergeCell ref="B199:D199"/>
    <mergeCell ref="B177:C177"/>
    <mergeCell ref="B6:F6"/>
    <mergeCell ref="B20:F20"/>
    <mergeCell ref="B164:C164"/>
    <mergeCell ref="B142:F142"/>
    <mergeCell ref="B56:D56"/>
    <mergeCell ref="B160:F160"/>
    <mergeCell ref="B41:C41"/>
    <mergeCell ref="B212:C212"/>
    <mergeCell ref="B206:C206"/>
    <mergeCell ref="B209:C209"/>
    <mergeCell ref="B147:D147"/>
    <mergeCell ref="B137:D137"/>
    <mergeCell ref="B146:D146"/>
    <mergeCell ref="C96:F96"/>
    <mergeCell ref="B129:E129"/>
    <mergeCell ref="B187:D187"/>
    <mergeCell ref="B8:F8"/>
    <mergeCell ref="C98:F98"/>
    <mergeCell ref="B82:F82"/>
    <mergeCell ref="B36:D36"/>
    <mergeCell ref="B10:F10"/>
    <mergeCell ref="B47:D47"/>
    <mergeCell ref="B9:F9"/>
    <mergeCell ref="B83:F83"/>
    <mergeCell ref="B193:D193"/>
    <mergeCell ref="B150:D150"/>
    <mergeCell ref="B46:D46"/>
    <mergeCell ref="D15:E15"/>
    <mergeCell ref="B213:C213"/>
    <mergeCell ref="B5:F5"/>
    <mergeCell ref="B103:E103"/>
    <mergeCell ref="B48:D48"/>
    <mergeCell ref="B4:F4"/>
    <mergeCell ref="B136:D136"/>
    <mergeCell ref="B127:E127"/>
    <mergeCell ref="B145:D145"/>
    <mergeCell ref="B62:F62"/>
    <mergeCell ref="C91:F91"/>
    <mergeCell ref="B208:C208"/>
    <mergeCell ref="B181:D181"/>
    <mergeCell ref="A105:F105"/>
    <mergeCell ref="B31:F31"/>
    <mergeCell ref="B191:D191"/>
    <mergeCell ref="B178:D178"/>
    <mergeCell ref="B21:F21"/>
    <mergeCell ref="B210:C210"/>
    <mergeCell ref="B49:D49"/>
    <mergeCell ref="B42:C42"/>
    <mergeCell ref="E108:E109"/>
    <mergeCell ref="B183:D183"/>
    <mergeCell ref="B23:F23"/>
    <mergeCell ref="B192:D192"/>
    <mergeCell ref="D17:E17"/>
    <mergeCell ref="B13:F13"/>
    <mergeCell ref="B171:C171"/>
    <mergeCell ref="C97:F97"/>
    <mergeCell ref="B123:D123"/>
    <mergeCell ref="B172:C172"/>
    <mergeCell ref="B50:D50"/>
    <mergeCell ref="C100:F100"/>
    <mergeCell ref="C94:F94"/>
    <mergeCell ref="B138:D138"/>
    <mergeCell ref="B201:F201"/>
    <mergeCell ref="A1:F1"/>
    <mergeCell ref="B189:C189"/>
    <mergeCell ref="B204:C204"/>
    <mergeCell ref="B180:D180"/>
    <mergeCell ref="B149:D149"/>
    <mergeCell ref="B63:F63"/>
    <mergeCell ref="C95:F95"/>
    <mergeCell ref="C157:C158"/>
    <mergeCell ref="B173:C173"/>
    <mergeCell ref="B151:D151"/>
    <mergeCell ref="B190:C190"/>
    <mergeCell ref="B202:C202"/>
    <mergeCell ref="B22:F22"/>
    <mergeCell ref="B182:D182"/>
    <mergeCell ref="B196:D196"/>
    <mergeCell ref="B12:F12"/>
    <mergeCell ref="C101:F101"/>
    <mergeCell ref="A108:A109"/>
    <mergeCell ref="A106:F106"/>
    <mergeCell ref="B61:F61"/>
    <mergeCell ref="B14:F14"/>
    <mergeCell ref="B125:E125"/>
    <mergeCell ref="B55:D55"/>
    <mergeCell ref="B119:F119"/>
    <mergeCell ref="B29:F29"/>
    <mergeCell ref="D16:E16"/>
    <mergeCell ref="B38:F38"/>
    <mergeCell ref="B197:D197"/>
    <mergeCell ref="D18:E18"/>
    <mergeCell ref="C117:F117"/>
    <mergeCell ref="C99:F99"/>
    <mergeCell ref="B194:D194"/>
    <mergeCell ref="B121:D121"/>
    <mergeCell ref="B122:D122"/>
    <mergeCell ref="B64:F64"/>
    <mergeCell ref="B184:D184"/>
    <mergeCell ref="B33:F33"/>
    <mergeCell ref="B104:F104"/>
    <mergeCell ref="B58:D58"/>
    <mergeCell ref="B207:C207"/>
    <mergeCell ref="B52:D52"/>
    <mergeCell ref="B203:C203"/>
    <mergeCell ref="B32:F32"/>
    <mergeCell ref="B153:F153"/>
    <mergeCell ref="B195:D195"/>
  </mergeCells>
  <pageMargins left="0.75" right="0.75" top="1" bottom="1" header="0" footer="0"/>
  <pageSetup orientation="portrait" scale="75"/>
  <headerFooter>
    <oddHeader>&amp;LCommon Data Set 2021-2022</oddHeader>
    <oddFooter>&amp;LCDS-H&amp;C &amp;RPage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K52" sqref="K52"/>
    </sheetView>
  </sheetViews>
  <sheetFormatPr baseColWidth="8" defaultColWidth="12.7109375" defaultRowHeight="15" customHeight="1"/>
  <cols>
    <col width="3.7109375" customWidth="1" style="366" min="1" max="2"/>
    <col width="10.7109375" customWidth="1" style="366" min="3" max="3"/>
    <col width="9" customWidth="1" style="366" min="4" max="11"/>
    <col width="9.28515625" customWidth="1" style="366" min="12" max="12"/>
    <col hidden="1" width="8.7109375" customWidth="1" style="366" min="13" max="17"/>
    <col width="8.7109375" customWidth="1" style="366" min="18" max="26"/>
    <col width="12.7109375" customWidth="1" style="366" min="27" max="16384"/>
  </cols>
  <sheetData>
    <row r="1" ht="12.75" customHeight="1" s="348">
      <c r="A1" s="363" t="inlineStr">
        <is>
          <t>I. INSTRUCTIONAL FACULTY AND CLASS SIZE</t>
        </is>
      </c>
      <c r="L1" s="453" t="n"/>
      <c r="M1" s="453" t="n"/>
      <c r="N1" s="453" t="n"/>
      <c r="O1" s="453" t="n"/>
      <c r="P1" s="453" t="n"/>
      <c r="Q1" s="453" t="n"/>
      <c r="R1" s="453" t="n"/>
      <c r="S1" s="453" t="n"/>
      <c r="T1" s="453" t="n"/>
      <c r="U1" s="453" t="n"/>
      <c r="V1" s="453" t="n"/>
      <c r="W1" s="453" t="n"/>
      <c r="X1" s="453" t="n"/>
      <c r="Y1" s="453" t="n"/>
      <c r="Z1" s="453" t="n"/>
    </row>
    <row r="2" ht="12.75" customHeight="1" s="348">
      <c r="A2" s="453"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42" customHeight="1" s="348">
      <c r="A3" s="124" t="inlineStr">
        <is>
          <t>I-1.</t>
        </is>
      </c>
      <c r="B3" s="395" t="inlineStr">
        <is>
          <t>Please report the number of instructional faculty members in each category for Fall 2022. Include faculty who are on your institution’s payroll on the census date your institution uses for IPEDS/AAUP.</t>
        </is>
      </c>
      <c r="L3" s="453" t="n"/>
      <c r="M3" s="453" t="n"/>
      <c r="N3" s="453" t="n"/>
      <c r="O3" s="453" t="n"/>
      <c r="P3" s="453" t="n"/>
      <c r="Q3" s="453" t="n"/>
      <c r="R3" s="453" t="n"/>
      <c r="S3" s="453" t="n"/>
      <c r="T3" s="453" t="n"/>
      <c r="U3" s="453" t="n"/>
      <c r="V3" s="453" t="n"/>
      <c r="W3" s="453" t="n"/>
      <c r="X3" s="453" t="n"/>
      <c r="Y3" s="453" t="n"/>
      <c r="Z3" s="453" t="n"/>
    </row>
    <row r="4" ht="66" customHeight="1" s="348">
      <c r="A4" s="453" t="n"/>
      <c r="B4" s="565" t="inlineStr">
        <is>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is>
      </c>
      <c r="C4" s="498" t="n"/>
      <c r="D4" s="498" t="n"/>
      <c r="E4" s="498" t="n"/>
      <c r="F4" s="498" t="n"/>
      <c r="G4" s="498" t="n"/>
      <c r="H4" s="498" t="n"/>
      <c r="I4" s="498" t="n"/>
      <c r="J4" s="498" t="n"/>
      <c r="K4" s="518" t="n"/>
      <c r="L4" s="453" t="n"/>
      <c r="M4" s="453" t="n"/>
      <c r="N4" s="453" t="n"/>
      <c r="O4" s="453" t="n"/>
      <c r="P4" s="453" t="n"/>
      <c r="Q4" s="453" t="n"/>
      <c r="R4" s="453" t="n"/>
      <c r="S4" s="453" t="n"/>
      <c r="T4" s="453" t="n"/>
      <c r="U4" s="453" t="n"/>
      <c r="V4" s="453" t="n"/>
      <c r="W4" s="453" t="n"/>
      <c r="X4" s="453" t="n"/>
      <c r="Y4" s="453" t="n"/>
      <c r="Z4" s="453" t="n"/>
    </row>
    <row r="5" ht="12.75" customHeight="1" s="348">
      <c r="A5" s="135" t="n"/>
      <c r="B5" s="136" t="n"/>
      <c r="C5" s="139" t="n"/>
      <c r="D5" s="138" t="n"/>
      <c r="E5" s="138" t="n"/>
      <c r="F5" s="138" t="n"/>
      <c r="G5" s="138" t="n"/>
      <c r="H5" s="138" t="n"/>
      <c r="I5" s="137" t="n"/>
      <c r="J5" s="136" t="inlineStr">
        <is>
          <t>Full-time</t>
        </is>
      </c>
      <c r="K5" s="136" t="inlineStr">
        <is>
          <t>Part-time</t>
        </is>
      </c>
      <c r="L5" s="135" t="n"/>
      <c r="M5" s="135" t="n"/>
      <c r="N5" s="135" t="n"/>
      <c r="O5" s="135" t="n"/>
      <c r="P5" s="135" t="n"/>
      <c r="Q5" s="135" t="n"/>
      <c r="R5" s="135" t="n"/>
      <c r="S5" s="135" t="n"/>
      <c r="T5" s="135" t="n"/>
      <c r="U5" s="135" t="n"/>
      <c r="V5" s="135" t="n"/>
      <c r="W5" s="135" t="n"/>
      <c r="X5" s="135" t="n"/>
      <c r="Y5" s="135" t="n"/>
      <c r="Z5" s="135" t="n"/>
    </row>
    <row r="6" ht="55.5" customHeight="1" s="348">
      <c r="A6" s="368" t="n"/>
      <c r="B6" s="134" t="inlineStr">
        <is>
          <t>A</t>
        </is>
      </c>
      <c r="C6" s="244" t="inlineStr">
        <is>
          <t>Instructional faculty in preclinical and clinical medicine, faculty who are not paid (e.g., those who donate their services or are in the military), or research-only faculty, post-doctoral fellows, or pre-doctoral fellows</t>
        </is>
      </c>
      <c r="D6" s="494" t="n"/>
      <c r="E6" s="494" t="n"/>
      <c r="F6" s="494" t="n"/>
      <c r="G6" s="494" t="n"/>
      <c r="H6" s="494" t="n"/>
      <c r="I6" s="495" t="n"/>
      <c r="J6" s="133" t="inlineStr">
        <is>
          <t>Exclude</t>
        </is>
      </c>
      <c r="K6" s="133" t="inlineStr">
        <is>
          <t>Include only if they teach one or more non-clinical credit courses</t>
        </is>
      </c>
      <c r="L6" s="368" t="n"/>
      <c r="M6" s="368" t="n"/>
      <c r="N6" s="368" t="n"/>
      <c r="O6" s="368" t="n"/>
      <c r="P6" s="368" t="n"/>
      <c r="Q6" s="368" t="n"/>
      <c r="R6" s="368" t="n"/>
      <c r="S6" s="368" t="n"/>
      <c r="T6" s="368" t="n"/>
      <c r="U6" s="368" t="n"/>
      <c r="V6" s="368" t="n"/>
      <c r="W6" s="368" t="n"/>
      <c r="X6" s="368" t="n"/>
      <c r="Y6" s="368" t="n"/>
      <c r="Z6" s="368" t="n"/>
    </row>
    <row r="7" ht="46.5" customHeight="1" s="348">
      <c r="A7" s="368" t="n"/>
      <c r="B7" s="134" t="inlineStr">
        <is>
          <t>B</t>
        </is>
      </c>
      <c r="C7" s="244" t="inlineStr">
        <is>
          <t>Administrative officers with titles such as dean of students, librarian, registrar, coach, and the like, even though they may devote part of their time to classroom instruction and may have faculty status</t>
        </is>
      </c>
      <c r="D7" s="494" t="n"/>
      <c r="E7" s="494" t="n"/>
      <c r="F7" s="494" t="n"/>
      <c r="G7" s="494" t="n"/>
      <c r="H7" s="494" t="n"/>
      <c r="I7" s="495" t="n"/>
      <c r="J7" s="133" t="inlineStr">
        <is>
          <t>Exclude</t>
        </is>
      </c>
      <c r="K7" s="133" t="inlineStr">
        <is>
          <t>Include if they teach one or more non-clinical credit courses</t>
        </is>
      </c>
      <c r="L7" s="368" t="n"/>
      <c r="M7" s="368" t="n"/>
      <c r="N7" s="368" t="n"/>
      <c r="O7" s="368" t="n"/>
      <c r="P7" s="368" t="n"/>
      <c r="Q7" s="368" t="n"/>
      <c r="R7" s="368" t="n"/>
      <c r="S7" s="368" t="n"/>
      <c r="T7" s="368" t="n"/>
      <c r="U7" s="368" t="n"/>
      <c r="V7" s="368" t="n"/>
      <c r="W7" s="368" t="n"/>
      <c r="X7" s="368" t="n"/>
      <c r="Y7" s="368" t="n"/>
      <c r="Z7" s="368" t="n"/>
    </row>
    <row r="8" ht="24.75" customHeight="1" s="348">
      <c r="A8" s="368" t="n"/>
      <c r="B8" s="134" t="inlineStr">
        <is>
          <t>C</t>
        </is>
      </c>
      <c r="C8" s="566" t="inlineStr">
        <is>
          <t>Other administrators/staff who teach one or more non-clinical credit courses even though they do not have faculty status</t>
        </is>
      </c>
      <c r="D8" s="494" t="n"/>
      <c r="E8" s="494" t="n"/>
      <c r="F8" s="494" t="n"/>
      <c r="G8" s="494" t="n"/>
      <c r="H8" s="494" t="n"/>
      <c r="I8" s="495" t="n"/>
      <c r="J8" s="133" t="inlineStr">
        <is>
          <t>Exclude</t>
        </is>
      </c>
      <c r="K8" s="133" t="inlineStr">
        <is>
          <t>Include</t>
        </is>
      </c>
      <c r="L8" s="368" t="n"/>
      <c r="M8" s="368" t="n"/>
      <c r="N8" s="368" t="n"/>
      <c r="O8" s="368" t="n"/>
      <c r="P8" s="368" t="n"/>
      <c r="Q8" s="368" t="n"/>
      <c r="R8" s="368" t="n"/>
      <c r="S8" s="368" t="n"/>
      <c r="T8" s="368" t="n"/>
      <c r="U8" s="368" t="n"/>
      <c r="V8" s="368" t="n"/>
      <c r="W8" s="368" t="n"/>
      <c r="X8" s="368" t="n"/>
      <c r="Y8" s="368" t="n"/>
      <c r="Z8" s="368" t="n"/>
    </row>
    <row r="9" ht="25.5" customHeight="1" s="348">
      <c r="A9" s="368" t="n"/>
      <c r="B9" s="134" t="inlineStr">
        <is>
          <t>D</t>
        </is>
      </c>
      <c r="C9" s="566" t="inlineStr">
        <is>
          <t>Undergraduate or graduate students who assist in the instruction of courses, but have titles such as teaching assistant, teaching fellow, and the like</t>
        </is>
      </c>
      <c r="D9" s="494" t="n"/>
      <c r="E9" s="494" t="n"/>
      <c r="F9" s="494" t="n"/>
      <c r="G9" s="494" t="n"/>
      <c r="H9" s="494" t="n"/>
      <c r="I9" s="495" t="n"/>
      <c r="J9" s="133" t="inlineStr">
        <is>
          <t>Exclude</t>
        </is>
      </c>
      <c r="K9" s="133" t="inlineStr">
        <is>
          <t>Exclude</t>
        </is>
      </c>
      <c r="L9" s="368" t="n"/>
      <c r="M9" s="368" t="n"/>
      <c r="N9" s="368" t="n"/>
      <c r="O9" s="368" t="n"/>
      <c r="P9" s="368" t="n"/>
      <c r="Q9" s="368" t="n"/>
      <c r="R9" s="368" t="n"/>
      <c r="S9" s="368" t="n"/>
      <c r="T9" s="368" t="n"/>
      <c r="U9" s="368" t="n"/>
      <c r="V9" s="368" t="n"/>
      <c r="W9" s="368" t="n"/>
      <c r="X9" s="368" t="n"/>
      <c r="Y9" s="368" t="n"/>
      <c r="Z9" s="368" t="n"/>
    </row>
    <row r="10" ht="12.75" customHeight="1" s="348">
      <c r="A10" s="368" t="n"/>
      <c r="B10" s="134" t="inlineStr">
        <is>
          <t>E</t>
        </is>
      </c>
      <c r="C10" s="566" t="inlineStr">
        <is>
          <t>Faculty on sabbatical or leave with pay</t>
        </is>
      </c>
      <c r="D10" s="494" t="n"/>
      <c r="E10" s="494" t="n"/>
      <c r="F10" s="494" t="n"/>
      <c r="G10" s="494" t="n"/>
      <c r="H10" s="494" t="n"/>
      <c r="I10" s="495" t="n"/>
      <c r="J10" s="133" t="inlineStr">
        <is>
          <t>Include</t>
        </is>
      </c>
      <c r="K10" s="133" t="inlineStr">
        <is>
          <t>Exclude</t>
        </is>
      </c>
      <c r="L10" s="368" t="n"/>
      <c r="M10" s="368" t="n"/>
      <c r="N10" s="368" t="n"/>
      <c r="O10" s="368" t="n"/>
      <c r="P10" s="368" t="n"/>
      <c r="Q10" s="368" t="n"/>
      <c r="R10" s="368" t="n"/>
      <c r="S10" s="368" t="n"/>
      <c r="T10" s="368" t="n"/>
      <c r="U10" s="368" t="n"/>
      <c r="V10" s="368" t="n"/>
      <c r="W10" s="368" t="n"/>
      <c r="X10" s="368" t="n"/>
      <c r="Y10" s="368" t="n"/>
      <c r="Z10" s="368" t="n"/>
    </row>
    <row r="11" ht="12.75" customHeight="1" s="348">
      <c r="A11" s="368" t="n"/>
      <c r="B11" s="134" t="inlineStr">
        <is>
          <t>F</t>
        </is>
      </c>
      <c r="C11" s="566" t="inlineStr">
        <is>
          <t>Faculty on leave without pay</t>
        </is>
      </c>
      <c r="D11" s="494" t="n"/>
      <c r="E11" s="494" t="n"/>
      <c r="F11" s="494" t="n"/>
      <c r="G11" s="494" t="n"/>
      <c r="H11" s="494" t="n"/>
      <c r="I11" s="495" t="n"/>
      <c r="J11" s="133" t="inlineStr">
        <is>
          <t>Exclude</t>
        </is>
      </c>
      <c r="K11" s="133" t="inlineStr">
        <is>
          <t>Exclude</t>
        </is>
      </c>
      <c r="L11" s="368" t="n"/>
      <c r="M11" s="368" t="n"/>
      <c r="N11" s="368" t="n"/>
      <c r="O11" s="368" t="n"/>
      <c r="P11" s="368" t="n"/>
      <c r="Q11" s="368" t="n"/>
      <c r="R11" s="368" t="n"/>
      <c r="S11" s="368" t="n"/>
      <c r="T11" s="368" t="n"/>
      <c r="U11" s="368" t="n"/>
      <c r="V11" s="368" t="n"/>
      <c r="W11" s="368" t="n"/>
      <c r="X11" s="368" t="n"/>
      <c r="Y11" s="368" t="n"/>
      <c r="Z11" s="368" t="n"/>
    </row>
    <row r="12" ht="12.75" customHeight="1" s="348">
      <c r="A12" s="368" t="n"/>
      <c r="B12" s="134" t="inlineStr">
        <is>
          <t>G</t>
        </is>
      </c>
      <c r="C12" s="566" t="inlineStr">
        <is>
          <t>Replacement faculty for faculty on sabbatical leave or leave with pay</t>
        </is>
      </c>
      <c r="D12" s="494" t="n"/>
      <c r="E12" s="494" t="n"/>
      <c r="F12" s="494" t="n"/>
      <c r="G12" s="494" t="n"/>
      <c r="H12" s="494" t="n"/>
      <c r="I12" s="495" t="n"/>
      <c r="J12" s="133" t="inlineStr">
        <is>
          <t>Exclude</t>
        </is>
      </c>
      <c r="K12" s="133" t="inlineStr">
        <is>
          <t>Include</t>
        </is>
      </c>
      <c r="L12" s="368" t="n"/>
      <c r="M12" s="368" t="n"/>
      <c r="N12" s="368" t="n"/>
      <c r="O12" s="368" t="n"/>
      <c r="P12" s="368" t="n"/>
      <c r="Q12" s="368" t="n"/>
      <c r="R12" s="368" t="n"/>
      <c r="S12" s="368" t="n"/>
      <c r="T12" s="368" t="n"/>
      <c r="U12" s="368" t="n"/>
      <c r="V12" s="368" t="n"/>
      <c r="W12" s="368" t="n"/>
      <c r="X12" s="368" t="n"/>
      <c r="Y12" s="368" t="n"/>
      <c r="Z12" s="368" t="n"/>
    </row>
    <row r="13" ht="12.75" customHeight="1" s="348">
      <c r="A13" s="453" t="n"/>
      <c r="B13" s="438" t="n"/>
      <c r="C13" s="438" t="n"/>
      <c r="D13" s="438" t="n"/>
      <c r="E13" s="438" t="n"/>
      <c r="F13" s="438" t="n"/>
      <c r="G13" s="438" t="n"/>
      <c r="H13" s="438" t="n"/>
      <c r="I13" s="438" t="n"/>
      <c r="J13" s="438" t="n"/>
      <c r="K13" s="438" t="n"/>
      <c r="L13" s="453" t="n"/>
      <c r="M13" s="453" t="n"/>
      <c r="N13" s="453" t="n"/>
      <c r="O13" s="453" t="n"/>
      <c r="P13" s="453" t="n"/>
      <c r="Q13" s="131" t="n"/>
      <c r="R13" s="453" t="n"/>
      <c r="S13" s="453" t="n"/>
      <c r="T13" s="453" t="n"/>
      <c r="U13" s="453" t="n"/>
      <c r="V13" s="453" t="n"/>
      <c r="W13" s="453" t="n"/>
      <c r="X13" s="453" t="n"/>
      <c r="Y13" s="453" t="n"/>
      <c r="Z13" s="453" t="n"/>
    </row>
    <row r="14" ht="31.5" customHeight="1" s="348">
      <c r="A14" s="453" t="n"/>
      <c r="B14" s="478" t="inlineStr">
        <is>
          <t>Full-time instructional faculty: faculty employed on a full-time basis for instruction (including those with released time for research)</t>
        </is>
      </c>
      <c r="L14" s="453" t="n"/>
      <c r="M14" s="453" t="n"/>
      <c r="N14" s="453" t="n"/>
      <c r="O14" s="453" t="n"/>
      <c r="P14" s="453" t="n"/>
      <c r="Q14" s="453" t="n"/>
      <c r="R14" s="453" t="n"/>
      <c r="S14" s="453" t="n"/>
      <c r="T14" s="453" t="n"/>
      <c r="U14" s="453" t="n"/>
      <c r="V14" s="453" t="n"/>
      <c r="W14" s="453" t="n"/>
      <c r="X14" s="453" t="n"/>
      <c r="Y14" s="453" t="n"/>
      <c r="Z14" s="453" t="n"/>
    </row>
    <row r="15" ht="55.5" customHeight="1" s="348">
      <c r="A15" s="453" t="n"/>
      <c r="B15" s="478" t="inlineStr">
        <is>
          <t>Part-time instructional faculty: 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is>
      </c>
      <c r="L15" s="453" t="n"/>
      <c r="M15" s="453" t="n"/>
      <c r="N15" s="453" t="n"/>
      <c r="O15" s="453" t="n"/>
      <c r="P15" s="453" t="n"/>
      <c r="Q15" s="453" t="n"/>
      <c r="R15" s="453" t="n"/>
      <c r="S15" s="453" t="n"/>
      <c r="T15" s="453" t="n"/>
      <c r="U15" s="453" t="n"/>
      <c r="V15" s="453" t="n"/>
      <c r="W15" s="453" t="n"/>
      <c r="X15" s="453" t="n"/>
      <c r="Y15" s="453" t="n"/>
      <c r="Z15" s="453" t="n"/>
    </row>
    <row r="16" ht="32.25" customHeight="1" s="348">
      <c r="A16" s="453" t="n"/>
      <c r="B16" s="478" t="inlineStr">
        <is>
          <t xml:space="preserve">Minority faculty: includes faculty who designate themselves as Black, non-Hispanic; American Indian or Alaska Native; Asian, Native Hawaiian or other Pacific Islander, or Hispanic. </t>
        </is>
      </c>
      <c r="L16" s="453" t="n"/>
      <c r="M16" s="453" t="n"/>
      <c r="N16" s="453" t="n"/>
      <c r="O16" s="453" t="n"/>
      <c r="P16" s="453" t="n"/>
      <c r="Q16" s="453" t="n"/>
      <c r="R16" s="453" t="n"/>
      <c r="S16" s="453" t="n"/>
      <c r="T16" s="453" t="n"/>
      <c r="U16" s="453" t="n"/>
      <c r="V16" s="453" t="n"/>
      <c r="W16" s="453" t="n"/>
      <c r="X16" s="453" t="n"/>
      <c r="Y16" s="453" t="n"/>
      <c r="Z16" s="453" t="n"/>
    </row>
    <row r="17" ht="67.5" customHeight="1" s="348">
      <c r="A17" s="453" t="n"/>
      <c r="B17" s="478" t="inlineStr">
        <is>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is>
      </c>
      <c r="L17" s="453" t="n"/>
      <c r="M17" s="453" t="n"/>
      <c r="N17" s="453" t="n"/>
      <c r="O17" s="453" t="n"/>
      <c r="P17" s="453" t="n"/>
      <c r="Q17" s="453" t="n"/>
      <c r="R17" s="453" t="n"/>
      <c r="S17" s="453" t="n"/>
      <c r="T17" s="453" t="n"/>
      <c r="U17" s="453" t="n"/>
      <c r="V17" s="453" t="n"/>
      <c r="W17" s="453" t="n"/>
      <c r="X17" s="453" t="n"/>
      <c r="Y17" s="453" t="n"/>
      <c r="Z17" s="453" t="n"/>
    </row>
    <row r="18" ht="26.25" customHeight="1" s="348">
      <c r="A18" s="453" t="n"/>
      <c r="B18" s="478" t="inlineStr">
        <is>
          <t>Terminal master’s degree: a master’s degree that is considered the highest degree in a field: example, M. Arch (in architecture) and MFA (master of fine arts in art or theater).</t>
        </is>
      </c>
      <c r="L18" s="453" t="n"/>
      <c r="M18" s="453" t="n"/>
      <c r="N18" s="453" t="n"/>
      <c r="O18" s="453" t="n"/>
      <c r="P18" s="453" t="n"/>
      <c r="Q18" s="453" t="n"/>
      <c r="R18" s="453" t="n"/>
      <c r="S18" s="453" t="n"/>
      <c r="T18" s="453" t="n"/>
      <c r="U18" s="453" t="n"/>
      <c r="V18" s="453" t="n"/>
      <c r="W18" s="453" t="n"/>
      <c r="X18" s="453" t="n"/>
      <c r="Y18" s="453" t="n"/>
      <c r="Z18" s="453" t="n"/>
    </row>
    <row r="19" ht="12.75" customHeight="1" s="348">
      <c r="A19" s="453" t="n"/>
      <c r="B19" s="453" t="n"/>
      <c r="C19" s="476" t="n"/>
      <c r="D19" s="476" t="n"/>
      <c r="E19" s="476" t="n"/>
      <c r="F19" s="476" t="n"/>
      <c r="G19" s="476" t="n"/>
      <c r="H19" s="476" t="n"/>
      <c r="I19" s="476" t="n"/>
      <c r="J19" s="476" t="n"/>
      <c r="K19" s="476" t="n"/>
      <c r="L19" s="453" t="n"/>
      <c r="M19" s="453" t="n"/>
      <c r="N19" s="453" t="n"/>
      <c r="O19" s="453" t="n"/>
      <c r="P19" s="453" t="n"/>
      <c r="Q19" s="453" t="n"/>
      <c r="R19" s="453" t="n"/>
      <c r="S19" s="453" t="n"/>
      <c r="T19" s="453" t="n"/>
      <c r="U19" s="453" t="n"/>
      <c r="V19" s="453" t="n"/>
      <c r="W19" s="453" t="n"/>
      <c r="X19" s="453" t="n"/>
      <c r="Y19" s="453" t="n"/>
      <c r="Z19" s="453" t="n"/>
    </row>
    <row r="20" ht="12.75" customHeight="1" s="348">
      <c r="A20" s="66" t="inlineStr">
        <is>
          <t>I-1.</t>
        </is>
      </c>
      <c r="B20" s="180" t="n"/>
      <c r="C20" s="494" t="n"/>
      <c r="D20" s="494" t="n"/>
      <c r="E20" s="494" t="n"/>
      <c r="F20" s="494" t="n"/>
      <c r="G20" s="494" t="n"/>
      <c r="H20" s="495" t="n"/>
      <c r="I20" s="129" t="inlineStr">
        <is>
          <t>Full-Time</t>
        </is>
      </c>
      <c r="J20" s="129" t="inlineStr">
        <is>
          <t>Part-Time</t>
        </is>
      </c>
      <c r="K20" s="129" t="inlineStr">
        <is>
          <t>Total</t>
        </is>
      </c>
      <c r="L20" s="453" t="n"/>
      <c r="M20" s="453" t="n"/>
      <c r="N20" s="453" t="n"/>
      <c r="O20" s="453" t="n"/>
      <c r="P20" s="453" t="n"/>
      <c r="Q20" s="453" t="n"/>
      <c r="R20" s="453" t="n"/>
      <c r="S20" s="453" t="n"/>
      <c r="T20" s="453" t="n"/>
      <c r="U20" s="453" t="n"/>
      <c r="V20" s="453" t="n"/>
      <c r="W20" s="453" t="n"/>
      <c r="X20" s="453" t="n"/>
      <c r="Y20" s="453" t="n"/>
      <c r="Z20" s="453" t="n"/>
    </row>
    <row r="21" ht="12.75" customHeight="1" s="348">
      <c r="A21" s="66" t="n"/>
      <c r="B21" s="119" t="inlineStr">
        <is>
          <t>A</t>
        </is>
      </c>
      <c r="C21" s="567" t="inlineStr">
        <is>
          <t>Total number of instructional faculty</t>
        </is>
      </c>
      <c r="D21" s="494" t="n"/>
      <c r="E21" s="494" t="n"/>
      <c r="F21" s="494" t="n"/>
      <c r="G21" s="494" t="n"/>
      <c r="H21" s="495" t="n"/>
      <c r="I21" s="119" t="n">
        <v>1907</v>
      </c>
      <c r="J21" s="119" t="n">
        <v>4</v>
      </c>
      <c r="K21" s="119">
        <f>SUM(I21:J21)</f>
        <v/>
      </c>
      <c r="L21" s="453" t="n"/>
      <c r="M21" s="453" t="n"/>
      <c r="N21" s="453" t="n"/>
      <c r="O21" s="453" t="n"/>
      <c r="P21" s="453" t="n"/>
      <c r="Q21" s="453" t="n"/>
      <c r="R21" s="453" t="n"/>
      <c r="S21" s="453" t="n"/>
      <c r="T21" s="453" t="n"/>
      <c r="U21" s="453" t="n"/>
      <c r="V21" s="453" t="n"/>
      <c r="W21" s="453" t="n"/>
      <c r="X21" s="453" t="n"/>
      <c r="Y21" s="453" t="n"/>
      <c r="Z21" s="453" t="n"/>
    </row>
    <row r="22" ht="12.75" customHeight="1" s="348">
      <c r="A22" s="66" t="n"/>
      <c r="B22" s="119" t="inlineStr">
        <is>
          <t>B</t>
        </is>
      </c>
      <c r="C22" s="567" t="inlineStr">
        <is>
          <t>Total number who are members of minority groups</t>
        </is>
      </c>
      <c r="D22" s="494" t="n"/>
      <c r="E22" s="494" t="n"/>
      <c r="F22" s="494" t="n"/>
      <c r="G22" s="494" t="n"/>
      <c r="H22" s="495" t="n"/>
      <c r="I22" s="119">
        <f>5+357+94+143+12+13</f>
        <v/>
      </c>
      <c r="J22" s="119" t="n">
        <v>0</v>
      </c>
      <c r="K22" s="119">
        <f>SUM(I22:J22)</f>
        <v/>
      </c>
      <c r="L22" s="453" t="n"/>
      <c r="M22" s="453" t="n"/>
      <c r="N22" s="453" t="n"/>
      <c r="O22" s="453" t="n"/>
      <c r="P22" s="453" t="n"/>
      <c r="Q22" s="453" t="n"/>
      <c r="R22" s="453" t="n"/>
      <c r="S22" s="453" t="n"/>
      <c r="T22" s="453" t="n"/>
      <c r="U22" s="453" t="n"/>
      <c r="V22" s="453" t="n"/>
      <c r="W22" s="453" t="n"/>
      <c r="X22" s="453" t="n"/>
      <c r="Y22" s="453" t="n"/>
      <c r="Z22" s="453" t="n"/>
    </row>
    <row r="23" ht="12.75" customHeight="1" s="348">
      <c r="A23" s="66" t="n"/>
      <c r="B23" s="119" t="inlineStr">
        <is>
          <t>C</t>
        </is>
      </c>
      <c r="C23" s="567" t="inlineStr">
        <is>
          <t>Total number who are women</t>
        </is>
      </c>
      <c r="D23" s="494" t="n"/>
      <c r="E23" s="494" t="n"/>
      <c r="F23" s="494" t="n"/>
      <c r="G23" s="494" t="n"/>
      <c r="H23" s="495" t="n"/>
      <c r="I23" s="119" t="n">
        <v>734</v>
      </c>
      <c r="J23" s="119" t="n">
        <v>0</v>
      </c>
      <c r="K23" s="119">
        <f>SUM(I23:J23)</f>
        <v/>
      </c>
      <c r="L23" s="453" t="n"/>
      <c r="M23" s="453" t="n"/>
      <c r="N23" s="453" t="n"/>
      <c r="O23" s="453" t="n"/>
      <c r="P23" s="453" t="n"/>
      <c r="Q23" s="453" t="n"/>
      <c r="R23" s="453" t="n"/>
      <c r="S23" s="453" t="n"/>
      <c r="T23" s="453" t="n"/>
      <c r="U23" s="453" t="n"/>
      <c r="V23" s="453" t="n"/>
      <c r="W23" s="453" t="n"/>
      <c r="X23" s="453" t="n"/>
      <c r="Y23" s="453" t="n"/>
      <c r="Z23" s="453" t="n"/>
    </row>
    <row r="24" ht="12.75" customHeight="1" s="348">
      <c r="A24" s="66" t="n"/>
      <c r="B24" s="119" t="inlineStr">
        <is>
          <t>D</t>
        </is>
      </c>
      <c r="C24" s="567" t="inlineStr">
        <is>
          <t>Total number who are men</t>
        </is>
      </c>
      <c r="D24" s="494" t="n"/>
      <c r="E24" s="494" t="n"/>
      <c r="F24" s="494" t="n"/>
      <c r="G24" s="494" t="n"/>
      <c r="H24" s="495" t="n"/>
      <c r="I24" s="119" t="n">
        <v>1173</v>
      </c>
      <c r="J24" s="119" t="n">
        <v>4</v>
      </c>
      <c r="K24" s="119">
        <f>SUM(I24:J24)</f>
        <v/>
      </c>
      <c r="L24" s="453" t="n"/>
      <c r="M24" s="453" t="n"/>
      <c r="N24" s="453" t="n"/>
      <c r="O24" s="453" t="n"/>
      <c r="P24" s="453" t="n"/>
      <c r="Q24" s="453" t="n"/>
      <c r="R24" s="453" t="n"/>
      <c r="S24" s="453" t="n"/>
      <c r="T24" s="453" t="n"/>
      <c r="U24" s="453" t="n"/>
      <c r="V24" s="453" t="n"/>
      <c r="W24" s="453" t="n"/>
      <c r="X24" s="453" t="n"/>
      <c r="Y24" s="453" t="n"/>
      <c r="Z24" s="453" t="n"/>
    </row>
    <row r="25" ht="14.25" customHeight="1" s="348">
      <c r="A25" s="66" t="n"/>
      <c r="B25" s="119" t="inlineStr">
        <is>
          <t>E</t>
        </is>
      </c>
      <c r="C25" s="567" t="inlineStr">
        <is>
          <t>Total number who are nonresidents (international)</t>
        </is>
      </c>
      <c r="D25" s="494" t="n"/>
      <c r="E25" s="494" t="n"/>
      <c r="F25" s="494" t="n"/>
      <c r="G25" s="494" t="n"/>
      <c r="H25" s="495" t="n"/>
      <c r="I25" s="119" t="n">
        <v>77</v>
      </c>
      <c r="J25" s="119" t="n">
        <v>0</v>
      </c>
      <c r="K25" s="119">
        <f>SUM(I25:J25)</f>
        <v/>
      </c>
      <c r="L25" s="453" t="n"/>
      <c r="M25" s="453" t="n"/>
      <c r="N25" s="453" t="n"/>
      <c r="O25" s="453" t="n"/>
      <c r="P25" s="453" t="n"/>
      <c r="Q25" s="453" t="n"/>
      <c r="R25" s="453" t="n"/>
      <c r="S25" s="453" t="n"/>
      <c r="T25" s="453" t="n"/>
      <c r="U25" s="453" t="n"/>
      <c r="V25" s="453" t="n"/>
      <c r="W25" s="453" t="n"/>
      <c r="X25" s="453" t="n"/>
      <c r="Y25" s="453" t="n"/>
      <c r="Z25" s="453" t="n"/>
    </row>
    <row r="26" ht="12" customHeight="1" s="348">
      <c r="A26" s="66" t="n"/>
      <c r="B26" s="119" t="inlineStr">
        <is>
          <t>F</t>
        </is>
      </c>
      <c r="C26" s="567" t="inlineStr">
        <is>
          <t>Total number with doctorate, or other terminal degree</t>
        </is>
      </c>
      <c r="D26" s="494" t="n"/>
      <c r="E26" s="494" t="n"/>
      <c r="F26" s="494" t="n"/>
      <c r="G26" s="494" t="n"/>
      <c r="H26" s="495" t="n"/>
      <c r="I26" s="119">
        <f>49+38+1707</f>
        <v/>
      </c>
      <c r="J26" s="119" t="n">
        <v>4</v>
      </c>
      <c r="K26" s="119">
        <f>SUM(I26:J26)</f>
        <v/>
      </c>
      <c r="L26" s="453" t="n"/>
      <c r="M26" s="453" t="n"/>
      <c r="N26" s="453" t="n"/>
      <c r="O26" s="453" t="n"/>
      <c r="P26" s="453" t="n"/>
      <c r="Q26" s="453" t="n"/>
      <c r="R26" s="453" t="n"/>
      <c r="S26" s="453" t="n"/>
      <c r="T26" s="453" t="n"/>
      <c r="U26" s="453" t="n"/>
      <c r="V26" s="453" t="n"/>
      <c r="W26" s="453" t="n"/>
      <c r="X26" s="453" t="n"/>
      <c r="Y26" s="453" t="n"/>
      <c r="Z26" s="453" t="n"/>
    </row>
    <row r="27" ht="26.25" customHeight="1" s="348">
      <c r="A27" s="66" t="n"/>
      <c r="B27" s="119" t="inlineStr">
        <is>
          <t>G</t>
        </is>
      </c>
      <c r="C27" s="567" t="inlineStr">
        <is>
          <t>Total number whose highest degree is a master’s but not a terminal master’s</t>
        </is>
      </c>
      <c r="D27" s="494" t="n"/>
      <c r="E27" s="494" t="n"/>
      <c r="F27" s="494" t="n"/>
      <c r="G27" s="494" t="n"/>
      <c r="H27" s="495" t="n"/>
      <c r="I27" s="119" t="n">
        <v>86</v>
      </c>
      <c r="J27" s="119" t="n">
        <v>0</v>
      </c>
      <c r="K27" s="119">
        <f>SUM(I27:J27)</f>
        <v/>
      </c>
      <c r="L27" s="453" t="n"/>
      <c r="M27" s="453" t="n"/>
      <c r="N27" s="453" t="n"/>
      <c r="O27" s="453" t="n"/>
      <c r="P27" s="453" t="n"/>
      <c r="Q27" s="453" t="n"/>
      <c r="R27" s="453" t="n"/>
      <c r="S27" s="453" t="n"/>
      <c r="T27" s="453" t="n"/>
      <c r="U27" s="453" t="n"/>
      <c r="V27" s="453" t="n"/>
      <c r="W27" s="453" t="n"/>
      <c r="X27" s="453" t="n"/>
      <c r="Y27" s="453" t="n"/>
      <c r="Z27" s="453" t="n"/>
    </row>
    <row r="28" ht="12.75" customHeight="1" s="348">
      <c r="A28" s="66" t="n"/>
      <c r="B28" s="119" t="inlineStr">
        <is>
          <t>H</t>
        </is>
      </c>
      <c r="C28" s="567" t="inlineStr">
        <is>
          <t>Total number whose highest degree is a bachelor’s</t>
        </is>
      </c>
      <c r="D28" s="494" t="n"/>
      <c r="E28" s="494" t="n"/>
      <c r="F28" s="494" t="n"/>
      <c r="G28" s="494" t="n"/>
      <c r="H28" s="495" t="n"/>
      <c r="I28" s="119" t="n">
        <v>14</v>
      </c>
      <c r="J28" s="119" t="n">
        <v>0</v>
      </c>
      <c r="K28" s="119">
        <f>SUM(I28:J28)</f>
        <v/>
      </c>
      <c r="L28" s="453" t="n"/>
      <c r="M28" s="453" t="n"/>
      <c r="N28" s="453" t="n"/>
      <c r="O28" s="453" t="n"/>
      <c r="P28" s="453" t="n"/>
      <c r="Q28" s="453" t="n"/>
      <c r="R28" s="453" t="n"/>
      <c r="S28" s="453" t="n"/>
      <c r="T28" s="453" t="n"/>
      <c r="U28" s="453" t="n"/>
      <c r="V28" s="453" t="n"/>
      <c r="W28" s="453" t="n"/>
      <c r="X28" s="453" t="n"/>
      <c r="Y28" s="453" t="n"/>
      <c r="Z28" s="453" t="n"/>
    </row>
    <row r="29" ht="25.5" customHeight="1" s="348">
      <c r="A29" s="66" t="n"/>
      <c r="B29" s="119" t="inlineStr">
        <is>
          <t>I</t>
        </is>
      </c>
      <c r="C29" s="567" t="inlineStr">
        <is>
          <t>Total number whose highest degree is unknown or other (Note: Items f, g, h, and i must sum up to item a.)</t>
        </is>
      </c>
      <c r="D29" s="494" t="n"/>
      <c r="E29" s="494" t="n"/>
      <c r="F29" s="494" t="n"/>
      <c r="G29" s="494" t="n"/>
      <c r="H29" s="495" t="n"/>
      <c r="I29" s="119">
        <f>2+11</f>
        <v/>
      </c>
      <c r="J29" s="119" t="n">
        <v>0</v>
      </c>
      <c r="K29" s="119">
        <f>SUM(I29:J29)</f>
        <v/>
      </c>
      <c r="L29" s="453" t="n"/>
      <c r="M29" s="453" t="n"/>
      <c r="N29" s="453" t="n"/>
      <c r="O29" s="453" t="n"/>
      <c r="P29" s="453" t="n"/>
      <c r="Q29" s="453" t="n"/>
      <c r="R29" s="453" t="n"/>
      <c r="S29" s="453" t="n"/>
      <c r="T29" s="453" t="n"/>
      <c r="U29" s="453" t="n"/>
      <c r="V29" s="453" t="n"/>
      <c r="W29" s="453" t="n"/>
      <c r="X29" s="453" t="n"/>
      <c r="Y29" s="453" t="n"/>
      <c r="Z29" s="453" t="n"/>
    </row>
    <row r="30" ht="25.5" customHeight="1" s="348">
      <c r="A30" s="66" t="n"/>
      <c r="B30" s="119" t="inlineStr">
        <is>
          <t>J</t>
        </is>
      </c>
      <c r="C30" s="567" t="inlineStr">
        <is>
          <t>Total number in stand-alone graduate/professional programs in which faculty teach virtually only graduate-level students</t>
        </is>
      </c>
      <c r="D30" s="494" t="n"/>
      <c r="E30" s="494" t="n"/>
      <c r="F30" s="494" t="n"/>
      <c r="G30" s="494" t="n"/>
      <c r="H30" s="495" t="n"/>
      <c r="I30" s="68" t="n">
        <v>148</v>
      </c>
      <c r="J30" s="68" t="n">
        <v>0</v>
      </c>
      <c r="K30" s="119">
        <f>SUM(I30:J30)</f>
        <v/>
      </c>
      <c r="L30" s="453" t="n"/>
      <c r="M30" s="453" t="n"/>
      <c r="N30" s="453" t="n"/>
      <c r="O30" s="453" t="n"/>
      <c r="P30" s="453" t="n"/>
      <c r="Q30" s="453" t="n"/>
      <c r="R30" s="453" t="n"/>
      <c r="S30" s="453" t="n"/>
      <c r="T30" s="453" t="n"/>
      <c r="U30" s="453" t="n"/>
      <c r="V30" s="453" t="n"/>
      <c r="W30" s="453" t="n"/>
      <c r="X30" s="453" t="n"/>
      <c r="Y30" s="453" t="n"/>
      <c r="Z30" s="453" t="n"/>
    </row>
    <row r="31" ht="10.5" customHeight="1" s="348">
      <c r="A31" s="453" t="n"/>
      <c r="B31" s="453" t="n"/>
      <c r="C31" s="453" t="n"/>
      <c r="D31" s="453" t="n"/>
      <c r="E31" s="453" t="n"/>
      <c r="F31" s="453" t="n"/>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2.75" customHeight="1" s="348">
      <c r="A32" s="66" t="inlineStr">
        <is>
          <t>I-2.</t>
        </is>
      </c>
      <c r="B32" s="426" t="inlineStr">
        <is>
          <t>Student to Faculty Ratio</t>
        </is>
      </c>
      <c r="L32" s="453" t="n"/>
      <c r="M32" s="453" t="n"/>
      <c r="N32" s="453" t="n"/>
      <c r="O32" s="453" t="n"/>
      <c r="P32" s="453" t="n"/>
      <c r="Q32" s="453" t="n"/>
      <c r="R32" s="453" t="n"/>
      <c r="S32" s="453" t="n"/>
      <c r="T32" s="453" t="n"/>
      <c r="U32" s="453" t="n"/>
      <c r="V32" s="453" t="n"/>
      <c r="W32" s="453" t="n"/>
      <c r="X32" s="453" t="n"/>
      <c r="Y32" s="453" t="n"/>
      <c r="Z32" s="453" t="n"/>
    </row>
    <row r="33" ht="54.75" customHeight="1" s="348">
      <c r="A33" s="453" t="n"/>
      <c r="B33" s="382" t="inlineStr">
        <is>
          <t>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is>
      </c>
      <c r="L33" s="453" t="n"/>
      <c r="M33" s="453" t="n"/>
      <c r="N33" s="453" t="n"/>
      <c r="O33" s="453" t="n"/>
      <c r="P33" s="453" t="n"/>
      <c r="Q33" s="453" t="n"/>
      <c r="R33" s="453" t="n"/>
      <c r="S33" s="453" t="n"/>
      <c r="T33" s="453" t="n"/>
      <c r="U33" s="453" t="n"/>
      <c r="V33" s="453" t="n"/>
      <c r="W33" s="453" t="n"/>
      <c r="X33" s="453" t="n"/>
      <c r="Y33" s="453" t="n"/>
      <c r="Z33" s="453" t="n"/>
    </row>
    <row r="34" ht="12.75" customHeight="1" s="348">
      <c r="A34" s="453" t="n"/>
      <c r="B34" s="382" t="inlineStr">
        <is>
          <t>• Do not count undergraduate or graduate student teaching assistants as faculty.</t>
        </is>
      </c>
      <c r="L34" s="453" t="n"/>
      <c r="M34" s="453" t="n"/>
      <c r="N34" s="453" t="n"/>
      <c r="O34" s="453" t="n"/>
      <c r="P34" s="453" t="n"/>
      <c r="Q34" s="453" t="n"/>
      <c r="R34" s="453" t="n"/>
      <c r="S34" s="453" t="n"/>
      <c r="T34" s="453" t="n"/>
      <c r="U34" s="453" t="n"/>
      <c r="V34" s="453" t="n"/>
      <c r="W34" s="453" t="n"/>
      <c r="X34" s="453" t="n"/>
      <c r="Y34" s="453" t="n"/>
      <c r="Z34" s="453" t="n"/>
    </row>
    <row r="35" ht="11.25" customHeight="1" s="348">
      <c r="A35" s="453" t="n"/>
      <c r="B35" s="382" t="n"/>
      <c r="C35" s="382" t="n"/>
      <c r="D35" s="382" t="n"/>
      <c r="E35" s="382" t="n"/>
      <c r="F35" s="382" t="n"/>
      <c r="G35" s="382" t="n"/>
      <c r="H35" s="382" t="n"/>
      <c r="I35" s="382" t="n"/>
      <c r="J35" s="382" t="n"/>
      <c r="K35" s="382" t="n"/>
      <c r="L35" s="453" t="n"/>
      <c r="M35" s="453" t="n"/>
      <c r="N35" s="453" t="n"/>
      <c r="O35" s="453" t="n"/>
      <c r="P35" s="453" t="n"/>
      <c r="Q35" s="453" t="n"/>
      <c r="R35" s="453" t="n"/>
      <c r="S35" s="453" t="n"/>
      <c r="T35" s="453" t="n"/>
      <c r="U35" s="453" t="n"/>
      <c r="V35" s="453" t="n"/>
      <c r="W35" s="453" t="n"/>
      <c r="X35" s="453" t="n"/>
      <c r="Y35" s="453" t="n"/>
      <c r="Z35" s="453" t="n"/>
    </row>
    <row r="36" ht="12.75" customHeight="1" s="348">
      <c r="A36" s="124" t="n"/>
      <c r="B36" s="568" t="inlineStr">
        <is>
          <t>Fall 2022 Student to Faculty ratio</t>
        </is>
      </c>
      <c r="C36" s="494" t="n"/>
      <c r="D36" s="494" t="n"/>
      <c r="E36" s="494" t="n"/>
      <c r="F36" s="495" t="n"/>
      <c r="G36" s="128" t="n">
        <v>21</v>
      </c>
      <c r="H36" s="127" t="inlineStr">
        <is>
          <t>to 1</t>
        </is>
      </c>
      <c r="I36" s="125" t="inlineStr">
        <is>
          <t>(based on</t>
        </is>
      </c>
      <c r="J36" s="119" t="n">
        <v>48584</v>
      </c>
      <c r="K36" s="125" t="inlineStr">
        <is>
          <t>students</t>
        </is>
      </c>
      <c r="L36" s="125" t="n"/>
      <c r="M36" s="125" t="n"/>
      <c r="N36" s="125" t="n"/>
      <c r="O36" s="125" t="n"/>
      <c r="P36" s="125" t="n"/>
      <c r="Q36" s="125" t="n"/>
      <c r="R36" s="125" t="n"/>
      <c r="S36" s="125" t="n"/>
      <c r="T36" s="125" t="n"/>
      <c r="U36" s="125" t="n"/>
      <c r="V36" s="125" t="n"/>
      <c r="W36" s="125" t="n"/>
      <c r="X36" s="125" t="n"/>
      <c r="Y36" s="125" t="n"/>
      <c r="Z36" s="125" t="n"/>
    </row>
    <row r="37" ht="12.75" customHeight="1" s="348">
      <c r="A37" s="125" t="n"/>
      <c r="B37" s="125" t="n"/>
      <c r="C37" s="125" t="n"/>
      <c r="D37" s="125" t="n"/>
      <c r="E37" s="125" t="n"/>
      <c r="F37" s="125" t="n"/>
      <c r="G37" s="125" t="n"/>
      <c r="H37" s="125" t="n"/>
      <c r="I37" s="126" t="inlineStr">
        <is>
          <t>and</t>
        </is>
      </c>
      <c r="J37" s="119" t="n">
        <v>2313</v>
      </c>
      <c r="K37" s="125" t="inlineStr">
        <is>
          <t>faculty).</t>
        </is>
      </c>
      <c r="L37" s="125" t="n"/>
      <c r="M37" s="125" t="n"/>
      <c r="N37" s="125" t="n"/>
      <c r="O37" s="125" t="n"/>
      <c r="P37" s="125" t="n"/>
      <c r="Q37" s="125" t="n"/>
      <c r="R37" s="125" t="n"/>
      <c r="S37" s="125" t="n"/>
      <c r="T37" s="125" t="n"/>
      <c r="U37" s="125" t="n"/>
      <c r="V37" s="125" t="n"/>
      <c r="W37" s="125" t="n"/>
      <c r="X37" s="125" t="n"/>
      <c r="Y37" s="125" t="n"/>
      <c r="Z37" s="125" t="n"/>
    </row>
    <row r="38" ht="16.5" customHeight="1" s="348">
      <c r="A38" s="124" t="inlineStr">
        <is>
          <t xml:space="preserve">I-3. </t>
        </is>
      </c>
      <c r="B38" s="426" t="inlineStr">
        <is>
          <t>Undergraduate Class Size</t>
        </is>
      </c>
      <c r="L38" s="453" t="n"/>
      <c r="M38" s="453" t="n"/>
      <c r="N38" s="453" t="n"/>
      <c r="O38" s="453" t="n"/>
      <c r="P38" s="453" t="n"/>
      <c r="Q38" s="453" t="n"/>
      <c r="R38" s="453" t="n"/>
      <c r="S38" s="453" t="n"/>
      <c r="T38" s="453" t="n"/>
      <c r="U38" s="453" t="n"/>
      <c r="V38" s="453" t="n"/>
      <c r="W38" s="453" t="n"/>
      <c r="X38" s="453" t="n"/>
      <c r="Y38" s="453" t="n"/>
      <c r="Z38" s="453" t="n"/>
    </row>
    <row r="39" ht="27" customHeight="1" s="348">
      <c r="A39" s="66" t="n"/>
      <c r="B39" s="382" t="inlineStr">
        <is>
          <t>In the table below, please use the following definitions to report information about the size of classes and class sections offered in the Fall 2022 term.</t>
        </is>
      </c>
      <c r="L39" s="453" t="n"/>
      <c r="M39" s="453" t="n"/>
      <c r="N39" s="453" t="n"/>
      <c r="O39" s="453" t="n"/>
      <c r="P39" s="453" t="n"/>
      <c r="Q39" s="453" t="n"/>
      <c r="R39" s="453" t="n"/>
      <c r="S39" s="453" t="n"/>
      <c r="T39" s="453" t="n"/>
      <c r="U39" s="453" t="n"/>
      <c r="V39" s="453" t="n"/>
      <c r="W39" s="453" t="n"/>
      <c r="X39" s="453" t="n"/>
      <c r="Y39" s="453" t="n"/>
      <c r="Z39" s="453" t="n"/>
    </row>
    <row r="40" ht="27" customHeight="1" s="348">
      <c r="A40" s="66" t="n"/>
      <c r="B40" s="455" t="inlineStr">
        <is>
          <t>•     Please include classes that have been moved online in response to the COVID-19 pandemic.</t>
        </is>
      </c>
      <c r="L40" s="453" t="n"/>
      <c r="M40" s="453" t="n"/>
      <c r="N40" s="453" t="n"/>
      <c r="O40" s="453" t="n"/>
      <c r="P40" s="453" t="n"/>
      <c r="Q40" s="453" t="n"/>
      <c r="R40" s="453" t="n"/>
      <c r="S40" s="453" t="n"/>
      <c r="T40" s="453" t="n"/>
      <c r="U40" s="453" t="n"/>
      <c r="V40" s="453" t="n"/>
      <c r="W40" s="453" t="n"/>
      <c r="X40" s="453" t="n"/>
      <c r="Y40" s="453" t="n"/>
      <c r="Z40" s="453" t="n"/>
    </row>
    <row r="41" ht="111.75" customHeight="1" s="348">
      <c r="A41" s="66" t="n"/>
      <c r="B41" s="486" t="inlineStr">
        <is>
          <t>Class Sections: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is>
      </c>
      <c r="L41" s="453" t="n"/>
      <c r="M41" s="453" t="n"/>
      <c r="N41" s="453" t="n"/>
      <c r="O41" s="453" t="n"/>
      <c r="P41" s="453" t="n"/>
      <c r="Q41" s="453" t="n"/>
      <c r="R41" s="453" t="n"/>
      <c r="S41" s="453" t="n"/>
      <c r="T41" s="453" t="n"/>
      <c r="U41" s="453" t="n"/>
      <c r="V41" s="453" t="n"/>
      <c r="W41" s="453" t="n"/>
      <c r="X41" s="453" t="n"/>
      <c r="Y41" s="453" t="n"/>
      <c r="Z41" s="453" t="n"/>
    </row>
    <row r="42" ht="96.59999999999999" customHeight="1" s="348">
      <c r="A42" s="66" t="n"/>
      <c r="B42" s="486" t="inlineStr">
        <is>
          <t>Class Subsections: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is>
      </c>
      <c r="L42" s="453" t="n"/>
      <c r="M42" s="453" t="n"/>
      <c r="N42" s="453" t="n"/>
      <c r="O42" s="453" t="n"/>
      <c r="P42" s="453" t="n"/>
      <c r="Q42" s="453" t="n"/>
      <c r="R42" s="453" t="n"/>
      <c r="S42" s="453" t="n"/>
      <c r="T42" s="453" t="n"/>
      <c r="U42" s="453" t="n"/>
      <c r="V42" s="453" t="n"/>
      <c r="W42" s="453" t="n"/>
      <c r="X42" s="453" t="n"/>
      <c r="Y42" s="453" t="n"/>
      <c r="Z42" s="453" t="n"/>
    </row>
    <row r="43" ht="54" customHeight="1" s="348">
      <c r="A43" s="66" t="n"/>
      <c r="B43" s="382" t="inlineStr">
        <is>
          <t xml:space="preserve">Using the above definitions, please report for each of the following class-size intervals the number of class sections and class subsections offered in Fall 2022. For example, a lecture class with 800 students who met at another time in 40 separate labs with 20 students should be counted once in the “100+” column in the class section column and 40 times under the “20-29” column of the class subsections table. </t>
        </is>
      </c>
      <c r="L43" s="453" t="n"/>
      <c r="M43" s="453" t="n"/>
      <c r="N43" s="453" t="n"/>
      <c r="O43" s="453" t="n"/>
      <c r="P43" s="453" t="n"/>
      <c r="Q43" s="453" t="n"/>
      <c r="R43" s="453" t="n"/>
      <c r="S43" s="453" t="n"/>
      <c r="T43" s="453" t="n"/>
      <c r="U43" s="453" t="n"/>
      <c r="V43" s="453" t="n"/>
      <c r="W43" s="453" t="n"/>
      <c r="X43" s="453" t="n"/>
      <c r="Y43" s="453" t="n"/>
      <c r="Z43" s="453" t="n"/>
    </row>
    <row r="44" ht="12.75" customHeight="1" s="348">
      <c r="A44" s="66" t="n"/>
      <c r="B44" s="122" t="n"/>
      <c r="C44" s="122" t="n"/>
      <c r="D44" s="122" t="n"/>
      <c r="E44" s="122" t="n"/>
      <c r="F44" s="122" t="n"/>
      <c r="G44" s="122" t="n"/>
      <c r="H44" s="122" t="n"/>
      <c r="I44" s="122" t="n"/>
      <c r="J44" s="122" t="n"/>
      <c r="K44" s="122" t="n"/>
      <c r="L44" s="453" t="n"/>
      <c r="M44" s="453" t="n"/>
      <c r="N44" s="453" t="n"/>
      <c r="O44" s="453" t="n"/>
      <c r="P44" s="453" t="n"/>
      <c r="Q44" s="453" t="n"/>
      <c r="R44" s="453" t="n"/>
      <c r="S44" s="453" t="n"/>
      <c r="T44" s="453" t="n"/>
      <c r="U44" s="453" t="n"/>
      <c r="V44" s="453" t="n"/>
      <c r="W44" s="453" t="n"/>
      <c r="X44" s="453" t="n"/>
      <c r="Y44" s="453" t="n"/>
      <c r="Z44" s="453" t="n"/>
    </row>
    <row r="45" ht="12.75" customHeight="1" s="348">
      <c r="A45" s="66" t="n"/>
      <c r="B45" s="488" t="inlineStr">
        <is>
          <t>Number of Class Sections with Undergraduates Enrolled</t>
        </is>
      </c>
      <c r="L45" s="453" t="n"/>
      <c r="M45" s="453" t="n"/>
      <c r="N45" s="453" t="n"/>
      <c r="O45" s="453" t="n"/>
      <c r="P45" s="453" t="n"/>
      <c r="Q45" s="453" t="n"/>
      <c r="R45" s="453" t="n"/>
      <c r="S45" s="453" t="n"/>
      <c r="T45" s="453" t="n"/>
      <c r="U45" s="453" t="n"/>
      <c r="V45" s="453" t="n"/>
      <c r="W45" s="453" t="n"/>
      <c r="X45" s="453" t="n"/>
      <c r="Y45" s="453" t="n"/>
      <c r="Z45" s="453" t="n"/>
    </row>
    <row r="46" ht="12.75" customHeight="1" s="348">
      <c r="A46" s="453" t="n"/>
      <c r="B46" s="453" t="n"/>
      <c r="C46" s="453" t="n"/>
      <c r="D46" s="453" t="n"/>
      <c r="E46" s="453"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66" t="n"/>
      <c r="B47" s="487" t="inlineStr">
        <is>
          <t>Undergraduate Class Size (provide numbers)</t>
        </is>
      </c>
      <c r="C47" s="498" t="n"/>
      <c r="D47" s="498" t="n"/>
      <c r="E47" s="498" t="n"/>
      <c r="F47" s="498" t="n"/>
      <c r="G47" s="498" t="n"/>
      <c r="H47" s="498" t="n"/>
      <c r="I47" s="498" t="n"/>
      <c r="J47" s="498" t="n"/>
      <c r="K47" s="498" t="n"/>
      <c r="L47" s="453" t="n"/>
      <c r="M47" s="453" t="n"/>
      <c r="N47" s="453" t="n"/>
      <c r="O47" s="453" t="n"/>
      <c r="P47" s="453" t="n"/>
      <c r="Q47" s="453" t="n"/>
      <c r="R47" s="453" t="n"/>
      <c r="S47" s="453" t="n"/>
      <c r="T47" s="453" t="n"/>
      <c r="U47" s="453" t="n"/>
      <c r="V47" s="453" t="n"/>
      <c r="W47" s="453" t="n"/>
      <c r="X47" s="453" t="n"/>
      <c r="Y47" s="453" t="n"/>
      <c r="Z47" s="453" t="n"/>
    </row>
    <row r="48" ht="12.75" customHeight="1" s="348">
      <c r="A48" s="66" t="n"/>
      <c r="B48" s="324" t="n"/>
      <c r="C48" s="495" t="n"/>
      <c r="D48" s="120" t="inlineStr">
        <is>
          <t>2-9</t>
        </is>
      </c>
      <c r="E48" s="120" t="inlineStr">
        <is>
          <t>10-19</t>
        </is>
      </c>
      <c r="F48" s="120" t="inlineStr">
        <is>
          <t>20-29</t>
        </is>
      </c>
      <c r="G48" s="120" t="inlineStr">
        <is>
          <t>30-39</t>
        </is>
      </c>
      <c r="H48" s="120" t="inlineStr">
        <is>
          <t>40-49</t>
        </is>
      </c>
      <c r="I48" s="120" t="inlineStr">
        <is>
          <t>50-99</t>
        </is>
      </c>
      <c r="J48" s="120" t="inlineStr">
        <is>
          <t>100+</t>
        </is>
      </c>
      <c r="K48" s="120" t="inlineStr">
        <is>
          <t>Total</t>
        </is>
      </c>
      <c r="L48" s="453" t="n"/>
      <c r="M48" s="453" t="n"/>
      <c r="N48" s="453" t="n"/>
      <c r="O48" s="453" t="n"/>
      <c r="P48" s="453" t="n"/>
      <c r="Q48" s="453" t="n"/>
      <c r="R48" s="453" t="n"/>
      <c r="S48" s="453" t="n"/>
      <c r="T48" s="453" t="n"/>
      <c r="U48" s="453" t="n"/>
      <c r="V48" s="453" t="n"/>
      <c r="W48" s="453" t="n"/>
      <c r="X48" s="453" t="n"/>
      <c r="Y48" s="453" t="n"/>
      <c r="Z48" s="453" t="n"/>
    </row>
    <row r="49" ht="26.25" customHeight="1" s="348">
      <c r="A49" s="66" t="n"/>
      <c r="B49" s="569" t="inlineStr">
        <is>
          <t>CLASS SECTIONS</t>
        </is>
      </c>
      <c r="C49" s="518" t="n"/>
      <c r="D49" s="119" t="n">
        <v>498</v>
      </c>
      <c r="E49" s="119" t="n">
        <v>940</v>
      </c>
      <c r="F49" s="119" t="n">
        <v>937</v>
      </c>
      <c r="G49" s="119" t="n">
        <v>339</v>
      </c>
      <c r="H49" s="119" t="n">
        <v>290</v>
      </c>
      <c r="I49" s="119" t="n">
        <v>401</v>
      </c>
      <c r="J49" s="119" t="n">
        <v>320</v>
      </c>
      <c r="K49" s="119">
        <f>SUM(D49:J49)</f>
        <v/>
      </c>
      <c r="L49" s="453" t="n"/>
      <c r="M49" s="453" t="n"/>
      <c r="N49" s="453" t="n"/>
      <c r="O49" s="453" t="n"/>
      <c r="P49" s="453" t="n"/>
      <c r="Q49" s="453" t="n"/>
      <c r="R49" s="453" t="n"/>
      <c r="S49" s="453" t="n"/>
      <c r="T49" s="453" t="n"/>
      <c r="U49" s="453" t="n"/>
      <c r="V49" s="453" t="n"/>
      <c r="W49" s="453" t="n"/>
      <c r="X49" s="453" t="n"/>
      <c r="Y49" s="453" t="n"/>
      <c r="Z49" s="453" t="n"/>
    </row>
    <row r="50" ht="12.75" customHeight="1" s="348">
      <c r="A50" s="453" t="n"/>
      <c r="B50" s="453" t="n"/>
      <c r="D50" s="453" t="n"/>
      <c r="E50" s="453" t="n"/>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66" t="n"/>
      <c r="B51" s="324" t="n"/>
      <c r="C51" s="495" t="n"/>
      <c r="D51" s="120" t="inlineStr">
        <is>
          <t>2-9</t>
        </is>
      </c>
      <c r="E51" s="120" t="inlineStr">
        <is>
          <t>10-19</t>
        </is>
      </c>
      <c r="F51" s="120" t="inlineStr">
        <is>
          <t>20-29</t>
        </is>
      </c>
      <c r="G51" s="120" t="inlineStr">
        <is>
          <t>30-39</t>
        </is>
      </c>
      <c r="H51" s="120" t="inlineStr">
        <is>
          <t>40-49</t>
        </is>
      </c>
      <c r="I51" s="120" t="inlineStr">
        <is>
          <t>50-99</t>
        </is>
      </c>
      <c r="J51" s="120" t="inlineStr">
        <is>
          <t>100+</t>
        </is>
      </c>
      <c r="K51" s="120" t="inlineStr">
        <is>
          <t>Total</t>
        </is>
      </c>
      <c r="L51" s="453" t="n"/>
      <c r="M51" s="453" t="n"/>
      <c r="N51" s="453" t="n"/>
      <c r="O51" s="453" t="n"/>
      <c r="P51" s="453" t="n"/>
      <c r="Q51" s="453" t="n"/>
      <c r="R51" s="453" t="n"/>
      <c r="S51" s="453" t="n"/>
      <c r="T51" s="453" t="n"/>
      <c r="U51" s="453" t="n"/>
      <c r="V51" s="453" t="n"/>
      <c r="W51" s="453" t="n"/>
      <c r="X51" s="453" t="n"/>
      <c r="Y51" s="453" t="n"/>
      <c r="Z51" s="453" t="n"/>
    </row>
    <row r="52" ht="26.25" customHeight="1" s="348">
      <c r="A52" s="66" t="n"/>
      <c r="B52" s="324" t="inlineStr">
        <is>
          <t>CLASS SUB-SECTIONS</t>
        </is>
      </c>
      <c r="C52" s="495" t="n"/>
      <c r="D52" s="119" t="n">
        <v>698</v>
      </c>
      <c r="E52" s="119" t="n">
        <v>720</v>
      </c>
      <c r="F52" s="119" t="n">
        <v>1272</v>
      </c>
      <c r="G52" s="119" t="n">
        <v>658</v>
      </c>
      <c r="H52" s="119" t="n">
        <v>151</v>
      </c>
      <c r="I52" s="119" t="n">
        <v>120</v>
      </c>
      <c r="J52" s="119" t="n">
        <v>127</v>
      </c>
      <c r="K52" s="119">
        <f>SUM(D52:J52)</f>
        <v/>
      </c>
      <c r="L52" s="453" t="n"/>
      <c r="M52" s="453" t="n"/>
      <c r="N52" s="453" t="n"/>
      <c r="O52" s="453" t="n"/>
      <c r="P52" s="453" t="n"/>
      <c r="Q52" s="453" t="n"/>
      <c r="R52" s="453" t="n"/>
      <c r="S52" s="453" t="n"/>
      <c r="T52" s="453" t="n"/>
      <c r="U52" s="453" t="n"/>
      <c r="V52" s="453" t="n"/>
      <c r="W52" s="453" t="n"/>
      <c r="X52" s="453" t="n"/>
      <c r="Y52" s="453" t="n"/>
      <c r="Z52" s="453" t="n"/>
    </row>
    <row r="53" ht="12.75" customHeight="1" s="348">
      <c r="A53" s="453" t="n"/>
      <c r="B53" s="453" t="n"/>
      <c r="C53" s="453" t="n"/>
      <c r="D53" s="453" t="n"/>
      <c r="E53" s="453" t="n"/>
      <c r="F53" s="453"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2.75" customHeight="1" s="348">
      <c r="A54" s="453" t="n"/>
      <c r="B54" s="453" t="n"/>
      <c r="C54" s="453" t="n"/>
      <c r="D54" s="453" t="n"/>
      <c r="E54" s="453" t="n"/>
      <c r="F54" s="453"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53"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53" t="n"/>
      <c r="B56" s="453" t="n"/>
      <c r="C56" s="453" t="n"/>
      <c r="D56" s="453" t="n"/>
      <c r="E56" s="453" t="n"/>
      <c r="F56" s="453" t="n"/>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53" t="n"/>
      <c r="B57" s="453" t="n"/>
      <c r="C57" s="453" t="n"/>
      <c r="D57" s="453" t="n"/>
      <c r="E57" s="453" t="n"/>
      <c r="F57" s="453"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53" t="n"/>
      <c r="B58" s="453" t="n"/>
      <c r="C58" s="453" t="n"/>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53" t="n"/>
      <c r="B59" s="453" t="n"/>
      <c r="C59" s="453" t="n"/>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53" t="n"/>
      <c r="B60" s="453" t="n"/>
      <c r="C60" s="453" t="n"/>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53" t="n"/>
      <c r="B61" s="453" t="n"/>
      <c r="C61" s="453" t="n"/>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53" t="n"/>
      <c r="B62" s="453" t="n"/>
      <c r="C62" s="453" t="n"/>
      <c r="D62" s="453" t="n"/>
      <c r="E62" s="453"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53" t="n"/>
      <c r="B63" s="453" t="n"/>
      <c r="C63" s="453" t="n"/>
      <c r="D63" s="453" t="n"/>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53"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53" t="n"/>
      <c r="B65" s="453" t="n"/>
      <c r="C65" s="453" t="n"/>
      <c r="D65" s="453" t="n"/>
      <c r="E65" s="453" t="n"/>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53" t="n"/>
      <c r="B66" s="453" t="n"/>
      <c r="C66" s="453" t="n"/>
      <c r="D66" s="453" t="n"/>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53"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53" t="n"/>
      <c r="B68" s="453" t="n"/>
      <c r="C68" s="453" t="n"/>
      <c r="D68" s="453" t="n"/>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53" t="n"/>
      <c r="B69" s="453" t="n"/>
      <c r="C69" s="453" t="n"/>
      <c r="D69" s="453" t="n"/>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53" t="n"/>
      <c r="B70" s="453" t="n"/>
      <c r="C70" s="453" t="n"/>
      <c r="D70" s="453"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53" t="n"/>
      <c r="B71" s="453" t="n"/>
      <c r="C71" s="453" t="n"/>
      <c r="D71" s="453" t="n"/>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53" t="n"/>
      <c r="B72" s="453" t="n"/>
      <c r="C72" s="453" t="n"/>
      <c r="D72" s="453"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53" t="n"/>
      <c r="B73" s="453" t="n"/>
      <c r="C73" s="453" t="n"/>
      <c r="D73" s="453"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53" t="n"/>
      <c r="B74" s="453" t="n"/>
      <c r="C74" s="453" t="n"/>
      <c r="D74" s="453"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53"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53" t="n"/>
      <c r="B76" s="453" t="n"/>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53" t="n"/>
      <c r="B77" s="453" t="n"/>
      <c r="C77" s="453" t="n"/>
      <c r="D77" s="453" t="n"/>
      <c r="E77" s="453" t="n"/>
      <c r="F77" s="453" t="n"/>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53" t="n"/>
      <c r="B78" s="453" t="n"/>
      <c r="C78" s="453" t="n"/>
      <c r="D78" s="453" t="n"/>
      <c r="E78" s="453" t="n"/>
      <c r="F78" s="453"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53" t="n"/>
      <c r="B79" s="453" t="n"/>
      <c r="C79" s="453" t="n"/>
      <c r="D79" s="453" t="n"/>
      <c r="E79" s="453" t="n"/>
      <c r="F79" s="453"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53"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53" t="n"/>
      <c r="B81" s="453" t="n"/>
      <c r="C81" s="453" t="n"/>
      <c r="D81" s="453" t="n"/>
      <c r="E81" s="453" t="n"/>
      <c r="F81" s="453"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53" t="n"/>
      <c r="B82" s="453" t="n"/>
      <c r="C82" s="453" t="n"/>
      <c r="D82" s="453" t="n"/>
      <c r="E82" s="453" t="n"/>
      <c r="F82" s="453"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53" t="n"/>
      <c r="B83" s="453" t="n"/>
      <c r="C83" s="453" t="n"/>
      <c r="D83" s="453" t="n"/>
      <c r="E83" s="453" t="n"/>
      <c r="F83" s="453"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53"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53" t="n"/>
      <c r="B85" s="453" t="n"/>
      <c r="C85" s="453" t="n"/>
      <c r="D85" s="453" t="n"/>
      <c r="E85" s="453" t="n"/>
      <c r="F85" s="453"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53" t="n"/>
      <c r="B86" s="453" t="n"/>
      <c r="C86" s="453" t="n"/>
      <c r="D86" s="453" t="n"/>
      <c r="E86" s="453" t="n"/>
      <c r="F86" s="453" t="n"/>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53" t="n"/>
      <c r="B87" s="453" t="n"/>
      <c r="C87" s="453" t="n"/>
      <c r="D87" s="453" t="n"/>
      <c r="E87" s="453" t="n"/>
      <c r="F87" s="453"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53" t="n"/>
      <c r="B88" s="453" t="n"/>
      <c r="C88" s="453" t="n"/>
      <c r="D88" s="453" t="n"/>
      <c r="E88" s="453" t="n"/>
      <c r="F88" s="453"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53" t="n"/>
      <c r="B89" s="453" t="n"/>
      <c r="C89" s="453" t="n"/>
      <c r="D89" s="453" t="n"/>
      <c r="E89" s="453" t="n"/>
      <c r="F89" s="453" t="n"/>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53"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53" t="n"/>
      <c r="B91" s="453" t="n"/>
      <c r="C91" s="453" t="n"/>
      <c r="D91" s="453" t="n"/>
      <c r="E91" s="453" t="n"/>
      <c r="F91" s="453"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53" t="n"/>
      <c r="B92" s="453" t="n"/>
      <c r="C92" s="453" t="n"/>
      <c r="D92" s="453" t="n"/>
      <c r="E92" s="453" t="n"/>
      <c r="F92" s="453"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53" t="n"/>
      <c r="B93" s="453" t="n"/>
      <c r="C93" s="453" t="n"/>
      <c r="D93" s="453" t="n"/>
      <c r="E93" s="453" t="n"/>
      <c r="F93" s="453" t="n"/>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53" t="n"/>
      <c r="B94" s="453" t="n"/>
      <c r="C94" s="453" t="n"/>
      <c r="D94" s="453" t="n"/>
      <c r="E94" s="453" t="n"/>
      <c r="F94" s="453"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53" t="n"/>
      <c r="B95" s="453" t="n"/>
      <c r="C95" s="453" t="n"/>
      <c r="D95" s="453" t="n"/>
      <c r="E95" s="453" t="n"/>
      <c r="F95" s="453" t="n"/>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53" t="n"/>
      <c r="B96" s="453" t="n"/>
      <c r="C96" s="453" t="n"/>
      <c r="D96" s="453" t="n"/>
      <c r="E96" s="453" t="n"/>
      <c r="F96" s="453"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53" t="n"/>
      <c r="B97" s="453" t="n"/>
      <c r="C97" s="453" t="n"/>
      <c r="D97" s="453" t="n"/>
      <c r="E97" s="453" t="n"/>
      <c r="F97" s="453"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53" t="n"/>
      <c r="B98" s="453" t="n"/>
      <c r="C98" s="453" t="n"/>
      <c r="D98" s="453" t="n"/>
      <c r="E98" s="453" t="n"/>
      <c r="F98" s="453"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53" t="n"/>
      <c r="B99" s="453" t="n"/>
      <c r="C99" s="453" t="n"/>
      <c r="D99" s="453" t="n"/>
      <c r="E99" s="453" t="n"/>
      <c r="F99" s="453"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53" t="n"/>
      <c r="B100" s="453" t="n"/>
      <c r="C100" s="453" t="n"/>
      <c r="D100" s="453" t="n"/>
      <c r="E100" s="453" t="n"/>
      <c r="F100" s="453" t="n"/>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53" t="n"/>
      <c r="B101" s="453" t="n"/>
      <c r="C101" s="453" t="n"/>
      <c r="D101" s="453" t="n"/>
      <c r="E101" s="453" t="n"/>
      <c r="F101" s="453"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53"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53"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53"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53"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53"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53"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53"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53"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53"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53"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53"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53"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53"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53"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53"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53"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53"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53"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53"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53"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53"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53"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53"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53"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53"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53"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53"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53"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53"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53"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53"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53"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53"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53"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53"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53"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53"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53"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53"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53"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53"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53"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53"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53"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53"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53"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53"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53"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53"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53"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53"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53"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53"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53"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53"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53"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53"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53"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53"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53"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53"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53"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53"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53"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53"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53"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53"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53"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53"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53"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53"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53"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53"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53"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53"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53"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53"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53"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53"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53"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53"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53"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53"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53"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53"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53"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53"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53"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53"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53"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53"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53"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53"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53"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53"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53"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53"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53"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53"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53"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53"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53"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53"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53"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53"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53"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53"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53"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53"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53"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53"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53"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53"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53"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53"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53"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53"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53"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53"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53"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53"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53"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53"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53"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53"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53"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53"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53"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53"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53"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53"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53"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53"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53"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53"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53"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53"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53"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53"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53"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53"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53"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53"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53"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53"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53"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53"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53"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53"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53"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53"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53"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53"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53"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53"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53"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53"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53"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53"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53"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53"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53"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53"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53"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53"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53"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53"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53"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53"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53"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53"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53"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53"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53"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53"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53"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53"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53"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53"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53"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53"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53"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53"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53"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53"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53"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53"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53"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53"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53"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53"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53"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53"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53"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53"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53"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53"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53"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53"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53"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53"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53"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53"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53"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53"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53"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53"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53"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53"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53"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53"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53"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53"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53"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53"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53"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53"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53"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53"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53"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53"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53"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53"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53"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53"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53"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53"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53"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53"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53"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53"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53"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53"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53"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53"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53"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53"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53"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53"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53"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53"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53"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53"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53"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53"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53"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53"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53"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53"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53"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53"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53"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53"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53"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53"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53"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53"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53"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53"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53"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53"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53"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53"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53"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53"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53"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53"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53"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53"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53"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53"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53"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53"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53"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53"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53"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53"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53"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53"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53"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53"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53"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53"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53"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53"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53"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53"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53"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53"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53"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53"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53"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53"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53"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53"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53"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53"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53"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53"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53"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53"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53"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53"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53"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53"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53"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53"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53"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53"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53"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53"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53"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53"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53"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53"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53"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53"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53"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53"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53"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53"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53"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53"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53"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53"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53"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53"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53"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53"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53"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53"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53"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53"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53"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53"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53"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53"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53"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53"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53"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53"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53"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53"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53"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53"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53"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53"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53"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53"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53"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53"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53"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53"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53"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53"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53"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53"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53"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53"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53"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53"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53"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53"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53"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53"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53"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53"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53"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53"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53"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53"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53"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53"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53"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53"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53"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53"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53"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53"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53"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53"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53"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53"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53"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53"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53"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53"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53"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53"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53"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53"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53"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53"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53"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53"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53"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53"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53"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53"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53"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53"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53"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53"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53"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53"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53"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53"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53"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53"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53"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53"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53"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53"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53"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53"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53"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53"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53"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53"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53"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53"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53"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53"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53"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53"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53"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53"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53"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53"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53"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53"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53"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53"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53"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53"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53"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53"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53"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53"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53"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53"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53"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53"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53"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53"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53"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53"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53"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53"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53"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53"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53"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53"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53"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53"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53"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53"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53"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53"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53"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53"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53"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53"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53"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53"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53"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53"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53"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53"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53"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53"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53"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53"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53"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53"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53"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53"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53"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53"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53"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53"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53"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53"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53"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53"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53"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53"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53"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53"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53"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53"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53"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53"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53"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53"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53"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53"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53"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53"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53"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53"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53"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53"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53"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53"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53"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53"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53"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53"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53"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53"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53"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53"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53"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53"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53"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53"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53"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53"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53"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53"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53"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53"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53"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53"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53"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53"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53"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53"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53"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53"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53"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53"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53"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53"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53"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53"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53"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53"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53"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53"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53"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53"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53"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53"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53"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53"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53"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53"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53"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53"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53"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53"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53"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53"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53"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53"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53"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53"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53"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53"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53"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53"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53"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53"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53"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53"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53"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53"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53"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53"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53"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53"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53"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53"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53"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53"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53"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53"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53"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53"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53"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53"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53"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53"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53"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53"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53"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53"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53"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53"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53"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53"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53"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53"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53"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53"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53"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53"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53"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53"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53"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53"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53"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53"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53"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53"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53"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53"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53"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53"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53"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53"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53"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53"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53"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53"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53"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53"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53"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53"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53"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53"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53"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53"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53"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53"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53"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53"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53"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53"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53"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53"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53"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53"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53"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53"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53"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53"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53"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53"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53"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53"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53"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53"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53"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53"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53"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53"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53"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53"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53"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53"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53"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53"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53"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53"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53"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53"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53"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53"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53"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53"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53"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53"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53"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53"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53"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53"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53"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53"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53"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53"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53"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53"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53"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53"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53"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53"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53"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53"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53"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53"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53"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53"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53"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53"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53"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53"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53"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53"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53"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53"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53"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53"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53"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53"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53"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53"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53"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53"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53"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53"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53"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53"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53"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53"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53"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53"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53"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53"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53"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53"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53"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53"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53"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53"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53"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53"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53"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53"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53"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53"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53"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53"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53"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53"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53"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53"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53"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53"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53"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53"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53"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53"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53"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53"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53"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53"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53"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53"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53"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53"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53"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53"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53"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53"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53"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53"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53"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53"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53"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53"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53"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53"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53"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53"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53"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53"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53"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53"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53"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53"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53"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53"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53"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53"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53"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53"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53"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53"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53"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53"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53"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53"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53"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53"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53"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53"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53"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53"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53"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53"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53"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53"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53"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53"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53"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53"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53"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53"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53"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53"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53"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53"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53"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53"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53"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53"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53"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53"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53"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53"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53"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53"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53"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53"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53"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53"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53"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53"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53"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53"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53"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53"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53"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53"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53"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53"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53"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53"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53"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53"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53"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53"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53"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53"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53"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53"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53"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53"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53"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53"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53"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53"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53"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53"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53"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53"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53"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53"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53"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53"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53"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53"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53"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53"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53"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53"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53"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53"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53"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53"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53"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53"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53"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53"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53"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53"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53"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53"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53"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53"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53"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53"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53"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53"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53"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53"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53"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53"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53"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53"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53"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53"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53"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53"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53"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53"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53"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53"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53"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53"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53"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53"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53"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53"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53"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53"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53"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53"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53"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53"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53"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53"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53"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53"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53"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53"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43">
    <mergeCell ref="C25:H25"/>
    <mergeCell ref="B40:K40"/>
    <mergeCell ref="C22:H22"/>
    <mergeCell ref="C8:I8"/>
    <mergeCell ref="B15:K15"/>
    <mergeCell ref="C7:I7"/>
    <mergeCell ref="B33:K33"/>
    <mergeCell ref="A1:K1"/>
    <mergeCell ref="B20:H20"/>
    <mergeCell ref="C21:H21"/>
    <mergeCell ref="B52:C52"/>
    <mergeCell ref="B45:K45"/>
    <mergeCell ref="B41:K41"/>
    <mergeCell ref="B48:C48"/>
    <mergeCell ref="B32:K32"/>
    <mergeCell ref="B4:K4"/>
    <mergeCell ref="C27:H27"/>
    <mergeCell ref="C23:H23"/>
    <mergeCell ref="C6:I6"/>
    <mergeCell ref="B47:K47"/>
    <mergeCell ref="B16:K16"/>
    <mergeCell ref="B3:K3"/>
    <mergeCell ref="C28:H28"/>
    <mergeCell ref="B18:K18"/>
    <mergeCell ref="B43:K43"/>
    <mergeCell ref="B39:K39"/>
    <mergeCell ref="C10:I10"/>
    <mergeCell ref="B42:K42"/>
    <mergeCell ref="B49:C49"/>
    <mergeCell ref="C30:H30"/>
    <mergeCell ref="C24:H24"/>
    <mergeCell ref="C9:I9"/>
    <mergeCell ref="B14:K14"/>
    <mergeCell ref="B34:K34"/>
    <mergeCell ref="B17:K17"/>
    <mergeCell ref="B51:C51"/>
    <mergeCell ref="C12:I12"/>
    <mergeCell ref="B50:C50"/>
    <mergeCell ref="B36:F36"/>
    <mergeCell ref="C26:H26"/>
    <mergeCell ref="B38:K38"/>
    <mergeCell ref="C11:I11"/>
    <mergeCell ref="C29:H29"/>
  </mergeCells>
  <pageMargins left="0.75" right="0.75" top="1" bottom="1" header="0" footer="0"/>
  <pageSetup orientation="portrait" scale="75"/>
  <headerFooter>
    <oddHeader>&amp;LCommon Data Set 2021-2022</oddHeader>
    <oddFooter>&amp;LCDS-I&amp;C &amp;RPage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F1"/>
    </sheetView>
  </sheetViews>
  <sheetFormatPr baseColWidth="8" defaultColWidth="12.7109375" defaultRowHeight="15" customHeight="1"/>
  <cols>
    <col width="3.7109375" customWidth="1" style="366" min="1" max="1"/>
    <col width="42" customWidth="1" style="366" min="2" max="2"/>
    <col width="20.28515625" customWidth="1" style="366" min="3" max="3"/>
    <col width="15.42578125" customWidth="1" style="366" min="4" max="5"/>
    <col width="19.7109375" customWidth="1" style="366" min="6" max="6"/>
    <col width="8.7109375" customWidth="1" style="366" min="7" max="26"/>
    <col width="12.7109375" customWidth="1" style="366" min="27" max="16384"/>
  </cols>
  <sheetData>
    <row r="1" ht="12.75" customHeight="1" s="348">
      <c r="A1" s="489" t="inlineStr">
        <is>
          <t>J. Disciplinary areas of DEGREES CONFERRED</t>
        </is>
      </c>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01" t="inlineStr">
        <is>
          <t>J1</t>
        </is>
      </c>
      <c r="B3" s="124" t="inlineStr">
        <is>
          <t>Degrees conferred between July 1, 2021 and June 30, 2022</t>
        </is>
      </c>
      <c r="C3" s="453" t="n"/>
      <c r="D3" s="453" t="n"/>
      <c r="E3" s="453" t="n"/>
      <c r="F3" s="453" t="n"/>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72" customHeight="1" s="348">
      <c r="A4" s="395" t="n"/>
      <c r="B4" s="387" t="inlineStr">
        <is>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is>
      </c>
      <c r="C4" s="498" t="n"/>
      <c r="D4" s="498" t="n"/>
      <c r="E4" s="498" t="n"/>
      <c r="F4" s="498" t="n"/>
      <c r="G4" s="125" t="n"/>
      <c r="H4" s="125" t="n"/>
      <c r="I4" s="125" t="n"/>
      <c r="J4" s="125" t="n"/>
      <c r="K4" s="125" t="n"/>
      <c r="L4" s="125" t="n"/>
      <c r="M4" s="125" t="n"/>
      <c r="N4" s="125" t="n"/>
      <c r="O4" s="125" t="n"/>
      <c r="P4" s="125" t="n"/>
      <c r="Q4" s="125" t="n"/>
      <c r="R4" s="125" t="n"/>
      <c r="S4" s="125" t="n"/>
      <c r="T4" s="125" t="n"/>
      <c r="U4" s="125" t="n"/>
      <c r="V4" s="125" t="n"/>
      <c r="W4" s="125" t="n"/>
      <c r="X4" s="125" t="n"/>
      <c r="Y4" s="125" t="n"/>
      <c r="Z4" s="125" t="n"/>
    </row>
    <row r="5" ht="39" customHeight="1" s="348" thickBot="1">
      <c r="A5" s="401" t="n"/>
      <c r="B5" s="142" t="inlineStr">
        <is>
          <t>Category</t>
        </is>
      </c>
      <c r="C5" s="142" t="inlineStr">
        <is>
          <t>Diploma/Certificates</t>
        </is>
      </c>
      <c r="D5" s="142" t="inlineStr">
        <is>
          <t>Associate</t>
        </is>
      </c>
      <c r="E5" s="142" t="inlineStr">
        <is>
          <t>Bachelor’s</t>
        </is>
      </c>
      <c r="F5" s="142" t="inlineStr">
        <is>
          <t>CIP 2020 Categories to Include</t>
        </is>
      </c>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12.75" customHeight="1" s="348" thickBot="1">
      <c r="A6" s="401" t="n"/>
      <c r="B6" s="143" t="inlineStr">
        <is>
          <t>Agriculture</t>
        </is>
      </c>
      <c r="C6" s="144" t="n"/>
      <c r="D6" s="144" t="n"/>
      <c r="E6" s="570" t="n">
        <v>0.05858563777462018</v>
      </c>
      <c r="F6" s="146" t="inlineStr">
        <is>
          <t>01</t>
        </is>
      </c>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12.75" customHeight="1" s="348" thickBot="1">
      <c r="A7" s="401" t="n"/>
      <c r="B7" s="147" t="inlineStr">
        <is>
          <t>Natural resources and conservation</t>
        </is>
      </c>
      <c r="C7" s="148" t="n"/>
      <c r="D7" s="148" t="n"/>
      <c r="E7" s="571" t="n">
        <v>0.008306918788938682</v>
      </c>
      <c r="F7" s="150" t="inlineStr">
        <is>
          <t>03</t>
        </is>
      </c>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12.75" customHeight="1" s="348" thickBot="1">
      <c r="A8" s="401" t="n"/>
      <c r="B8" s="151" t="inlineStr">
        <is>
          <t>Architecture</t>
        </is>
      </c>
      <c r="C8" s="148" t="n"/>
      <c r="D8" s="148" t="n"/>
      <c r="E8" s="571" t="n">
        <v>0.008525521914963384</v>
      </c>
      <c r="F8" s="150" t="inlineStr">
        <is>
          <t>04</t>
        </is>
      </c>
      <c r="G8" s="453" t="n"/>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12.75" customHeight="1" s="348" thickBot="1">
      <c r="A9" s="401" t="n"/>
      <c r="B9" s="147" t="inlineStr">
        <is>
          <t>Area, ethnic, and gender studies</t>
        </is>
      </c>
      <c r="C9" s="148" t="n"/>
      <c r="D9" s="148" t="n"/>
      <c r="E9" s="571" t="n">
        <v>0.004481364083506394</v>
      </c>
      <c r="F9" s="150" t="inlineStr">
        <is>
          <t>05</t>
        </is>
      </c>
      <c r="G9" s="453" t="n"/>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12.75" customHeight="1" s="348" thickBot="1">
      <c r="A10" s="401" t="n"/>
      <c r="B10" s="151" t="inlineStr">
        <is>
          <t>Communication/journalism</t>
        </is>
      </c>
      <c r="C10" s="148" t="n"/>
      <c r="D10" s="148" t="n"/>
      <c r="E10" s="571" t="n">
        <v>0.06262979560607716</v>
      </c>
      <c r="F10" s="150" t="inlineStr">
        <is>
          <t>09</t>
        </is>
      </c>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12.75" customHeight="1" s="348" thickBot="1">
      <c r="A11" s="401" t="n"/>
      <c r="B11" s="151" t="inlineStr">
        <is>
          <t>Communication technologies</t>
        </is>
      </c>
      <c r="C11" s="148" t="n"/>
      <c r="D11" s="148" t="n"/>
      <c r="E11" s="571" t="n"/>
      <c r="F11" s="152" t="n">
        <v>10</v>
      </c>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thickBot="1">
      <c r="A12" s="401" t="n"/>
      <c r="B12" s="151" t="inlineStr">
        <is>
          <t>Computer and information sciences</t>
        </is>
      </c>
      <c r="C12" s="148" t="n"/>
      <c r="D12" s="148" t="n"/>
      <c r="E12" s="571" t="n">
        <v>0.04820198928844682</v>
      </c>
      <c r="F12" s="152" t="n">
        <v>11</v>
      </c>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2.75" customHeight="1" s="348" thickBot="1">
      <c r="A13" s="401" t="n"/>
      <c r="B13" s="151" t="inlineStr">
        <is>
          <t>Personal and culinary services</t>
        </is>
      </c>
      <c r="C13" s="148" t="n"/>
      <c r="D13" s="148" t="n"/>
      <c r="E13" s="571" t="n"/>
      <c r="F13" s="152" t="n">
        <v>12</v>
      </c>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2.75" customHeight="1" s="348" thickBot="1">
      <c r="A14" s="401" t="n"/>
      <c r="B14" s="151" t="inlineStr">
        <is>
          <t>Education</t>
        </is>
      </c>
      <c r="C14" s="148" t="n"/>
      <c r="D14" s="148" t="n"/>
      <c r="E14" s="571" t="n">
        <v>0.02382774073669253</v>
      </c>
      <c r="F14" s="152" t="n">
        <v>13</v>
      </c>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2.75" customHeight="1" s="348" thickBot="1">
      <c r="A15" s="401" t="n"/>
      <c r="B15" s="151" t="inlineStr">
        <is>
          <t>Engineering</t>
        </is>
      </c>
      <c r="C15" s="148" t="n"/>
      <c r="D15" s="148" t="n"/>
      <c r="E15" s="571" t="n">
        <v>0.1943381790359602</v>
      </c>
      <c r="F15" s="152" t="n">
        <v>14</v>
      </c>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2.75" customHeight="1" s="348" thickBot="1">
      <c r="A16" s="401" t="n"/>
      <c r="B16" s="151" t="inlineStr">
        <is>
          <t>Engineering technologies</t>
        </is>
      </c>
      <c r="C16" s="148" t="n"/>
      <c r="D16" s="148" t="n"/>
      <c r="E16" s="571" t="n">
        <v>0.0008744125040988086</v>
      </c>
      <c r="F16" s="152" t="n">
        <v>15</v>
      </c>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2.75" customHeight="1" s="348" thickBot="1">
      <c r="A17" s="401" t="n"/>
      <c r="B17" s="147" t="inlineStr">
        <is>
          <t>Foreign languages, literatures, and linguistics</t>
        </is>
      </c>
      <c r="C17" s="148" t="n"/>
      <c r="D17" s="148" t="n"/>
      <c r="E17" s="571" t="n">
        <v>0.01147666411629686</v>
      </c>
      <c r="F17" s="152" t="n">
        <v>16</v>
      </c>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thickBot="1">
      <c r="A18" s="401" t="n"/>
      <c r="B18" s="151" t="inlineStr">
        <is>
          <t>Family and consumer sciences</t>
        </is>
      </c>
      <c r="C18" s="148" t="n"/>
      <c r="D18" s="148" t="n"/>
      <c r="E18" s="571" t="n">
        <v>0.008197617225926331</v>
      </c>
      <c r="F18" s="152" t="n">
        <v>19</v>
      </c>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2.75" customHeight="1" s="348" thickBot="1">
      <c r="A19" s="401" t="n"/>
      <c r="B19" s="151" t="inlineStr">
        <is>
          <t>Law/legal studies</t>
        </is>
      </c>
      <c r="C19" s="148" t="n"/>
      <c r="D19" s="148" t="n"/>
      <c r="E19" s="571" t="n">
        <v>0</v>
      </c>
      <c r="F19" s="152" t="n">
        <v>22</v>
      </c>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thickBot="1">
      <c r="A20" s="401" t="n"/>
      <c r="B20" s="151" t="inlineStr">
        <is>
          <t>English</t>
        </is>
      </c>
      <c r="C20" s="148" t="n"/>
      <c r="D20" s="148" t="n"/>
      <c r="E20" s="571" t="n">
        <v>0.01289758443545743</v>
      </c>
      <c r="F20" s="152" t="n">
        <v>23</v>
      </c>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thickBot="1">
      <c r="A21" s="401" t="n"/>
      <c r="B21" s="151" t="inlineStr">
        <is>
          <t>Liberal arts/general studies</t>
        </is>
      </c>
      <c r="C21" s="148" t="n"/>
      <c r="D21" s="148" t="n"/>
      <c r="E21" s="571" t="n">
        <v>0.0003279046890370532</v>
      </c>
      <c r="F21" s="152" t="n">
        <v>24</v>
      </c>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thickBot="1">
      <c r="A22" s="401" t="n"/>
      <c r="B22" s="151" t="inlineStr">
        <is>
          <t>Library science</t>
        </is>
      </c>
      <c r="C22" s="148" t="n"/>
      <c r="D22" s="148" t="n"/>
      <c r="E22" s="571" t="n"/>
      <c r="F22" s="152" t="n">
        <v>25</v>
      </c>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thickBot="1">
      <c r="A23" s="401" t="n"/>
      <c r="B23" s="151" t="inlineStr">
        <is>
          <t>Biological/life sciences</t>
        </is>
      </c>
      <c r="C23" s="148" t="n"/>
      <c r="D23" s="148" t="n"/>
      <c r="E23" s="571" t="n">
        <v>0.05159033774182971</v>
      </c>
      <c r="F23" s="152" t="n">
        <v>26</v>
      </c>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thickBot="1">
      <c r="A24" s="401" t="n"/>
      <c r="B24" s="151" t="inlineStr">
        <is>
          <t>Mathematics and statistics</t>
        </is>
      </c>
      <c r="C24" s="148" t="n"/>
      <c r="D24" s="148" t="n"/>
      <c r="E24" s="571" t="n">
        <v>0.0562903049513608</v>
      </c>
      <c r="F24" s="152" t="n">
        <v>27</v>
      </c>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2.75" customHeight="1" s="348" thickBot="1">
      <c r="A25" s="401" t="n"/>
      <c r="B25" s="151" t="inlineStr">
        <is>
          <t>Military science and military technologies</t>
        </is>
      </c>
      <c r="C25" s="148" t="n"/>
      <c r="D25" s="148" t="n"/>
      <c r="E25" s="571" t="n"/>
      <c r="F25" s="152" t="inlineStr">
        <is>
          <t>28 &amp; 29</t>
        </is>
      </c>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thickBot="1">
      <c r="A26" s="401" t="n"/>
      <c r="B26" s="151" t="inlineStr">
        <is>
          <t>Interdisciplinary studies</t>
        </is>
      </c>
      <c r="C26" s="148" t="n"/>
      <c r="D26" s="148" t="n"/>
      <c r="E26" s="571" t="n">
        <v>0.0256858673079025</v>
      </c>
      <c r="F26" s="152" t="n">
        <v>30</v>
      </c>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thickBot="1">
      <c r="A27" s="401" t="n"/>
      <c r="B27" s="151" t="inlineStr">
        <is>
          <t>Parks and recreation</t>
        </is>
      </c>
      <c r="C27" s="148" t="n"/>
      <c r="D27" s="148" t="n"/>
      <c r="E27" s="571" t="n">
        <v>0.02809050169417423</v>
      </c>
      <c r="F27" s="152" t="n">
        <v>31</v>
      </c>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thickBot="1">
      <c r="A28" s="401" t="n"/>
      <c r="B28" s="151" t="inlineStr">
        <is>
          <t>Philosophy and religious studies</t>
        </is>
      </c>
      <c r="C28" s="148" t="n"/>
      <c r="D28" s="148" t="n"/>
      <c r="E28" s="571" t="n">
        <v>0.003497650016395234</v>
      </c>
      <c r="F28" s="152" t="n">
        <v>38</v>
      </c>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2.75" customHeight="1" s="348" thickBot="1">
      <c r="A29" s="401" t="n"/>
      <c r="B29" s="151" t="inlineStr">
        <is>
          <t>Theology and religious vocations</t>
        </is>
      </c>
      <c r="C29" s="148" t="n"/>
      <c r="D29" s="148" t="n"/>
      <c r="E29" s="571" t="n"/>
      <c r="F29" s="152" t="n">
        <v>39</v>
      </c>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thickBot="1">
      <c r="A30" s="401" t="n"/>
      <c r="B30" s="151" t="inlineStr">
        <is>
          <t>Physical sciences</t>
        </is>
      </c>
      <c r="C30" s="148" t="n"/>
      <c r="D30" s="148" t="n"/>
      <c r="E30" s="571" t="n">
        <v>0.02328123292163078</v>
      </c>
      <c r="F30" s="152" t="n">
        <v>40</v>
      </c>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thickBot="1">
      <c r="A31" s="401" t="n"/>
      <c r="B31" s="151" t="inlineStr">
        <is>
          <t>Science technologies</t>
        </is>
      </c>
      <c r="C31" s="148" t="n"/>
      <c r="D31" s="148" t="n"/>
      <c r="E31" s="571" t="n"/>
      <c r="F31" s="152" t="n">
        <v>41</v>
      </c>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2.75" customHeight="1" s="348" thickBot="1">
      <c r="A32" s="401" t="n"/>
      <c r="B32" s="151" t="inlineStr">
        <is>
          <t>Psychology</t>
        </is>
      </c>
      <c r="C32" s="148" t="n"/>
      <c r="D32" s="148" t="n"/>
      <c r="E32" s="571" t="n">
        <v>0.06088097059787955</v>
      </c>
      <c r="F32" s="152" t="n">
        <v>42</v>
      </c>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12.75" customHeight="1" s="348" thickBot="1">
      <c r="A33" s="401" t="n"/>
      <c r="B33" s="153" t="inlineStr">
        <is>
          <t>Homeland Security, law enforcement, firefighting, and protective services</t>
        </is>
      </c>
      <c r="C33" s="148" t="n"/>
      <c r="D33" s="148" t="n"/>
      <c r="E33" s="571" t="n"/>
      <c r="F33" s="152" t="n">
        <v>43</v>
      </c>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2.75" customHeight="1" s="348" thickBot="1">
      <c r="A34" s="401" t="n"/>
      <c r="B34" s="151" t="inlineStr">
        <is>
          <t>Public administration and social services</t>
        </is>
      </c>
      <c r="C34" s="148" t="n"/>
      <c r="D34" s="148" t="n"/>
      <c r="E34" s="571" t="n">
        <v>0.008306918788938682</v>
      </c>
      <c r="F34" s="152" t="n">
        <v>44</v>
      </c>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thickBot="1">
      <c r="A35" s="401" t="n"/>
      <c r="B35" s="151" t="inlineStr">
        <is>
          <t xml:space="preserve">Social sciences </t>
        </is>
      </c>
      <c r="C35" s="148" t="n"/>
      <c r="D35" s="148" t="n"/>
      <c r="E35" s="571" t="n">
        <v>0.08525521914963384</v>
      </c>
      <c r="F35" s="152" t="n">
        <v>45</v>
      </c>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thickBot="1">
      <c r="A36" s="401" t="n"/>
      <c r="B36" s="151" t="inlineStr">
        <is>
          <t>Construction trades</t>
        </is>
      </c>
      <c r="C36" s="148" t="n"/>
      <c r="D36" s="148" t="n"/>
      <c r="E36" s="571" t="n"/>
      <c r="F36" s="152" t="n">
        <v>46</v>
      </c>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12.75" customHeight="1" s="348" thickBot="1">
      <c r="A37" s="401" t="n"/>
      <c r="B37" s="151" t="inlineStr">
        <is>
          <t>Mechanic and repair technologies</t>
        </is>
      </c>
      <c r="C37" s="148" t="n"/>
      <c r="D37" s="148" t="n"/>
      <c r="E37" s="571" t="n"/>
      <c r="F37" s="152" t="n">
        <v>47</v>
      </c>
      <c r="G37" s="453"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thickBot="1">
      <c r="A38" s="401" t="n"/>
      <c r="B38" s="151" t="inlineStr">
        <is>
          <t>Precision production</t>
        </is>
      </c>
      <c r="C38" s="148" t="n"/>
      <c r="D38" s="148" t="n"/>
      <c r="E38" s="571" t="n"/>
      <c r="F38" s="152" t="n">
        <v>48</v>
      </c>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12.75" customHeight="1" s="348" thickBot="1">
      <c r="A39" s="401" t="n"/>
      <c r="B39" s="151" t="inlineStr">
        <is>
          <t>Transportation and materials moving</t>
        </is>
      </c>
      <c r="C39" s="148" t="n"/>
      <c r="D39" s="148" t="n"/>
      <c r="E39" s="571" t="n"/>
      <c r="F39" s="152" t="n">
        <v>49</v>
      </c>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thickBot="1">
      <c r="A40" s="401" t="n"/>
      <c r="B40" s="151" t="inlineStr">
        <is>
          <t>Visual and performing arts</t>
        </is>
      </c>
      <c r="C40" s="148" t="n"/>
      <c r="D40" s="148" t="n"/>
      <c r="E40" s="571" t="n">
        <v>0.02535796261886545</v>
      </c>
      <c r="F40" s="152" t="n">
        <v>50</v>
      </c>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thickBot="1">
      <c r="A41" s="401" t="n"/>
      <c r="B41" s="151" t="inlineStr">
        <is>
          <t>Health professions and related programs</t>
        </is>
      </c>
      <c r="C41" s="148" t="n"/>
      <c r="D41" s="148" t="n"/>
      <c r="E41" s="571" t="n">
        <v>0.03847415018034758</v>
      </c>
      <c r="F41" s="152" t="n">
        <v>51</v>
      </c>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thickBot="1">
      <c r="A42" s="401" t="n"/>
      <c r="B42" s="151" t="inlineStr">
        <is>
          <t>Business/marketing</t>
        </is>
      </c>
      <c r="C42" s="148" t="n"/>
      <c r="D42" s="148" t="n"/>
      <c r="E42" s="571" t="n">
        <v>0.1396873975297847</v>
      </c>
      <c r="F42" s="152" t="n">
        <v>52</v>
      </c>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thickBot="1">
      <c r="A43" s="401" t="n"/>
      <c r="B43" s="151" t="inlineStr">
        <is>
          <t>History</t>
        </is>
      </c>
      <c r="C43" s="148" t="n"/>
      <c r="D43" s="148" t="n"/>
      <c r="E43" s="571" t="n">
        <v>0.01103945786424746</v>
      </c>
      <c r="F43" s="152" t="n">
        <v>54</v>
      </c>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12.75" customHeight="1" s="348">
      <c r="A44" s="401" t="n"/>
      <c r="B44" s="154" t="inlineStr">
        <is>
          <t>Other</t>
        </is>
      </c>
      <c r="C44" s="63" t="n"/>
      <c r="D44" s="63" t="n"/>
      <c r="E44" s="63" t="n"/>
      <c r="F44" s="155" t="n"/>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01" t="n"/>
      <c r="B45" s="154" t="inlineStr">
        <is>
          <t>TOTAL (should = 100%)</t>
        </is>
      </c>
      <c r="C45" s="156">
        <f>SUM(C6:C44)</f>
        <v/>
      </c>
      <c r="D45" s="156">
        <f>SUM(D6:D44)</f>
        <v/>
      </c>
      <c r="E45" s="157">
        <f>SUM(E6:E44)</f>
        <v/>
      </c>
      <c r="F45" s="158"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15" t="n"/>
      <c r="B46" s="453" t="n"/>
      <c r="C46" s="453" t="n"/>
      <c r="D46" s="453" t="n"/>
      <c r="E46" s="453"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15" t="n"/>
      <c r="B47" s="453" t="n"/>
      <c r="C47" s="453" t="n"/>
      <c r="D47" s="453" t="n"/>
      <c r="E47" s="453" t="n"/>
      <c r="F47" s="453" t="n"/>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15" t="n"/>
      <c r="B48" s="453" t="n"/>
      <c r="C48" s="453" t="n"/>
      <c r="D48" s="453" t="n"/>
      <c r="E48" s="453" t="n"/>
      <c r="F48" s="453" t="n"/>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15" t="n"/>
      <c r="B49" s="453" t="n"/>
      <c r="C49" s="453" t="n"/>
      <c r="D49" s="453" t="n"/>
      <c r="E49" s="453" t="n"/>
      <c r="F49" s="453" t="n"/>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15" t="n"/>
      <c r="B50" s="453" t="n"/>
      <c r="C50" s="453" t="n"/>
      <c r="D50" s="453" t="n"/>
      <c r="E50" s="453" t="n"/>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15" t="n"/>
      <c r="B51" s="453" t="n"/>
      <c r="C51" s="453" t="n"/>
      <c r="D51" s="453" t="n"/>
      <c r="E51" s="453" t="n"/>
      <c r="F51" s="453" t="n"/>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15" t="n"/>
      <c r="B52" s="453" t="n"/>
      <c r="C52" s="453" t="n"/>
      <c r="D52" s="453" t="n"/>
      <c r="E52" s="453" t="n"/>
      <c r="F52" s="453"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15" t="n"/>
      <c r="B53" s="453" t="n"/>
      <c r="C53" s="453" t="n"/>
      <c r="D53" s="453" t="n"/>
      <c r="E53" s="453" t="n"/>
      <c r="F53" s="453"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2.75" customHeight="1" s="348">
      <c r="A54" s="415" t="n"/>
      <c r="B54" s="453" t="n"/>
      <c r="C54" s="453" t="n"/>
      <c r="D54" s="453" t="n"/>
      <c r="E54" s="453" t="n"/>
      <c r="F54" s="453"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15" t="n"/>
      <c r="B56" s="453" t="n"/>
      <c r="C56" s="453" t="n"/>
      <c r="D56" s="453" t="n"/>
      <c r="E56" s="453" t="n"/>
      <c r="F56" s="453" t="n"/>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15" t="n"/>
      <c r="B57" s="453" t="n"/>
      <c r="C57" s="453" t="n"/>
      <c r="D57" s="453" t="n"/>
      <c r="E57" s="453" t="n"/>
      <c r="F57" s="453"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15" t="n"/>
      <c r="B58" s="453" t="n"/>
      <c r="C58" s="453" t="n"/>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15" t="n"/>
      <c r="B59" s="453" t="n"/>
      <c r="C59" s="453" t="n"/>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15" t="n"/>
      <c r="B60" s="453" t="n"/>
      <c r="C60" s="453" t="n"/>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15" t="n"/>
      <c r="B61" s="453" t="n"/>
      <c r="C61" s="453" t="n"/>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15" t="n"/>
      <c r="B62" s="453" t="n"/>
      <c r="C62" s="453" t="n"/>
      <c r="D62" s="453" t="n"/>
      <c r="E62" s="453"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15" t="n"/>
      <c r="B63" s="453" t="n"/>
      <c r="C63" s="453" t="n"/>
      <c r="D63" s="453" t="n"/>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15"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15" t="n"/>
      <c r="B65" s="453" t="n"/>
      <c r="C65" s="453" t="n"/>
      <c r="D65" s="453" t="n"/>
      <c r="E65" s="453" t="n"/>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15" t="n"/>
      <c r="B66" s="453" t="n"/>
      <c r="C66" s="453" t="n"/>
      <c r="D66" s="453" t="n"/>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15"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15" t="n"/>
      <c r="B68" s="453" t="n"/>
      <c r="C68" s="453" t="n"/>
      <c r="D68" s="453" t="n"/>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15" t="n"/>
      <c r="B69" s="453" t="n"/>
      <c r="C69" s="453" t="n"/>
      <c r="D69" s="453" t="n"/>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15" t="n"/>
      <c r="B70" s="453" t="n"/>
      <c r="C70" s="453" t="n"/>
      <c r="D70" s="453"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15" t="n"/>
      <c r="B71" s="453" t="n"/>
      <c r="C71" s="453" t="n"/>
      <c r="D71" s="453" t="n"/>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15" t="n"/>
      <c r="B72" s="453" t="n"/>
      <c r="C72" s="453" t="n"/>
      <c r="D72" s="453"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15" t="n"/>
      <c r="B73" s="453" t="n"/>
      <c r="C73" s="453" t="n"/>
      <c r="D73" s="453"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15" t="n"/>
      <c r="B74" s="453" t="n"/>
      <c r="C74" s="453" t="n"/>
      <c r="D74" s="453"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15"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15" t="n"/>
      <c r="B76" s="453" t="n"/>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15" t="n"/>
      <c r="B77" s="453" t="n"/>
      <c r="C77" s="453" t="n"/>
      <c r="D77" s="453" t="n"/>
      <c r="E77" s="453" t="n"/>
      <c r="F77" s="453" t="n"/>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15" t="n"/>
      <c r="B78" s="453" t="n"/>
      <c r="C78" s="453" t="n"/>
      <c r="D78" s="453" t="n"/>
      <c r="E78" s="453" t="n"/>
      <c r="F78" s="453"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15" t="n"/>
      <c r="B79" s="453" t="n"/>
      <c r="C79" s="453" t="n"/>
      <c r="D79" s="453" t="n"/>
      <c r="E79" s="453" t="n"/>
      <c r="F79" s="453"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15"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15" t="n"/>
      <c r="B81" s="453" t="n"/>
      <c r="C81" s="453" t="n"/>
      <c r="D81" s="453" t="n"/>
      <c r="E81" s="453" t="n"/>
      <c r="F81" s="453"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15" t="n"/>
      <c r="B82" s="453" t="n"/>
      <c r="C82" s="453" t="n"/>
      <c r="D82" s="453" t="n"/>
      <c r="E82" s="453" t="n"/>
      <c r="F82" s="453"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53" t="n"/>
      <c r="C83" s="453" t="n"/>
      <c r="D83" s="453" t="n"/>
      <c r="E83" s="453" t="n"/>
      <c r="F83" s="453"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15"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15" t="n"/>
      <c r="B85" s="453" t="n"/>
      <c r="C85" s="453" t="n"/>
      <c r="D85" s="453" t="n"/>
      <c r="E85" s="453" t="n"/>
      <c r="F85" s="453"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15" t="n"/>
      <c r="B86" s="453" t="n"/>
      <c r="C86" s="453" t="n"/>
      <c r="D86" s="453" t="n"/>
      <c r="E86" s="453" t="n"/>
      <c r="F86" s="453" t="n"/>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15" t="n"/>
      <c r="B87" s="453" t="n"/>
      <c r="C87" s="453" t="n"/>
      <c r="D87" s="453" t="n"/>
      <c r="E87" s="453" t="n"/>
      <c r="F87" s="453"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15" t="n"/>
      <c r="B88" s="453" t="n"/>
      <c r="C88" s="453" t="n"/>
      <c r="D88" s="453" t="n"/>
      <c r="E88" s="453" t="n"/>
      <c r="F88" s="453"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15" t="n"/>
      <c r="B89" s="453" t="n"/>
      <c r="C89" s="453" t="n"/>
      <c r="D89" s="453" t="n"/>
      <c r="E89" s="453" t="n"/>
      <c r="F89" s="453" t="n"/>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15"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15" t="n"/>
      <c r="B91" s="453" t="n"/>
      <c r="C91" s="453" t="n"/>
      <c r="D91" s="453" t="n"/>
      <c r="E91" s="453" t="n"/>
      <c r="F91" s="453"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15" t="n"/>
      <c r="B92" s="453" t="n"/>
      <c r="C92" s="453" t="n"/>
      <c r="D92" s="453" t="n"/>
      <c r="E92" s="453" t="n"/>
      <c r="F92" s="453"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15" t="n"/>
      <c r="B93" s="453" t="n"/>
      <c r="C93" s="453" t="n"/>
      <c r="D93" s="453" t="n"/>
      <c r="E93" s="453" t="n"/>
      <c r="F93" s="453" t="n"/>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15" t="n"/>
      <c r="B94" s="453" t="n"/>
      <c r="C94" s="453" t="n"/>
      <c r="D94" s="453" t="n"/>
      <c r="E94" s="453" t="n"/>
      <c r="F94" s="453"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15" t="n"/>
      <c r="B95" s="453" t="n"/>
      <c r="C95" s="453" t="n"/>
      <c r="D95" s="453" t="n"/>
      <c r="E95" s="453" t="n"/>
      <c r="F95" s="453" t="n"/>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15" t="n"/>
      <c r="B96" s="453" t="n"/>
      <c r="C96" s="453" t="n"/>
      <c r="D96" s="453" t="n"/>
      <c r="E96" s="453" t="n"/>
      <c r="F96" s="453"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15" t="n"/>
      <c r="B97" s="453" t="n"/>
      <c r="C97" s="453" t="n"/>
      <c r="D97" s="453" t="n"/>
      <c r="E97" s="453" t="n"/>
      <c r="F97" s="453"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15" t="n"/>
      <c r="B98" s="453" t="n"/>
      <c r="C98" s="453" t="n"/>
      <c r="D98" s="453" t="n"/>
      <c r="E98" s="453" t="n"/>
      <c r="F98" s="453"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15" t="n"/>
      <c r="B99" s="453" t="n"/>
      <c r="C99" s="453" t="n"/>
      <c r="D99" s="453" t="n"/>
      <c r="E99" s="453" t="n"/>
      <c r="F99" s="453"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15" t="n"/>
      <c r="B100" s="453" t="n"/>
      <c r="C100" s="453" t="n"/>
      <c r="D100" s="453" t="n"/>
      <c r="E100" s="453" t="n"/>
      <c r="F100" s="453" t="n"/>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15" t="n"/>
      <c r="B101" s="453" t="n"/>
      <c r="C101" s="453" t="n"/>
      <c r="D101" s="453" t="n"/>
      <c r="E101" s="453" t="n"/>
      <c r="F101" s="453"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15"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15"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15"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15"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15"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15"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15"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15"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15"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15"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15"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15"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15"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15"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15"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15"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15"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15"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15"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15"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15"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15"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15"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15"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15"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15"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15"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15"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15"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15"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15"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15"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15"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15"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15"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15"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15"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15"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15"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15"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15"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15"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15"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15"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15"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15"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15"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15"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15"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15"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15"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15"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15"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15"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15"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15"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15"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15"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15"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15"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15"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15"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15"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15"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15"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15"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15"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15"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15"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15"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15"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15"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15"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15"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15"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15"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15"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15"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15"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15"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2">
    <mergeCell ref="B4:F4"/>
    <mergeCell ref="A1:F1"/>
  </mergeCells>
  <pageMargins left="0.75" right="0.75" top="1" bottom="1" header="0" footer="0"/>
  <pageSetup orientation="portrait" scale="75"/>
  <headerFooter>
    <oddHeader>&amp;LCommon Data Set 2021-2022</oddHeader>
    <oddFooter>&amp;C&amp;A&amp;RPage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4"/>
  <sheetViews>
    <sheetView showGridLines="0" workbookViewId="0">
      <selection activeCell="A1" sqref="A1"/>
    </sheetView>
  </sheetViews>
  <sheetFormatPr baseColWidth="8" defaultColWidth="12.7109375" defaultRowHeight="15" customHeight="1"/>
  <cols>
    <col width="88.7109375" customWidth="1" style="348" min="1" max="1"/>
    <col width="0.7109375" customWidth="1" style="348" min="2" max="2"/>
    <col hidden="1" width="8.7109375" customWidth="1" style="348" min="3" max="6"/>
    <col width="8.7109375" customWidth="1" style="348" min="7" max="26"/>
  </cols>
  <sheetData>
    <row r="1" ht="12.75" customHeight="1" s="348">
      <c r="A1" s="46" t="inlineStr">
        <is>
          <t>Common Data Set Definitions</t>
        </is>
      </c>
      <c r="B1" s="15" t="n"/>
      <c r="C1" s="15" t="n"/>
      <c r="D1" s="1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row>
    <row r="2" ht="12.75" customHeight="1" s="348">
      <c r="A2" s="47" t="inlineStr">
        <is>
          <t>¨        All definitions related to the financial aid section appear at the end of the Definitions document.</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row>
    <row r="3" ht="12.75" customHeight="1" s="348">
      <c r="A3" s="48"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row>
    <row r="4" ht="12.75" customHeight="1" s="348">
      <c r="A4" s="47" t="inlineStr">
        <is>
          <t xml:space="preserve">¨        Items preceded by an asterisk (*) represent definitions agreed to among publishers which do not appear on the CDS document but may be present on individual publishers’ surveys. </t>
        </is>
      </c>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row>
    <row r="5" ht="12.75" customHeight="1" s="348">
      <c r="A5" s="47"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row>
    <row r="6" ht="12.75" customHeight="1" s="348">
      <c r="A6" s="49" t="inlineStr">
        <is>
          <t>¨        Additional guidance for some terms, particularly those common with the IPEDS survey, may be found here:  https://surveys.nces.ed.gov/ipeds/public/glossary</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row>
    <row r="7" ht="12.75" customHeight="1" s="348">
      <c r="A7" s="47"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row>
    <row r="8" ht="12.75" customHeight="1" s="348">
      <c r="A8" s="50" t="inlineStr">
        <is>
          <t>*Academic advisement: Plan under which each student is assigned to a faculty member or a trained adviser, who, through regular meetings, helps the student plan and implement immediate and long-term academic and vocational goals.</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row>
    <row r="9" ht="12.75" customHeight="1" s="348">
      <c r="A9" s="50" t="inlineStr">
        <is>
          <t>Accelerated program: Completion of a college program of study in fewer than the usual number of years, most often by attending summer sessions and carrying extra courses during the regular academic term.</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row>
    <row r="10" ht="12.75" customHeight="1" s="348">
      <c r="A10" s="50" t="inlineStr">
        <is>
          <t>Admitted student: Applicant who is offered admission to a degree-granting program at your institution.</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ht="12.75" customHeight="1" s="348">
      <c r="A11" s="50"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ht="12.75" customHeight="1" s="348">
      <c r="A12" s="50" t="inlineStr">
        <is>
          <t>*Adult student services: Admission assistance, support, orientation, and other services expressly for adults who have started college for the first time, or who are re-entering after a lapse of a few years.</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ht="12.75" customHeight="1" s="348">
      <c r="A13" s="50" t="inlineStr">
        <is>
          <t>American Indian or Alaska Native: A person having origins in any of the original peoples of North and South America (including Central America) and maintaining tribal affiliation or community attachment.</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ht="12.75" customHeight="1" s="348">
      <c r="A14" s="50" t="inlineStr">
        <is>
          <t>Applicant (first-time, first year):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ht="12.75" customHeight="1" s="348">
      <c r="A15" s="50" t="inlineStr">
        <is>
          <t>Application fee: That amount of money that an institution charges for processing a student’s application for acceptance. This amount is not creditable toward tuition and required fees, nor is it refundable if the student is not admitted to the institution.</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ht="12.75" customHeight="1" s="348">
      <c r="A16" s="50" t="inlineStr">
        <is>
          <t>Asian: A person having origins in any of the original peoples of the Far East, Southeast Asia, or the Indian subcontinent, including, for example, Cambodia, China, India, Japan, Korea, Malaysia, Pakistan, the Philippine Islands, Thailand, and Vietnam.</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ht="12.75" customHeight="1" s="348">
      <c r="A17" s="50" t="inlineStr">
        <is>
          <t>Associate degree: An award that normally requires at least two but less than four years of full-time equivalent college work.</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ht="12.75" customHeight="1" s="348">
      <c r="A18" s="50" t="inlineStr">
        <is>
          <t>Bachelor’s degree: An award (baccalaureate or equivalent degree, as determined by the Secretary of the U.S. Department of Education) that normally requires at least four years but not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ht="12.75" customHeight="1" s="348">
      <c r="A19" s="50" t="inlineStr">
        <is>
          <t>Black or African American: A person having origins in any of the black racial groups of Africa.</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ht="12.75" customHeight="1" s="348">
      <c r="A20" s="50" t="inlineStr">
        <is>
          <t>Board (charges): Assume average cost for 19 meals per week or the maximum meal plan.</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ht="12.75" customHeight="1" s="348">
      <c r="A21" s="50" t="inlineStr">
        <is>
          <t>Books and supplies (costs): Average cost of books and supplies. Do not include unusual costs for special groups of students (e.g., engineering or art majors), unless they constitute the majority of students at your institution.</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ht="12.75" customHeight="1" s="348">
      <c r="A22" s="50" t="inlineStr">
        <is>
          <t>Calendar system: The method by which an institution structures most of its courses for the academic year.</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ht="12.75" customHeight="1" s="348">
      <c r="A23" s="51" t="inlineStr">
        <is>
          <t>Campus Ministry: Religious student organizations (denominational or nondenominational) devoted to fostering religious life on college campuses. May also refer to Campus Crusade for Christ, an interdenominational Christian organization.</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ht="12.75" customHeight="1" s="348">
      <c r="A24" s="52"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ht="12.75" customHeight="1" s="348">
      <c r="A25" s="50" t="inlineStr">
        <is>
          <t>*Career and placement services: 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ht="12.75" customHeight="1" s="348">
      <c r="A26" s="50" t="inlineStr">
        <is>
          <t>Carnegie units: One year of study or the equivalent in a secondary school subject.</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ht="12.75" customHeight="1" s="348">
      <c r="A27" s="50" t="inlineStr">
        <is>
          <t>Certificate: See Postsecondary award, certificate, or diploma.</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ht="12.75" customHeight="1" s="348">
      <c r="A28" s="50" t="inlineStr">
        <is>
          <t>Class rank: The relative numerical position of a student in his or her graduating class, calculated by the high school on the basis of grade-point average, whether weighted or unweighted.</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ht="12.75" customHeight="1" s="348">
      <c r="A29" s="50" t="inlineStr">
        <is>
          <t xml:space="preserve">College-preparatory program: Courses in academic subjects (English, history and social studies, foreign languages, mathematics, science, and the arts) that stress preparation for college or university study. </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ht="12.75" customHeight="1" s="348">
      <c r="A30" s="50" t="inlineStr">
        <is>
          <t xml:space="preserve">Common Application: The standard application form distributed by the National Association of Secondary School Principals for a large number of private colleges who are members of the Common Application Group. </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ht="12.75" customHeight="1" s="348">
      <c r="A31" s="50" t="inlineStr">
        <is>
          <t>*Community service program: Referral center for students wishing to perform volunteer work in the community or participate in volunteer activities coordinated by academic departments.</t>
        </is>
      </c>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ht="12.75" customHeight="1" s="348">
      <c r="A32" s="50" t="inlineStr">
        <is>
          <t xml:space="preserve">Commuter: A student who lives off campus in housing that is not owned by, operated by, or affiliated with the college. This category includes students who commute from home and students who have moved to the area to attend college. </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ht="12.75" customHeight="1" s="348">
      <c r="A33" s="50" t="inlineStr">
        <is>
          <t>Comprehensive transition and postsecondary program for students with intellectual disabilities: Programs designed to support postsecondary students with intellectual disabilities obtain instruction in academic, career and technical, and independent living  subjects in preparation for employment.</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ht="12.75" customHeight="1" s="348">
      <c r="A34" s="50" t="inlineStr">
        <is>
          <t>Clock hour: A unit of measure that represents an hour of scheduled instruction given to students. Also referred to as contact hour.</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ht="12.75" customHeight="1" s="348">
      <c r="A35" s="50" t="inlineStr">
        <is>
          <t>Continuous basis (for program enrollment):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ht="12.75" customHeight="1" s="348">
      <c r="A36" s="50" t="inlineStr">
        <is>
          <t>Cooperative education program: A program that provides for alternate class attendance and employment in business, industry, or government.</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ht="12.75" customHeight="1" s="348">
      <c r="A37" s="50" t="inlineStr">
        <is>
          <t>Cooperative housing: College-owned, -operated, or -affiliated housing in which students share room and board expenses and participate in household chores to reduce living expenses.</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ht="12.75" customHeight="1" s="348">
      <c r="A38" s="50" t="inlineStr">
        <is>
          <t>*Counseling service: Activities designed to assist students in making plans and decisions related to their education, career, or personal development.</t>
        </is>
      </c>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ht="12.75" customHeight="1" s="348">
      <c r="A39" s="50" t="inlineStr">
        <is>
          <t>Credit: Recognition of attendance or performance in an instructional activity (course or program) that can be applied by a recipient toward the requirements for a degree, diploma, certificate, or recognized postsecondary credential.</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ht="12.75" customHeight="1" s="348">
      <c r="A40" s="50" t="inlineStr">
        <is>
          <t>Credit course: A course that, if successfully completed, can be applied toward the number of courses required for achieving a degree, diploma, certificate, or other recognized postsecondary credential.</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ht="12.75" customHeight="1" s="348">
      <c r="A41" s="50" t="inlineStr">
        <is>
          <t>Credit hour: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ht="12.75" customHeight="1" s="348">
      <c r="A42" s="50" t="inlineStr">
        <is>
          <t>Cross-registration: A system whereby students enrolled at one institution may take courses at another institution without having to apply to the second institution.</t>
        </is>
      </c>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ht="12.75" customHeight="1" s="348">
      <c r="A43" s="50" t="inlineStr">
        <is>
          <t>Deferred admission: The practice of permitting admitted students to postpone enrollment, usually for a period of one academic term or one year.</t>
        </is>
      </c>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ht="12.75" customHeight="1" s="348">
      <c r="A44" s="50" t="inlineStr">
        <is>
          <t>Degree: An award conferred by a college, university, or other postsecondary education institution as official recognition for the successful completion of a program of studies.</t>
        </is>
      </c>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ht="12.75" customHeight="1" s="348">
      <c r="A45" s="50" t="inlineStr">
        <is>
          <t>Degree-seeking students: Students enrolled in courses for credit who are recognized by the institution as seeking a degree or recognized postsecondary credential. At the undergraduate level, this is intended to include students enrolled in vocational or occupational programs.</t>
        </is>
      </c>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ht="12.75" customHeight="1" s="348">
      <c r="A46" s="50" t="inlineStr">
        <is>
          <t>Differs by program (calendar system): 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is>
      </c>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ht="12.75" customHeight="1" s="348">
      <c r="A47" s="50" t="inlineStr">
        <is>
          <t>Diploma: See Postsecondary award, certificate, or diploma.</t>
        </is>
      </c>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ht="12.75" customHeight="1" s="348">
      <c r="A48" s="50" t="inlineStr">
        <is>
          <t>Distance learning: An option for earning course credit at off-campus locations via cable television, internet, satellite classes, videotapes, correspondence courses, or other means.</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ht="12.75" customHeight="1" s="348">
      <c r="A49" s="51" t="inlineStr">
        <is>
          <t>Doctor’s degree-research/scholarship: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is>
      </c>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ht="12.75" customHeight="1" s="348">
      <c r="A50" s="51" t="inlineStr">
        <is>
          <t>Doctor’s degree-professional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is>
      </c>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ht="12.75" customHeight="1" s="348">
      <c r="A51" s="51" t="inlineStr">
        <is>
          <t>Doctor’s degree-other: A doctor’s degree that does not meet the definition of a doctor’s degree - research/scholarship or a doctor’s degree - professional practice.</t>
        </is>
      </c>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ht="12.75" customHeight="1" s="348">
      <c r="A52" s="50" t="inlineStr">
        <is>
          <t>Double major: Program in which students may complete two undergraduate programs of study simultaneously.</t>
        </is>
      </c>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ht="12.75" customHeight="1" s="348">
      <c r="A53" s="50" t="inlineStr">
        <is>
          <t>Dual enrollment: A program through which high school students may enroll in college courses while still enrolled in high school. Students are not required to apply for admission to the college in order to participate.</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ht="12.75" customHeight="1" s="348">
      <c r="A54" s="50" t="inlineStr">
        <is>
          <t>Early action plan: An admission plan that allows students to apply and be notified of an admission decision well in advance of the regular notification dates. If admitted, the candidate is not committed to enroll; the student may reply to the offer under the college’s regular reply policy.</t>
        </is>
      </c>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ht="12.75" customHeight="1" s="348">
      <c r="A55" s="50" t="inlineStr">
        <is>
          <t>Early admission: A policy under which students who have not completed high school are admitted and enroll full time in college, usually after completion of their junior year.</t>
        </is>
      </c>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row r="56" ht="12.75" customHeight="1" s="348">
      <c r="A56" s="50" t="inlineStr">
        <is>
          <t>Early decision plan: 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is>
      </c>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row>
    <row r="57" ht="12.75" customHeight="1" s="348">
      <c r="A57" s="50" t="inlineStr">
        <is>
          <t>English as a Second Language (ESL): A course of study designed specifically for students whose native language is not English.</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row>
    <row r="58" ht="12.75" customHeight="1" s="348">
      <c r="A58" s="50" t="inlineStr">
        <is>
          <t>Exchange student program-domestic: Any arrangement between a student and a college that permits study for a semester or more at another college in the United States without extending the amount of time required for a degree. See also Study abroad.</t>
        </is>
      </c>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row>
    <row r="59" ht="12.75" customHeight="1" s="348">
      <c r="A59" s="50" t="inlineStr">
        <is>
          <t>External degree program: A program of study in which students earn credits toward a degree through independent study, college courses, proficiency examinations, and personal experience. External degree programs require minimal or no classroom attendance.</t>
        </is>
      </c>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row>
    <row r="60" ht="12.75" customHeight="1" s="348">
      <c r="A60" s="50" t="inlineStr">
        <is>
          <t>Extracurricular activities (as admission factor): Special consideration in the admissions process given for participation in both school and nonschool-related activities of interest to the college, such as clubs, hobbies, student government, athletics, performing arts, etc.</t>
        </is>
      </c>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row>
    <row r="61" ht="12.75" customHeight="1" s="348">
      <c r="A61" s="50" t="inlineStr">
        <is>
          <t>First-time student: 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is>
      </c>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row>
    <row r="62" ht="12.75" customHeight="1" s="348">
      <c r="A62" s="50" t="inlineStr">
        <is>
          <t>First-time, first-year student: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is>
      </c>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row>
    <row r="63" ht="12.75" customHeight="1" s="348">
      <c r="A63" s="50" t="inlineStr">
        <is>
          <t>First-year student: A student who has completed less than the equivalent of 1 full year of undergraduate work; that is, less than 30 semester hours (in a 120-hour degree program) or less than 900 clock hours.</t>
        </is>
      </c>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row>
    <row r="64" ht="12.75" customHeight="1" s="348">
      <c r="A64" s="50" t="inlineStr">
        <is>
          <t>*New student orientation: Orientation addressing the academic, social, emotional, and intellectual issues involved in beginning college. May be a few hours or a few days in length; at some colleges, there is a fee.</t>
        </is>
      </c>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row>
    <row r="65" ht="12.75" customHeight="1" s="348">
      <c r="A65" s="50" t="inlineStr">
        <is>
          <t>Full-time student (undergraduate): A student enrolled for 12 or more semester credits, 12 or more quarter credits, or 24 or more clock hours a week each term.</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row>
    <row r="66" ht="12.75" customHeight="1" s="348">
      <c r="A66" s="50" t="inlineStr">
        <is>
          <t>Geographical residence (as admission factor): Special consideration in the admission process given to students from a particular region, state, or country of residence.</t>
        </is>
      </c>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row>
    <row r="67" ht="12.75" customHeight="1" s="348">
      <c r="A67" s="50" t="inlineStr">
        <is>
          <t>Grade-point average (academic high school GPA): 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is>
      </c>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row>
    <row r="68" ht="12.75" customHeight="1" s="348">
      <c r="A68" s="50" t="inlineStr">
        <is>
          <t>Graduate student: A student who holds a bachelor’s or equivalent, and is taking courses at the post-baccalaureate level.</t>
        </is>
      </c>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row>
    <row r="69" ht="12.75" customHeight="1" s="348">
      <c r="A69" s="50" t="inlineStr">
        <is>
          <t>*Health services: Free or low cost on-campus primary and preventive health care available to students.</t>
        </is>
      </c>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row>
    <row r="70" ht="12.75" customHeight="1" s="348">
      <c r="A70" s="50" t="inlineStr">
        <is>
          <t>High school diploma or recognized equivalent: A document certifying the successful completion of a prescribed secondary school program of studies, or the attainment of satisfactory scores on the Tests of General Educational Development (GED), or another state-specified examination.</t>
        </is>
      </c>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row>
    <row r="71" ht="12.75" customHeight="1" s="348">
      <c r="A71" s="50" t="inlineStr">
        <is>
          <t>Hispanic or Latino: A person of Mexican, Puerto Rican, Cuban, South or Central American, or other Spanish culture or origin, regardless of race.</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row>
    <row r="72" ht="12.75" customHeight="1" s="348">
      <c r="A72" s="50" t="inlineStr">
        <is>
          <t xml:space="preserve">Honors program: Any special program for very able students offering the opportunity for educational enrichment, independent study, acceleration, or some combination of these. </t>
        </is>
      </c>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row>
    <row r="73" ht="12.75" customHeight="1" s="348">
      <c r="A73" s="50" t="inlineStr">
        <is>
          <t>Independent study: Academic work chosen or designed by the student with the approval of the department concerned, under an instructor’s supervision, and usually undertaken outside of the regular classroom structure.</t>
        </is>
      </c>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row>
    <row r="74" ht="12.75" customHeight="1" s="348">
      <c r="A74" s="50" t="inlineStr">
        <is>
          <t>In-state tuition: The tuition charged by institutions to those students who meet the state’s or institution’s residency requirements.</t>
        </is>
      </c>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row>
    <row r="75" ht="12.75" customHeight="1" s="348">
      <c r="A75" s="50" t="inlineStr">
        <is>
          <t>International student: See Nonresident.</t>
        </is>
      </c>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row>
    <row r="76" ht="12.75" customHeight="1" s="348">
      <c r="A76" s="50" t="inlineStr">
        <is>
          <t xml:space="preserve">International student group: Student groups that facilitate cultural dialogue, support a diverse campus, assist international students in acclimation and creating a social network. </t>
        </is>
      </c>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row>
    <row r="77" ht="12.75" customHeight="1" s="348">
      <c r="A77" s="50" t="inlineStr">
        <is>
          <t>Internship: Any short-term, supervised work experience usually related to a student’s major field, for which the student earns academic credit. The work can be full- or part-time, on- or off-campus, paid or unpaid.</t>
        </is>
      </c>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row>
    <row r="78" ht="12.75" customHeight="1" s="348">
      <c r="A78" s="50" t="inlineStr">
        <is>
          <t>*Learning center: Center offering assistance through tutors, workshops, computer programs, or audiovisual equipment in reading, writing, math, and skills such as taking notes, managing time, taking tests.</t>
        </is>
      </c>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row>
    <row r="79" ht="12.75" customHeight="1" s="348">
      <c r="A79" s="50"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row>
    <row r="80" ht="12.75" customHeight="1" s="348">
      <c r="A80" s="50" t="inlineStr">
        <is>
          <t>*Legal services: Free or low cost legal advice for a range of issues (personal and other).</t>
        </is>
      </c>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row>
    <row r="81" ht="12.75" customHeight="1" s="348">
      <c r="A81" s="50" t="inlineStr">
        <is>
          <t>Liberal arts/career combination: Program in which a student earns undergraduate degrees in two separate fields, one in a liberal arts major and the other in a professional or specialized major, whether on campus or through cross‑registration.</t>
        </is>
      </c>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row>
    <row r="82" ht="12.75" customHeight="1" s="348">
      <c r="A82" s="50" t="inlineStr">
        <is>
          <t>Living learning community: Residential programs that allow students to interact with students who share common interests. In addition to living together, students may also participate in shared courses, special events, and group service projects.</t>
        </is>
      </c>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row>
    <row r="83" ht="12.75" customHeight="1" s="348">
      <c r="A83" s="51" t="inlineStr">
        <is>
          <t xml:space="preserve">Master's degree: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is>
      </c>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row>
    <row r="84" ht="12.75" customHeight="1" s="348">
      <c r="A84" s="50" t="inlineStr">
        <is>
          <t>Minority affiliation (as admission factor): Special consideration in the admission process for members of designated racial/ethnic minority groups.</t>
        </is>
      </c>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row>
    <row r="85" ht="12.75" customHeight="1" s="348">
      <c r="A85" s="50" t="inlineStr">
        <is>
          <t>*Minority student center: Center with programs, activities, and/or services intended to enhance the college experience of students of color.</t>
        </is>
      </c>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row>
    <row r="86" ht="12.75" customHeight="1" s="348">
      <c r="A86" s="48"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row>
    <row r="87" ht="12.75" customHeight="1" s="348">
      <c r="A87" s="51" t="inlineStr">
        <is>
          <t xml:space="preserve">Model United Nations: A simulation activity focusing on conflict resolution, globalization, and diplomacy. Assuming roles as foreign ambassadors and “delegates,” students conduct research, engage in debate, draft resolutions, and may participate in a national Model UN conference.  </t>
        </is>
      </c>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row>
    <row r="88" ht="12.75" customHeight="1" s="348">
      <c r="A88" s="52"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row>
    <row r="89" ht="12.75" customHeight="1" s="348">
      <c r="A89" s="53" t="inlineStr">
        <is>
          <t>Native Hawaiian or Other Pacific Islander: A person having origins in any of the original peoples of Hawaii, Guam, Samoa, or other Pacific Islands.</t>
        </is>
      </c>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row>
    <row r="90" ht="12.75" customHeight="1" s="348">
      <c r="A90" s="50" t="inlineStr">
        <is>
          <t>Nonresident: A person who is not a citizen or national of the United States and who is in this country on a visa or temporary basis and does not have the right to remain indefinitely.</t>
        </is>
      </c>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row>
    <row r="91" ht="12.75" customHeight="1" s="348">
      <c r="A91" s="50" t="inlineStr">
        <is>
          <t>*On-campus day care: Licensed day care for students’ children (usually age 3 and up); usually for a fee.</t>
        </is>
      </c>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row>
    <row r="92" ht="12.75" customHeight="1" s="348">
      <c r="A92" s="50" t="inlineStr">
        <is>
          <t>Open admission: Admission policy under which virtually all secondary school graduates or students with GED equivalency diplomas are admitted without regard to academic record, test scores, or other qualifications.</t>
        </is>
      </c>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row>
    <row r="93" ht="12.75" customHeight="1" s="348">
      <c r="A93" s="50" t="inlineStr">
        <is>
          <t>Other expenses (costs): Include average costs for clothing, laundry, entertainment, medical (if not a required fee), and furnishings.</t>
        </is>
      </c>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row>
    <row r="94" ht="12.75" customHeight="1" s="348">
      <c r="A94" s="50" t="inlineStr">
        <is>
          <t>Out-of-state tuition: The tuition charged by institutions to those students who do not meet the institution’s or state’s residency requirements.</t>
        </is>
      </c>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row>
    <row r="95" ht="12.75" customHeight="1" s="348">
      <c r="A95" s="50" t="inlineStr">
        <is>
          <t>Part-time student (undergraduate): A student enrolled for fewer than 12 credits per semester or quarter, or fewer than 24 clock hours a week each term.</t>
        </is>
      </c>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row>
    <row r="96" ht="12.75" customHeight="1" s="348">
      <c r="A96" s="50" t="inlineStr">
        <is>
          <t>Permanent Resident or other eligible non-citizen: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is>
      </c>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row>
    <row r="97" ht="12.75" customHeight="1" s="348">
      <c r="A97" s="50" t="inlineStr">
        <is>
          <t>*Personal counseling: One-on-one or group counseling with trained professionals for students who want to explore personal, educational, or vocational issues.</t>
        </is>
      </c>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row>
    <row r="98" ht="12.75" customHeight="1" s="348">
      <c r="A98" s="50" t="inlineStr">
        <is>
          <t>Post-baccalaureate certificate: An award that requires completion of an organized program of study requiring 18 credit hours beyond the bachelor’s; designed for persons who have completed a baccalaureate degree but do not meet the requirements of academic degrees carrying the title of master.</t>
        </is>
      </c>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row>
    <row r="99" ht="12.75" customHeight="1" s="348">
      <c r="A99" s="50" t="inlineStr">
        <is>
          <t>Post-master’s certificate: An award that requires completion of an organized program of study of 24 credit hours beyond the master’s degree but does not meet the requirements of academic degrees at the doctoral level.</t>
        </is>
      </c>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row>
    <row r="100" ht="12.75" customHeight="1" s="348">
      <c r="A100" s="50" t="inlineStr">
        <is>
          <t>Postsecondary award, certificate, or diploma: Includes the following three IPEDS definitions for postsecondary awards, certificates, and diplomas of varying durations and credit/contact/clock hour requirements:</t>
        </is>
      </c>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ht="12.75" customHeight="1" s="348">
      <c r="A101" s="48"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row>
    <row r="102" ht="12.75" customHeight="1" s="348">
      <c r="A102" s="54" t="inlineStr">
        <is>
          <t>Less Than 1 Academic Year: Requires completion of an organized program of study at the postsecondary level (below the baccalaureate degree) in less than 1 academic year (2 semesters or 3 quarters) or in less than 900 clock hours by a student enrolled full-time.</t>
        </is>
      </c>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row>
    <row r="103" ht="12.75" customHeight="1" s="348">
      <c r="A103" s="48"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row>
    <row r="104" ht="12.75" customHeight="1" s="348">
      <c r="A104" s="54" t="inlineStr">
        <is>
          <t>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is>
      </c>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row>
    <row r="105" ht="12.75" customHeight="1" s="348">
      <c r="A105" s="5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row>
    <row r="106" ht="12.75" customHeight="1" s="348">
      <c r="A106" s="54" t="inlineStr">
        <is>
          <t>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is>
      </c>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row>
    <row r="107" ht="12.75" customHeight="1" s="348">
      <c r="A107" s="50"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row>
    <row r="108" ht="12.75" customHeight="1" s="348">
      <c r="A108" s="50" t="inlineStr">
        <is>
          <t>Private institution: An educational institution controlled by a private individual(s) or by a nongovernmental agency, usually supported primarily by other than public funds, and operated by other than publicly elected or appointed officials.</t>
        </is>
      </c>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row>
    <row r="109" ht="12.75" customHeight="1" s="348">
      <c r="A109" s="50" t="inlineStr">
        <is>
          <t>Private for-profit institution: A private institution in which the individual(s) or agency in control receives compensation, other than wages, rent, or other expenses for the assumption of risk.</t>
        </is>
      </c>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row>
    <row r="110" ht="12.75" customHeight="1" s="348">
      <c r="A110" s="50" t="inlineStr">
        <is>
          <t>Private nonprofit institution: A private institution in which the individual(s) or agency in control receives no compensation, other than wages, rent, or other expenses for the assumption of risk. These include both independent nonprofit schools and those affiliated with a religious organization.</t>
        </is>
      </c>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row>
    <row r="111" ht="12.75" customHeight="1" s="348">
      <c r="A111" s="50" t="inlineStr">
        <is>
          <t>Proprietary institution: See Private for-profit institution.</t>
        </is>
      </c>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row>
    <row r="112" ht="12.75" customHeight="1" s="348">
      <c r="A112" s="50" t="inlineStr">
        <is>
          <t>Public institution: An educational institution whose programs and activities are operated by publicly elected or appointed school officials, and which is supported primarily by public funds.</t>
        </is>
      </c>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row>
    <row r="113" ht="12.75" customHeight="1" s="348">
      <c r="A113" s="50" t="inlineStr">
        <is>
          <t>Quarter calendar system: A calendar system in which the academic year consists of three sessions called quarters of about 12 weeks each. The range may be from 10 to 15 weeks. There may be an additional quarter in the summer.</t>
        </is>
      </c>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row>
    <row r="114" ht="12.75" customHeight="1" s="348">
      <c r="A114" s="50" t="inlineStr">
        <is>
          <t>Race/ethnicity: Category used to describe groups to which individuals belong, identify with, or belong in the eyes of the community. The categories do not denote scientific definitions of anthropological origins. A person may be counted in only one group.</t>
        </is>
      </c>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ht="12.75" customHeight="1" s="348">
      <c r="A115" s="50" t="inlineStr">
        <is>
          <t>Race/ethnicity unknown: Category used to classify students or employees whose race/ethnicity is not known and whom institutions are unable to place in one of the specified racial/ethnic categories.</t>
        </is>
      </c>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row>
    <row r="116" ht="12.75" customHeight="1" s="348">
      <c r="A116" s="50" t="inlineStr">
        <is>
          <t>Recognized Postsecondary Credential: 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is>
      </c>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row>
    <row r="117" ht="12.75" customHeight="1" s="348">
      <c r="A117" s="50" t="inlineStr">
        <is>
          <t xml:space="preserve">Religious affiliation/commitment (as admission factor): Special consideration given in the admission process for affiliation with a certain church or faith/religion, commitment to a religious vocation, or observance of certain religious tenets/lifestyle. </t>
        </is>
      </c>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row>
    <row r="118" ht="12.75" customHeight="1" s="348">
      <c r="A118" s="50" t="inlineStr">
        <is>
          <t>*Religious counseling: One-on-one or group counseling with trained professionals for students who want to explore religious problems or issues.</t>
        </is>
      </c>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row>
    <row r="119" ht="12.75" customHeight="1" s="348">
      <c r="A119" s="50" t="inlineStr">
        <is>
          <t>*Remedial services: Instructional courses designed for students deficient in the general competencies necessary for a regular postsecondary curriculum and educational setting.</t>
        </is>
      </c>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ht="12.75" customHeight="1" s="348">
      <c r="A120" s="50" t="inlineStr">
        <is>
          <t xml:space="preserve">Required fees: Fixed sum charged to students for items not covered by tuition and required of such a large proportion of all students that the student who does NOT pay is the exception. Do not include application fees or optional fees such as lab fees or parking fees. </t>
        </is>
      </c>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row>
    <row r="121" ht="12.75" customHeight="1" s="348">
      <c r="A121" s="50" t="inlineStr">
        <is>
          <t>Room and board (charges)—on campus: Assume double occupancy in institutional housing and 19 meals per week (or maximum meal plan).</t>
        </is>
      </c>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row>
    <row r="122" ht="12.75" customHeight="1" s="348">
      <c r="A122" s="50" t="inlineStr">
        <is>
          <t>Secondary school record (as admission factor): Information maintained by the secondary school that may include such things as the student’s high school transcript, class rank, GPA, and teacher and counselor recommendations.</t>
        </is>
      </c>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row>
    <row r="123" ht="12.75" customHeight="1" s="348">
      <c r="A123" s="50" t="inlineStr">
        <is>
          <t>Semester calendar system: A calendar system that consists of two semesters during the academic year with about 16 weeks for each semester of instruction. There may be an additional summer session.</t>
        </is>
      </c>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row>
    <row r="124" ht="12.75" customHeight="1" s="348">
      <c r="A124" s="50" t="inlineStr">
        <is>
          <t>Student-designed major: A program of study based on individual interests, designed with the assistance of an adviser.</t>
        </is>
      </c>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ht="12.75" customHeight="1" s="348">
      <c r="A125" s="50" t="inlineStr">
        <is>
          <t xml:space="preserve">Study abroad: Any arrangement by which a student completes part of the college program studying in another country. Can be at a campus abroad or through a cooperative agreement with some other U.S. college or an institution of another country. </t>
        </is>
      </c>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row>
    <row r="126" ht="12.75" customHeight="1" s="348">
      <c r="A126" s="50" t="inlineStr">
        <is>
          <t>*Summer session: 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is>
      </c>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row>
    <row r="127" ht="12.75" customHeight="1" s="348">
      <c r="A127" s="50" t="inlineStr">
        <is>
          <t>Talent/ability (as admission factor): Special consideration given to students with demonstrated talent/abilities in areas of interest to the institution (e.g., sports, the arts, languages, etc.).</t>
        </is>
      </c>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row>
    <row r="128" ht="12.75" customHeight="1" s="348">
      <c r="A128" s="50" t="inlineStr">
        <is>
          <t>Teacher certification program: Program designed to prepare students to meet the requirements for certification as teachers in elementary, middle/junior high, and secondary schools.</t>
        </is>
      </c>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row>
    <row r="129" ht="12.75" customHeight="1" s="348">
      <c r="A129" s="50" t="inlineStr">
        <is>
          <t xml:space="preserve">Transfer applicant: An individual who has fulfilled the institution’s requirements to be considered for admission (including payment or waiving of the application fee, if any) and who has previously attended another college or university and earned college-level credit. </t>
        </is>
      </c>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row>
    <row r="130" ht="12.75" customHeight="1" s="348">
      <c r="A130" s="50"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row>
    <row r="131" ht="12.75" customHeight="1" s="348">
      <c r="A131" s="50" t="inlineStr">
        <is>
          <t>Transfer student: A student entering the institution for the first time but known to have previously attended a postsecondary institution at the same level (e.g., undergraduate). The student may transfer with or without credit.</t>
        </is>
      </c>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row>
    <row r="132" ht="12.75" customHeight="1" s="348">
      <c r="A132" s="50" t="inlineStr">
        <is>
          <t>Transportation (costs): Assume two round trips to student’s hometown per year for students in institutional housing or daily travel to and from your institution for commuter students.</t>
        </is>
      </c>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row>
    <row r="133" ht="12.75" customHeight="1" s="348">
      <c r="A133" s="50" t="inlineStr">
        <is>
          <t>Trimester calendar system: An academic year consisting of 3 terms of about 15 weeks each.</t>
        </is>
      </c>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row>
    <row r="134" ht="12.75" customHeight="1" s="348">
      <c r="A134" s="50" t="inlineStr">
        <is>
          <t xml:space="preserve">Tuition: Amount of money charged to students for instructional services. Tuition may be charged per term, per course, or per credit. </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row>
    <row r="135" ht="12.75" customHeight="1" s="348">
      <c r="A135" s="50"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row>
    <row r="136" ht="12.75" customHeight="1" s="348">
      <c r="A136" s="50" t="inlineStr">
        <is>
          <t>*Tutoring: May range from one-on-one tutoring in specific subjects to tutoring in an area such as math, reading, or writing. Most tutors are college students; at some colleges, they are specially trained and certified.</t>
        </is>
      </c>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row>
    <row r="137" ht="12.75" customHeight="1" s="348">
      <c r="A137" s="48"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row>
    <row r="138" ht="12.75" customHeight="1" s="348">
      <c r="A138" s="50" t="inlineStr">
        <is>
          <t>Unit: a standard of measurement representing hours of academic instruction (e.g., semester credit, quarter credit, clock hour).</t>
        </is>
      </c>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row>
    <row r="139" ht="12.75" customHeight="1" s="348">
      <c r="A139" s="50" t="inlineStr">
        <is>
          <t>Undergraduate: A student enrolled in a four- or five-year bachelor’s degree program, an associate degree program, or a vocational or technical program below the baccalaureate.</t>
        </is>
      </c>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row>
    <row r="140" ht="12.75" customHeight="1" s="348">
      <c r="A140" s="50" t="inlineStr">
        <is>
          <t>Undergraduate Research: Opportunities offered to undergraduate students to make original contributions in an academic discipline via the exploration of a specific research topic. Research opportunities may or may not be associated with a specific course or earn credit.</t>
        </is>
      </c>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row>
    <row r="141" ht="12.75" customHeight="1" s="348">
      <c r="A141" s="50" t="inlineStr">
        <is>
          <t>*Veteran’s counseling: Helps veterans and their dependents obtain benefits for their selected program and provides certifications to the Veteran’s Administration. May also provide personal counseling on the transition from the military to a civilian life.</t>
        </is>
      </c>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row>
    <row r="142" ht="12.75" customHeight="1" s="348">
      <c r="A142" s="50" t="inlineStr">
        <is>
          <t>*Visually impaired: Any person whose sight loss is not correctable and is sufficiently severe as to adversely affect educational performance.</t>
        </is>
      </c>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ht="12.75" customHeight="1" s="348">
      <c r="A143" s="50" t="inlineStr">
        <is>
          <t>Volunteer work (as admission factor): Special consideration given to students for activity done on a volunteer basis (e.g., tutoring, hospital care, working with the elderly or disabled) as a service to the community or the public in general.</t>
        </is>
      </c>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row>
    <row r="144" ht="12.75" customHeight="1" s="348">
      <c r="A144" s="50" t="inlineStr">
        <is>
          <t xml:space="preserve">Wait list: List of students who meet the admission requirements but will only be offered a place in the class if space becomes available. </t>
        </is>
      </c>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row>
    <row r="145" ht="12.75" customHeight="1" s="348">
      <c r="A145" s="50" t="inlineStr">
        <is>
          <t xml:space="preserve">Weekend college: A program that allows students to take a complete course of study and attend classes only on weekends. </t>
        </is>
      </c>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row>
    <row r="146" ht="12.75" customHeight="1" s="348">
      <c r="A146" s="50" t="inlineStr">
        <is>
          <t>White: A person having origins in any of the original peoples of Europe, the Middle East, or North Africa.</t>
        </is>
      </c>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ht="12.75" customHeight="1" s="348">
      <c r="A147" s="50" t="inlineStr">
        <is>
          <t>*Women’s center: Center with programs, academic activities, and/or services intended to promote an understanding of the evolving roles of women.</t>
        </is>
      </c>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row>
    <row r="148" ht="12.75" customHeight="1" s="348">
      <c r="A148" s="50" t="inlineStr">
        <is>
          <t>Work experience (as admission factor): Special consideration given to students who have been employed prior to application, whether for relevance to major, demonstration of employment-related skills, or as explanation of student’s academic and extracurricular record.</t>
        </is>
      </c>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row>
    <row r="149" ht="12.75" customHeight="1" s="348">
      <c r="A149" s="56"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row>
    <row r="150" ht="12.75" customHeight="1" s="348">
      <c r="A150" s="56"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row>
    <row r="151" ht="12.75" customHeight="1" s="348">
      <c r="A151" s="57" t="inlineStr">
        <is>
          <t>Financial Aid Definitions</t>
        </is>
      </c>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row>
    <row r="152" ht="12.75" customHeight="1" s="348">
      <c r="A152" s="56"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row>
    <row r="153" ht="12.75" customHeight="1" s="348">
      <c r="A153" s="50"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row>
    <row r="154" ht="12.75" customHeight="1" s="348">
      <c r="A154" s="50"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row>
    <row r="155" ht="12.75" customHeight="1" s="348">
      <c r="A155" s="50" t="inlineStr">
        <is>
          <t xml:space="preserve">Financial aid applicant: Any applicant who submits any one of the institutionally required financial aid applications/forms, such as the FAFSA. </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row>
    <row r="156" ht="12.75" customHeight="1" s="348">
      <c r="A156" s="48"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row>
    <row r="157" ht="12.75" customHeight="1" s="348">
      <c r="A157" s="50"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ht="12.75" customHeight="1" s="348">
      <c r="A158" s="48"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row>
    <row r="159" ht="12.75" customHeight="1" s="348">
      <c r="A159" s="50" t="inlineStr">
        <is>
          <t>Institutional scholarships and grants: Endowed scholarships, annual gifts and tuition funded grants for which the institution determines the recipient.</t>
        </is>
      </c>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row>
    <row r="160" ht="12.75" customHeight="1" s="348">
      <c r="A160" s="48"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row>
    <row r="161" ht="12.75" customHeight="1" s="348">
      <c r="A161" s="50" t="inlineStr">
        <is>
          <t xml:space="preserve">Financial need: As determined by your institution using the federal methodology and/or your institution's own standards. </t>
        </is>
      </c>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row>
    <row r="162" ht="12.75" customHeight="1" s="348">
      <c r="A162" s="48"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row>
    <row r="163" ht="12.75" customHeight="1" s="348">
      <c r="A163" s="50" t="inlineStr">
        <is>
          <t>Need-based aid: College-funded or college-administered award from institutional, state, federal, or other sources for which a student must have financial need to qualify. This includes both institutional and non-institutional student aid (grants, jobs, and loans).</t>
        </is>
      </c>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row>
    <row r="164" ht="12.75" customHeight="1" s="348">
      <c r="A164" s="48"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row>
    <row r="165" ht="12.75" customHeight="1" s="348">
      <c r="A165" s="50" t="inlineStr">
        <is>
          <t>Need-based scholarship or grant aid: Scholarships and grants from institutional, state, federal, or other sources for which a student must have financial need to qualify.</t>
        </is>
      </c>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row>
    <row r="166" ht="12.75" customHeight="1" s="348">
      <c r="A166" s="48"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row>
    <row r="167" ht="12.75" customHeight="1" s="348">
      <c r="A167" s="50" t="inlineStr">
        <is>
          <t>Need-based self-help aid: Loans and jobs from institutional, state, federal, or other sources for which a student must demonstrate financial need to qualify.</t>
        </is>
      </c>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row>
    <row r="168" ht="12.75" customHeight="1" s="348">
      <c r="A168" s="48"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row>
    <row r="169" ht="12.75" customHeight="1" s="348">
      <c r="A169" s="50"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ht="12.75" customHeight="1" s="348">
      <c r="A170" s="48"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row>
    <row r="171" ht="12.75" customHeight="1" s="348">
      <c r="A171" s="50" t="inlineStr">
        <is>
          <t>Note: Suggested order of precedence for counting non-need money as need-based:</t>
        </is>
      </c>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row>
    <row r="172" ht="12.75" customHeight="1" s="348">
      <c r="A172" s="50"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row>
    <row r="173" ht="12.75" customHeight="1" s="348">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row>
    <row r="174" ht="12.75" customHeight="1" s="348">
      <c r="A174" s="48" t="inlineStr">
        <is>
          <t>1.        Non-need institutional grants</t>
        </is>
      </c>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row>
    <row r="175" ht="12.75" customHeight="1" s="348">
      <c r="A175" s="48" t="inlineStr">
        <is>
          <t>2.        Non-need tuition waivers</t>
        </is>
      </c>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row>
    <row r="176" ht="12.75" customHeight="1" s="348">
      <c r="A176" s="48" t="inlineStr">
        <is>
          <t>3.        Non-need athletic awards</t>
        </is>
      </c>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row>
    <row r="177" ht="12.75" customHeight="1" s="348">
      <c r="A177" s="48" t="inlineStr">
        <is>
          <t>4.        Non-need federal grants</t>
        </is>
      </c>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row>
    <row r="178" ht="12.75" customHeight="1" s="348">
      <c r="A178" s="48" t="inlineStr">
        <is>
          <t>5.        Non-need state grants</t>
        </is>
      </c>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ht="12.75" customHeight="1" s="348">
      <c r="A179" s="48" t="inlineStr">
        <is>
          <t>6.        Non-need outside grants</t>
        </is>
      </c>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row>
    <row r="180" ht="12.75" customHeight="1" s="348">
      <c r="A180" s="48" t="inlineStr">
        <is>
          <t>7.        Non-need student loans</t>
        </is>
      </c>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row>
    <row r="181" ht="12.75" customHeight="1" s="348">
      <c r="A181" s="48" t="inlineStr">
        <is>
          <t>8.        Non-need parent loans</t>
        </is>
      </c>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ht="12.75" customHeight="1" s="348">
      <c r="A182" s="48" t="inlineStr">
        <is>
          <t>9.        Non-need work</t>
        </is>
      </c>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row>
    <row r="183" ht="12.75" customHeight="1" s="348">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row>
    <row r="184" ht="12.75" customHeight="1" s="348">
      <c r="A184" s="48"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row>
    <row r="185" ht="12.75" customHeight="1" s="348">
      <c r="A185" s="50" t="inlineStr">
        <is>
          <t>Non-need-based self-help aid: Loans and jobs from institutional, state, or other sources for which a student need not demonstrate financial need to qualify.</t>
        </is>
      </c>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row>
    <row r="186" ht="12.75" customHeight="1" s="348">
      <c r="A186" s="48"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row>
    <row r="187" ht="12.75" customHeight="1" s="348">
      <c r="A187" s="50" t="inlineStr">
        <is>
          <t>Work study and employment: Federal and state work study aid, and any employment packaged by your institution in financial aid awards.</t>
        </is>
      </c>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row>
    <row r="188" ht="12.75" customHeight="1" s="348">
      <c r="A188" s="58"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ht="12.75" customHeight="1" s="348">
      <c r="A189" s="58"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row>
    <row r="190" ht="12.75" customHeight="1" s="348">
      <c r="A190" s="58"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row>
    <row r="191" ht="12.75" customHeight="1" s="348">
      <c r="A191" s="58"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row>
    <row r="192" ht="12.75" customHeight="1" s="348">
      <c r="A192" s="58"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row>
    <row r="193" ht="12.75" customHeight="1" s="348">
      <c r="A193" s="58"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row>
    <row r="194" ht="12.75" customHeight="1" s="348">
      <c r="A194" s="58"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row>
    <row r="195" ht="12.75" customHeight="1" s="348">
      <c r="A195" s="58"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row>
    <row r="196" ht="12.75" customHeight="1" s="348">
      <c r="A196" s="58"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row>
    <row r="197" ht="12.75" customHeight="1" s="348">
      <c r="A197" s="58"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ht="12.75" customHeight="1" s="348">
      <c r="A198" s="58"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row>
    <row r="199" ht="12.75" customHeight="1" s="348">
      <c r="A199" s="58"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row>
    <row r="200" ht="12.75" customHeight="1" s="348">
      <c r="A200" s="58"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row>
    <row r="201" ht="12.75" customHeight="1" s="348">
      <c r="A201" s="58"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row>
    <row r="202" ht="12.75" customHeight="1" s="348">
      <c r="A202" s="58"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row>
    <row r="203" ht="12.75" customHeight="1" s="348">
      <c r="A203" s="58"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ht="12.75" customHeight="1" s="348">
      <c r="A204" s="58"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row>
    <row r="205" ht="12.75" customHeight="1" s="348">
      <c r="A205" s="58"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row>
    <row r="206" ht="12.75" customHeight="1" s="348">
      <c r="A206" s="58"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row>
    <row r="207" ht="12.75" customHeight="1" s="348">
      <c r="A207" s="58"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row>
    <row r="208" ht="12.75" customHeight="1" s="348">
      <c r="A208" s="58"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row>
    <row r="209" ht="12.75" customHeight="1" s="348">
      <c r="A209" s="58"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row>
    <row r="210" ht="12.75" customHeight="1" s="348">
      <c r="A210" s="58"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row>
    <row r="211" ht="12.75" customHeight="1" s="348">
      <c r="A211" s="58"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row>
    <row r="212" ht="12.75" customHeight="1" s="348">
      <c r="A212" s="58"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row>
    <row r="213" ht="12.75" customHeight="1" s="348">
      <c r="A213" s="58"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row>
    <row r="214" ht="12.75" customHeight="1" s="348">
      <c r="A214" s="58"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row>
    <row r="215" ht="12.75" customHeight="1" s="348">
      <c r="A215" s="58"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row>
    <row r="216" ht="12.75" customHeight="1" s="348">
      <c r="A216" s="58"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row>
    <row r="217" ht="12.75" customHeight="1" s="348">
      <c r="A217" s="58"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row>
    <row r="218" ht="12.75" customHeight="1" s="348">
      <c r="A218" s="58"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ht="12.75" customHeight="1" s="348">
      <c r="A219" s="58"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row>
    <row r="220" ht="12.75" customHeight="1" s="348">
      <c r="A220" s="58"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ht="12.75" customHeight="1" s="348">
      <c r="A221" s="58"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ht="12.75" customHeight="1" s="348">
      <c r="A222" s="58"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ht="12.75" customHeight="1" s="348">
      <c r="A223" s="58"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2.75" customHeight="1" s="348">
      <c r="A224" s="58"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ht="12.75" customHeight="1" s="348">
      <c r="A225" s="58"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ht="12.75" customHeight="1" s="348">
      <c r="A226" s="58"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ht="12.75" customHeight="1" s="348">
      <c r="A227" s="58"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ht="12.75" customHeight="1" s="348">
      <c r="A228" s="58"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ht="12.75" customHeight="1" s="348">
      <c r="A229" s="58"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ht="12.75" customHeight="1" s="348">
      <c r="A230" s="58"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ht="12.75" customHeight="1" s="348">
      <c r="A231" s="58"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ht="12.75" customHeight="1" s="348">
      <c r="A232" s="58"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ht="12.75" customHeight="1" s="348">
      <c r="A233" s="58"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2.75" customHeight="1" s="348">
      <c r="A234" s="58"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ht="12.75" customHeight="1" s="348">
      <c r="A235" s="58"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ht="12.75" customHeight="1" s="348">
      <c r="A236" s="58"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ht="12.75" customHeight="1" s="348">
      <c r="A237" s="58"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ht="12.75" customHeight="1" s="348">
      <c r="A238" s="58"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ht="12.75" customHeight="1" s="348">
      <c r="A239" s="58"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ht="12.75" customHeight="1" s="348">
      <c r="A240" s="58"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ht="12.75" customHeight="1" s="348">
      <c r="A241" s="58"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ht="12.75" customHeight="1" s="348">
      <c r="A242" s="58"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ht="12.75" customHeight="1" s="348">
      <c r="A243" s="58"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ht="12.75" customHeight="1" s="348">
      <c r="A244" s="58"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ht="12.75" customHeight="1" s="348">
      <c r="A245" s="58"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ht="12.75" customHeight="1" s="348">
      <c r="A246" s="58"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ht="12.75" customHeight="1" s="348">
      <c r="A247" s="58"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2.75" customHeight="1" s="348">
      <c r="A248" s="58"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ht="12.75" customHeight="1" s="348">
      <c r="A249" s="58"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ht="12.75" customHeight="1" s="348">
      <c r="A250" s="58"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ht="12.75" customHeight="1" s="348">
      <c r="A251" s="58"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ht="12.75" customHeight="1" s="348">
      <c r="A252" s="58"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ht="12.75" customHeight="1" s="348">
      <c r="A253" s="58"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ht="12.75" customHeight="1" s="348">
      <c r="A254" s="58"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ht="12.75" customHeight="1" s="348">
      <c r="A255" s="58"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ht="12.75" customHeight="1" s="348">
      <c r="A256" s="58"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ht="12.75" customHeight="1" s="348">
      <c r="A257" s="58"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ht="12.75" customHeight="1" s="348">
      <c r="A258" s="58"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ht="12.75" customHeight="1" s="348">
      <c r="A259" s="58"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ht="12.75" customHeight="1" s="348">
      <c r="A260" s="58"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ht="12.75" customHeight="1" s="348">
      <c r="A261" s="58"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ht="12.75" customHeight="1" s="348">
      <c r="A262" s="58"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ht="12.75" customHeight="1" s="348">
      <c r="A263" s="58"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ht="12.75" customHeight="1" s="348">
      <c r="A264" s="58"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2.75" customHeight="1" s="348">
      <c r="A265" s="58"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ht="12.75" customHeight="1" s="348">
      <c r="A266" s="58"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ht="12.75" customHeight="1" s="348">
      <c r="A267" s="58"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ht="12.75" customHeight="1" s="348">
      <c r="A268" s="58"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2.75" customHeight="1" s="348">
      <c r="A269" s="58"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ht="12.75" customHeight="1" s="348">
      <c r="A270" s="58"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ht="12.75" customHeight="1" s="348">
      <c r="A271" s="58"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ht="12.75" customHeight="1" s="348">
      <c r="A272" s="58"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ht="12.75" customHeight="1" s="348">
      <c r="A273" s="58"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ht="12.75" customHeight="1" s="348">
      <c r="A274" s="58"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ht="12.75" customHeight="1" s="348">
      <c r="A275" s="58"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ht="12.75" customHeight="1" s="348">
      <c r="A276" s="58"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ht="12.75" customHeight="1" s="348">
      <c r="A277" s="58"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ht="12.75" customHeight="1" s="348">
      <c r="A278" s="58"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ht="12.75" customHeight="1" s="348">
      <c r="A279" s="58"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ht="12.75" customHeight="1" s="348">
      <c r="A280" s="58"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ht="12.75" customHeight="1" s="348">
      <c r="A281" s="58"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2.75" customHeight="1" s="348">
      <c r="A282" s="58"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ht="12.75" customHeight="1" s="348">
      <c r="A283" s="58"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ht="12.75" customHeight="1" s="348">
      <c r="A284" s="58"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ht="12.75" customHeight="1" s="348">
      <c r="A285" s="58"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ht="12.75" customHeight="1" s="348">
      <c r="A286" s="58"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ht="12.75" customHeight="1" s="348">
      <c r="A287" s="58"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ht="12.75" customHeight="1" s="348">
      <c r="A288" s="58"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ht="12.75" customHeight="1" s="348">
      <c r="A289" s="58"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ht="12.75" customHeight="1" s="348">
      <c r="A290" s="58"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ht="12.75" customHeight="1" s="348">
      <c r="A291" s="58"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ht="12.75" customHeight="1" s="348">
      <c r="A292" s="58"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ht="12.75" customHeight="1" s="348">
      <c r="A293" s="58"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ht="12.75" customHeight="1" s="348">
      <c r="A294" s="58"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ht="12.75" customHeight="1" s="348">
      <c r="A295" s="58"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ht="12.75" customHeight="1" s="348">
      <c r="A296" s="58"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2.75" customHeight="1" s="348">
      <c r="A297" s="58"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ht="12.75" customHeight="1" s="348">
      <c r="A298" s="58"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ht="12.75" customHeight="1" s="348">
      <c r="A299" s="58"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ht="12.75" customHeight="1" s="348">
      <c r="A300" s="58"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ht="12.75" customHeight="1" s="348">
      <c r="A301" s="58"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ht="12.75" customHeight="1" s="348">
      <c r="A302" s="58"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ht="12.75" customHeight="1" s="348">
      <c r="A303" s="58"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ht="12.75" customHeight="1" s="348">
      <c r="A304" s="58"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ht="12.75" customHeight="1" s="348">
      <c r="A305" s="58"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ht="12.75" customHeight="1" s="348">
      <c r="A306" s="58"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ht="12.75" customHeight="1" s="348">
      <c r="A307" s="58"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ht="12.75" customHeight="1" s="348">
      <c r="A308" s="58"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2.75" customHeight="1" s="348">
      <c r="A309" s="58"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ht="12.75" customHeight="1" s="348">
      <c r="A310" s="58"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ht="12.75" customHeight="1" s="348">
      <c r="A311" s="58"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ht="12.75" customHeight="1" s="348">
      <c r="A312" s="58"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ht="12.75" customHeight="1" s="348">
      <c r="A313" s="58"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ht="12.75" customHeight="1" s="348">
      <c r="A314" s="58"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ht="12.75" customHeight="1" s="348">
      <c r="A315" s="58"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ht="12.75" customHeight="1" s="348">
      <c r="A316" s="58"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ht="12.75" customHeight="1" s="348">
      <c r="A317" s="58"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2.75" customHeight="1" s="348">
      <c r="A318" s="58"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ht="12.75" customHeight="1" s="348">
      <c r="A319" s="58"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ht="12.75" customHeight="1" s="348">
      <c r="A320" s="58"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ht="12.75" customHeight="1" s="348">
      <c r="A321" s="58"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ht="12.75" customHeight="1" s="348">
      <c r="A322" s="58"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ht="12.75" customHeight="1" s="348">
      <c r="A323" s="58"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ht="12.75" customHeight="1" s="348">
      <c r="A324" s="58"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ht="12.75" customHeight="1" s="348">
      <c r="A325" s="58"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ht="12.75" customHeight="1" s="348">
      <c r="A326" s="58"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ht="12.75" customHeight="1" s="348">
      <c r="A327" s="58"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ht="12.75" customHeight="1" s="348">
      <c r="A328" s="58"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ht="12.75" customHeight="1" s="348">
      <c r="A329" s="58"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ht="12.75" customHeight="1" s="348">
      <c r="A330" s="58"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2.75" customHeight="1" s="348">
      <c r="A331" s="58"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ht="12.75" customHeight="1" s="348">
      <c r="A332" s="58"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ht="12.75" customHeight="1" s="348">
      <c r="A333" s="58"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ht="12.75" customHeight="1" s="348">
      <c r="A334" s="58"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ht="12.75" customHeight="1" s="348">
      <c r="A335" s="58"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ht="12.75" customHeight="1" s="348">
      <c r="A336" s="58"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ht="12.75" customHeight="1" s="348">
      <c r="A337" s="58"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ht="12.75" customHeight="1" s="348">
      <c r="A338" s="58"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ht="12.75" customHeight="1" s="348">
      <c r="A339" s="58"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ht="12.75" customHeight="1" s="348">
      <c r="A340" s="58"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ht="12.75" customHeight="1" s="348">
      <c r="A341" s="58"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ht="12.75" customHeight="1" s="348">
      <c r="A342" s="58"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ht="12.75" customHeight="1" s="348">
      <c r="A343" s="58"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ht="12.75" customHeight="1" s="348">
      <c r="A344" s="58"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ht="12.75" customHeight="1" s="348">
      <c r="A345" s="58"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ht="12.75" customHeight="1" s="348">
      <c r="A346" s="58"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ht="12.75" customHeight="1" s="348">
      <c r="A347" s="58"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ht="12.75" customHeight="1" s="348">
      <c r="A348" s="58"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ht="12.75" customHeight="1" s="348">
      <c r="A349" s="58"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ht="12.75" customHeight="1" s="348">
      <c r="A350" s="58"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ht="12.75" customHeight="1" s="348">
      <c r="A351" s="58"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ht="12.75" customHeight="1" s="348">
      <c r="A352" s="58"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ht="12.75" customHeight="1" s="348">
      <c r="A353" s="58"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ht="12.75" customHeight="1" s="348">
      <c r="A354" s="58"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ht="12.75" customHeight="1" s="348">
      <c r="A355" s="58"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ht="12.75" customHeight="1" s="348">
      <c r="A356" s="58"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ht="12.75" customHeight="1" s="348">
      <c r="A357" s="58"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ht="12.75" customHeight="1" s="348">
      <c r="A358" s="58"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ht="12.75" customHeight="1" s="348">
      <c r="A359" s="58"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ht="12.75" customHeight="1" s="348">
      <c r="A360" s="58"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ht="12.75" customHeight="1" s="348">
      <c r="A361" s="58"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ht="12.75" customHeight="1" s="348">
      <c r="A362" s="58"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ht="12.75" customHeight="1" s="348">
      <c r="A363" s="58"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ht="12.75" customHeight="1" s="348">
      <c r="A364" s="58"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ht="12.75" customHeight="1" s="348">
      <c r="A365" s="58"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ht="12.75" customHeight="1" s="348">
      <c r="A366" s="58"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ht="12.75" customHeight="1" s="348">
      <c r="A367" s="58"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ht="12.75" customHeight="1" s="348">
      <c r="A368" s="58"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ht="12.75" customHeight="1" s="348">
      <c r="A369" s="58"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ht="12.75" customHeight="1" s="348">
      <c r="A370" s="58"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ht="12.75" customHeight="1" s="348">
      <c r="A371" s="58"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ht="12.75" customHeight="1" s="348">
      <c r="A372" s="58"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ht="12.75" customHeight="1" s="348">
      <c r="A373" s="58"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ht="12.75" customHeight="1" s="348">
      <c r="A374" s="58"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ht="12.75" customHeight="1" s="348">
      <c r="A375" s="58"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ht="12.75" customHeight="1" s="348">
      <c r="A376" s="58"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ht="12.75" customHeight="1" s="348">
      <c r="A377" s="58"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ht="12.75" customHeight="1" s="348">
      <c r="A378" s="58"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ht="12.75" customHeight="1" s="348">
      <c r="A379" s="58"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ht="12.75" customHeight="1" s="348">
      <c r="A380" s="58"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ht="12.75" customHeight="1" s="348">
      <c r="A381" s="58"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ht="12.75" customHeight="1" s="348">
      <c r="A382" s="58"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ht="12.75" customHeight="1" s="348">
      <c r="A383" s="58"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ht="12.75" customHeight="1" s="348">
      <c r="A384" s="58"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ht="12.75" customHeight="1" s="348">
      <c r="A385" s="58"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ht="12.75" customHeight="1" s="348">
      <c r="A386" s="58"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ht="12.75" customHeight="1" s="348">
      <c r="A387" s="58"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ht="12.75" customHeight="1" s="348">
      <c r="A388" s="58"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ht="12.75" customHeight="1" s="348">
      <c r="A389" s="58"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ht="12.75" customHeight="1" s="348">
      <c r="A390" s="58"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ht="12.75" customHeight="1" s="348">
      <c r="A391" s="58"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ht="12.75" customHeight="1" s="348">
      <c r="A392" s="58"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ht="12.75" customHeight="1" s="348">
      <c r="A393" s="58"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ht="12.75" customHeight="1" s="348">
      <c r="A394" s="58"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ht="12.75" customHeight="1" s="348">
      <c r="A395" s="58"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ht="12.75" customHeight="1" s="348">
      <c r="A396" s="58"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ht="12.75" customHeight="1" s="348">
      <c r="A397" s="58"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ht="12.75" customHeight="1" s="348">
      <c r="A398" s="58"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ht="12.75" customHeight="1" s="348">
      <c r="A399" s="58"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ht="12.75" customHeight="1" s="348">
      <c r="A400" s="58"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ht="12.75" customHeight="1" s="348">
      <c r="A401" s="58"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ht="12.75" customHeight="1" s="348">
      <c r="A402" s="58"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ht="12.75" customHeight="1" s="348">
      <c r="A403" s="58"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ht="12.75" customHeight="1" s="348">
      <c r="A404" s="58"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ht="12.75" customHeight="1" s="348">
      <c r="A405" s="58"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ht="12.75" customHeight="1" s="348">
      <c r="A406" s="58"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ht="12.75" customHeight="1" s="348">
      <c r="A407" s="58"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ht="12.75" customHeight="1" s="348">
      <c r="A408" s="58"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ht="12.75" customHeight="1" s="348">
      <c r="A409" s="58"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ht="12.75" customHeight="1" s="348">
      <c r="A410" s="58"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ht="12.75" customHeight="1" s="348">
      <c r="A411" s="58"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ht="12.75" customHeight="1" s="348">
      <c r="A412" s="58"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ht="12.75" customHeight="1" s="348">
      <c r="A413" s="58"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ht="12.75" customHeight="1" s="348">
      <c r="A414" s="58"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ht="12.75" customHeight="1" s="348">
      <c r="A415" s="58"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ht="12.75" customHeight="1" s="348">
      <c r="A416" s="58"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ht="12.75" customHeight="1" s="348">
      <c r="A417" s="58"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ht="12.75" customHeight="1" s="348">
      <c r="A418" s="58"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ht="12.75" customHeight="1" s="348">
      <c r="A419" s="58"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ht="12.75" customHeight="1" s="348">
      <c r="A420" s="58"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ht="12.75" customHeight="1" s="348">
      <c r="A421" s="58"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ht="12.75" customHeight="1" s="348">
      <c r="A422" s="58"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ht="12.75" customHeight="1" s="348">
      <c r="A423" s="58"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ht="12.75" customHeight="1" s="348">
      <c r="A424" s="58"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ht="12.75" customHeight="1" s="348">
      <c r="A425" s="58"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ht="12.75" customHeight="1" s="348">
      <c r="A426" s="58"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ht="12.75" customHeight="1" s="348">
      <c r="A427" s="58"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ht="12.75" customHeight="1" s="348">
      <c r="A428" s="58"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ht="12.75" customHeight="1" s="348">
      <c r="A429" s="58"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ht="12.75" customHeight="1" s="348">
      <c r="A430" s="58"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ht="12.75" customHeight="1" s="348">
      <c r="A431" s="58"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ht="12.75" customHeight="1" s="348">
      <c r="A432" s="58"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ht="12.75" customHeight="1" s="348">
      <c r="A433" s="58"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ht="12.75" customHeight="1" s="348">
      <c r="A434" s="58"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ht="12.75" customHeight="1" s="348">
      <c r="A435" s="58"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ht="12.75" customHeight="1" s="348">
      <c r="A436" s="58"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ht="12.75" customHeight="1" s="348">
      <c r="A437" s="58"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ht="12.75" customHeight="1" s="348">
      <c r="A438" s="58"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ht="12.75" customHeight="1" s="348">
      <c r="A439" s="58"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ht="12.75" customHeight="1" s="348">
      <c r="A440" s="58"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ht="12.75" customHeight="1" s="348">
      <c r="A441" s="58"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ht="12.75" customHeight="1" s="348">
      <c r="A442" s="58"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ht="12.75" customHeight="1" s="348">
      <c r="A443" s="58"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ht="12.75" customHeight="1" s="348">
      <c r="A444" s="58"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ht="12.75" customHeight="1" s="348">
      <c r="A445" s="58"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ht="12.75" customHeight="1" s="348">
      <c r="A446" s="58"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ht="12.75" customHeight="1" s="348">
      <c r="A447" s="58"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ht="12.75" customHeight="1" s="348">
      <c r="A448" s="58"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ht="12.75" customHeight="1" s="348">
      <c r="A449" s="58"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ht="12.75" customHeight="1" s="348">
      <c r="A450" s="58"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ht="12.75" customHeight="1" s="348">
      <c r="A451" s="58"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ht="12.75" customHeight="1" s="348">
      <c r="A452" s="58"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ht="12.75" customHeight="1" s="348">
      <c r="A453" s="58"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ht="12.75" customHeight="1" s="348">
      <c r="A454" s="58"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ht="12.75" customHeight="1" s="348">
      <c r="A455" s="58"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ht="12.75" customHeight="1" s="348">
      <c r="A456" s="58"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ht="12.75" customHeight="1" s="348">
      <c r="A457" s="58"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ht="12.75" customHeight="1" s="348">
      <c r="A458" s="58"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ht="12.75" customHeight="1" s="348">
      <c r="A459" s="58"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ht="12.75" customHeight="1" s="348">
      <c r="A460" s="58"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ht="12.75" customHeight="1" s="348">
      <c r="A461" s="58"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ht="12.75" customHeight="1" s="348">
      <c r="A462" s="58"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ht="12.75" customHeight="1" s="348">
      <c r="A463" s="58"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ht="12.75" customHeight="1" s="348">
      <c r="A464" s="58"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ht="12.75" customHeight="1" s="348">
      <c r="A465" s="58"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ht="12.75" customHeight="1" s="348">
      <c r="A466" s="58"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ht="12.75" customHeight="1" s="348">
      <c r="A467" s="58"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ht="12.75" customHeight="1" s="348">
      <c r="A468" s="58"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ht="12.75" customHeight="1" s="348">
      <c r="A469" s="58"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ht="12.75" customHeight="1" s="348">
      <c r="A470" s="58"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ht="12.75" customHeight="1" s="348">
      <c r="A471" s="58"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ht="12.75" customHeight="1" s="348">
      <c r="A472" s="58"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ht="12.75" customHeight="1" s="348">
      <c r="A473" s="58"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ht="12.75" customHeight="1" s="348">
      <c r="A474" s="58"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ht="12.75" customHeight="1" s="348">
      <c r="A475" s="58"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ht="12.75" customHeight="1" s="348">
      <c r="A476" s="58"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ht="12.75" customHeight="1" s="348">
      <c r="A477" s="58"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ht="12.75" customHeight="1" s="348">
      <c r="A478" s="58"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ht="12.75" customHeight="1" s="348">
      <c r="A479" s="58"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ht="12.75" customHeight="1" s="348">
      <c r="A480" s="58"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ht="12.75" customHeight="1" s="348">
      <c r="A481" s="58"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ht="12.75" customHeight="1" s="348">
      <c r="A482" s="58"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ht="12.75" customHeight="1" s="348">
      <c r="A483" s="58"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ht="12.75" customHeight="1" s="348">
      <c r="A484" s="58"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ht="12.75" customHeight="1" s="348">
      <c r="A485" s="58"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ht="12.75" customHeight="1" s="348">
      <c r="A486" s="58"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ht="12.75" customHeight="1" s="348">
      <c r="A487" s="58"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ht="12.75" customHeight="1" s="348">
      <c r="A488" s="58"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ht="12.75" customHeight="1" s="348">
      <c r="A489" s="58"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ht="12.75" customHeight="1" s="348">
      <c r="A490" s="58"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ht="12.75" customHeight="1" s="348">
      <c r="A491" s="58"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ht="12.75" customHeight="1" s="348">
      <c r="A492" s="58"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ht="12.75" customHeight="1" s="348">
      <c r="A493" s="58"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ht="12.75" customHeight="1" s="348">
      <c r="A494" s="58"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ht="12.75" customHeight="1" s="348">
      <c r="A495" s="58"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ht="12.75" customHeight="1" s="348">
      <c r="A496" s="58"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ht="12.75" customHeight="1" s="348">
      <c r="A497" s="58"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ht="12.75" customHeight="1" s="348">
      <c r="A498" s="58"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ht="12.75" customHeight="1" s="348">
      <c r="A499" s="58"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ht="12.75" customHeight="1" s="348">
      <c r="A500" s="58"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ht="12.75" customHeight="1" s="348">
      <c r="A501" s="58"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ht="12.75" customHeight="1" s="348">
      <c r="A502" s="58"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ht="12.75" customHeight="1" s="348">
      <c r="A503" s="58"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ht="12.75" customHeight="1" s="348">
      <c r="A504" s="58"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ht="12.75" customHeight="1" s="348">
      <c r="A505" s="58"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ht="12.75" customHeight="1" s="348">
      <c r="A506" s="58"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ht="12.75" customHeight="1" s="348">
      <c r="A507" s="58"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ht="12.75" customHeight="1" s="348">
      <c r="A508" s="58"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ht="12.75" customHeight="1" s="348">
      <c r="A509" s="58"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ht="12.75" customHeight="1" s="348">
      <c r="A510" s="58"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ht="12.75" customHeight="1" s="348">
      <c r="A511" s="58"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ht="12.75" customHeight="1" s="348">
      <c r="A512" s="58"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ht="12.75" customHeight="1" s="348">
      <c r="A513" s="58"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ht="12.75" customHeight="1" s="348">
      <c r="A514" s="58"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ht="12.75" customHeight="1" s="348">
      <c r="A515" s="58"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ht="12.75" customHeight="1" s="348">
      <c r="A516" s="58"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ht="12.75" customHeight="1" s="348">
      <c r="A517" s="58"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ht="12.75" customHeight="1" s="348">
      <c r="A518" s="58"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ht="12.75" customHeight="1" s="348">
      <c r="A519" s="58"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ht="12.75" customHeight="1" s="348">
      <c r="A520" s="58"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ht="12.75" customHeight="1" s="348">
      <c r="A521" s="58"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ht="12.75" customHeight="1" s="348">
      <c r="A522" s="58"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ht="12.75" customHeight="1" s="348">
      <c r="A523" s="58"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ht="12.75" customHeight="1" s="348">
      <c r="A524" s="58"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ht="12.75" customHeight="1" s="348">
      <c r="A525" s="58"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ht="12.75" customHeight="1" s="348">
      <c r="A526" s="58"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ht="12.75" customHeight="1" s="348">
      <c r="A527" s="58"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ht="12.75" customHeight="1" s="348">
      <c r="A528" s="58"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ht="12.75" customHeight="1" s="348">
      <c r="A529" s="58"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ht="12.75" customHeight="1" s="348">
      <c r="A530" s="58"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ht="12.75" customHeight="1" s="348">
      <c r="A531" s="58"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ht="12.75" customHeight="1" s="348">
      <c r="A532" s="58"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ht="12.75" customHeight="1" s="348">
      <c r="A533" s="58"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ht="12.75" customHeight="1" s="348">
      <c r="A534" s="58"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ht="12.75" customHeight="1" s="348">
      <c r="A535" s="58"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ht="12.75" customHeight="1" s="348">
      <c r="A536" s="58"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ht="12.75" customHeight="1" s="348">
      <c r="A537" s="58"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ht="12.75" customHeight="1" s="348">
      <c r="A538" s="58"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ht="12.75" customHeight="1" s="348">
      <c r="A539" s="58"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ht="12.75" customHeight="1" s="348">
      <c r="A540" s="58"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ht="12.75" customHeight="1" s="348">
      <c r="A541" s="58"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ht="12.75" customHeight="1" s="348">
      <c r="A542" s="58"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ht="12.75" customHeight="1" s="348">
      <c r="A543" s="58"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ht="12.75" customHeight="1" s="348">
      <c r="A544" s="58"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ht="12.75" customHeight="1" s="348">
      <c r="A545" s="58"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ht="12.75" customHeight="1" s="348">
      <c r="A546" s="58"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ht="12.75" customHeight="1" s="348">
      <c r="A547" s="58"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ht="12.75" customHeight="1" s="348">
      <c r="A548" s="58"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ht="12.75" customHeight="1" s="348">
      <c r="A549" s="58"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ht="12.75" customHeight="1" s="348">
      <c r="A550" s="58"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ht="12.75" customHeight="1" s="348">
      <c r="A551" s="58"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ht="12.75" customHeight="1" s="348">
      <c r="A552" s="58"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ht="12.75" customHeight="1" s="348">
      <c r="A553" s="58"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ht="12.75" customHeight="1" s="348">
      <c r="A554" s="58"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ht="12.75" customHeight="1" s="348">
      <c r="A555" s="58"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ht="12.75" customHeight="1" s="348">
      <c r="A556" s="58"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ht="12.75" customHeight="1" s="348">
      <c r="A557" s="58"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ht="12.75" customHeight="1" s="348">
      <c r="A558" s="58"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ht="12.75" customHeight="1" s="348">
      <c r="A559" s="58"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ht="12.75" customHeight="1" s="348">
      <c r="A560" s="58"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ht="12.75" customHeight="1" s="348">
      <c r="A561" s="58"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ht="12.75" customHeight="1" s="348">
      <c r="A562" s="58"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ht="12.75" customHeight="1" s="348">
      <c r="A563" s="58"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ht="12.75" customHeight="1" s="348">
      <c r="A564" s="58"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ht="12.75" customHeight="1" s="348">
      <c r="A565" s="58"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ht="12.75" customHeight="1" s="348">
      <c r="A566" s="58"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ht="12.75" customHeight="1" s="348">
      <c r="A567" s="58"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ht="12.75" customHeight="1" s="348">
      <c r="A568" s="58"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ht="12.75" customHeight="1" s="348">
      <c r="A569" s="58"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ht="12.75" customHeight="1" s="348">
      <c r="A570" s="58"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ht="12.75" customHeight="1" s="348">
      <c r="A571" s="58"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ht="12.75" customHeight="1" s="348">
      <c r="A572" s="58"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ht="12.75" customHeight="1" s="348">
      <c r="A573" s="58"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ht="12.75" customHeight="1" s="348">
      <c r="A574" s="58"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ht="12.75" customHeight="1" s="348">
      <c r="A575" s="58"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ht="12.75" customHeight="1" s="348">
      <c r="A576" s="58"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ht="12.75" customHeight="1" s="348">
      <c r="A577" s="58"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ht="12.75" customHeight="1" s="348">
      <c r="A578" s="58"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ht="12.75" customHeight="1" s="348">
      <c r="A579" s="58"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ht="12.75" customHeight="1" s="348">
      <c r="A580" s="58"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ht="12.75" customHeight="1" s="348">
      <c r="A581" s="58"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ht="12.75" customHeight="1" s="348">
      <c r="A582" s="58"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ht="12.75" customHeight="1" s="348">
      <c r="A583" s="58"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ht="12.75" customHeight="1" s="348">
      <c r="A584" s="58"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ht="12.75" customHeight="1" s="348">
      <c r="A585" s="58"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ht="12.75" customHeight="1" s="348">
      <c r="A586" s="58"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ht="12.75" customHeight="1" s="348">
      <c r="A587" s="58"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ht="12.75" customHeight="1" s="348">
      <c r="A588" s="58"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ht="12.75" customHeight="1" s="348">
      <c r="A589" s="58"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ht="12.75" customHeight="1" s="348">
      <c r="A590" s="58"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ht="12.75" customHeight="1" s="348">
      <c r="A591" s="58"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ht="12.75" customHeight="1" s="348">
      <c r="A592" s="58"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ht="12.75" customHeight="1" s="348">
      <c r="A593" s="58"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ht="12.75" customHeight="1" s="348">
      <c r="A594" s="58"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ht="12.75" customHeight="1" s="348">
      <c r="A595" s="58"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ht="12.75" customHeight="1" s="348">
      <c r="A596" s="58"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ht="12.75" customHeight="1" s="348">
      <c r="A597" s="58"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ht="12.75" customHeight="1" s="348">
      <c r="A598" s="58"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ht="12.75" customHeight="1" s="348">
      <c r="A599" s="58"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ht="12.75" customHeight="1" s="348">
      <c r="A600" s="58"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ht="12.75" customHeight="1" s="348">
      <c r="A601" s="58"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ht="12.75" customHeight="1" s="348">
      <c r="A602" s="58"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ht="12.75" customHeight="1" s="348">
      <c r="A603" s="58"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ht="12.75" customHeight="1" s="348">
      <c r="A604" s="58"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ht="12.75" customHeight="1" s="348">
      <c r="A605" s="58"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ht="12.75" customHeight="1" s="348">
      <c r="A606" s="58"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ht="12.75" customHeight="1" s="348">
      <c r="A607" s="58"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ht="12.75" customHeight="1" s="348">
      <c r="A608" s="58"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ht="12.75" customHeight="1" s="348">
      <c r="A609" s="58"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ht="12.75" customHeight="1" s="348">
      <c r="A610" s="58"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ht="12.75" customHeight="1" s="348">
      <c r="A611" s="58"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ht="12.75" customHeight="1" s="348">
      <c r="A612" s="58"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ht="12.75" customHeight="1" s="348">
      <c r="A613" s="58"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ht="12.75" customHeight="1" s="348">
      <c r="A614" s="58"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ht="12.75" customHeight="1" s="348">
      <c r="A615" s="58"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ht="12.75" customHeight="1" s="348">
      <c r="A616" s="58"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ht="12.75" customHeight="1" s="348">
      <c r="A617" s="58"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ht="12.75" customHeight="1" s="348">
      <c r="A618" s="58"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ht="12.75" customHeight="1" s="348">
      <c r="A619" s="58"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ht="12.75" customHeight="1" s="348">
      <c r="A620" s="58"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ht="12.75" customHeight="1" s="348">
      <c r="A621" s="58"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ht="12.75" customHeight="1" s="348">
      <c r="A622" s="58"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ht="12.75" customHeight="1" s="348">
      <c r="A623" s="58"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ht="12.75" customHeight="1" s="348">
      <c r="A624" s="58"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ht="12.75" customHeight="1" s="348">
      <c r="A625" s="58"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ht="12.75" customHeight="1" s="348">
      <c r="A626" s="58"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ht="12.75" customHeight="1" s="348">
      <c r="A627" s="58"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ht="12.75" customHeight="1" s="348">
      <c r="A628" s="58"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ht="12.75" customHeight="1" s="348">
      <c r="A629" s="58"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ht="12.75" customHeight="1" s="348">
      <c r="A630" s="58"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ht="12.75" customHeight="1" s="348">
      <c r="A631" s="58"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ht="12.75" customHeight="1" s="348">
      <c r="A632" s="58"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ht="12.75" customHeight="1" s="348">
      <c r="A633" s="58"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ht="12.75" customHeight="1" s="348">
      <c r="A634" s="58"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ht="12.75" customHeight="1" s="348">
      <c r="A635" s="58"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ht="12.75" customHeight="1" s="348">
      <c r="A636" s="58"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ht="12.75" customHeight="1" s="348">
      <c r="A637" s="58"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ht="12.75" customHeight="1" s="348">
      <c r="A638" s="58"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ht="12.75" customHeight="1" s="348">
      <c r="A639" s="58"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ht="12.75" customHeight="1" s="348">
      <c r="A640" s="58"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ht="12.75" customHeight="1" s="348">
      <c r="A641" s="58"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ht="12.75" customHeight="1" s="348">
      <c r="A642" s="58"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ht="12.75" customHeight="1" s="348">
      <c r="A643" s="58"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ht="12.75" customHeight="1" s="348">
      <c r="A644" s="58"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ht="12.75" customHeight="1" s="348">
      <c r="A645" s="58"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ht="12.75" customHeight="1" s="348">
      <c r="A646" s="58"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ht="12.75" customHeight="1" s="348">
      <c r="A647" s="58"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ht="12.75" customHeight="1" s="348">
      <c r="A648" s="58"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ht="12.75" customHeight="1" s="348">
      <c r="A649" s="58"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ht="12.75" customHeight="1" s="348">
      <c r="A650" s="58"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ht="12.75" customHeight="1" s="348">
      <c r="A651" s="58"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ht="12.75" customHeight="1" s="348">
      <c r="A652" s="58"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ht="12.75" customHeight="1" s="348">
      <c r="A653" s="58"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ht="12.75" customHeight="1" s="348">
      <c r="A654" s="58"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ht="12.75" customHeight="1" s="348">
      <c r="A655" s="58"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ht="12.75" customHeight="1" s="348">
      <c r="A656" s="58"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ht="12.75" customHeight="1" s="348">
      <c r="A657" s="58"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ht="12.75" customHeight="1" s="348">
      <c r="A658" s="58"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ht="12.75" customHeight="1" s="348">
      <c r="A659" s="58"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ht="12.75" customHeight="1" s="348">
      <c r="A660" s="58"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ht="12.75" customHeight="1" s="348">
      <c r="A661" s="58"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ht="12.75" customHeight="1" s="348">
      <c r="A662" s="58"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ht="12.75" customHeight="1" s="348">
      <c r="A663" s="58"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ht="12.75" customHeight="1" s="348">
      <c r="A664" s="58"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ht="12.75" customHeight="1" s="348">
      <c r="A665" s="58"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ht="12.75" customHeight="1" s="348">
      <c r="A666" s="58"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ht="12.75" customHeight="1" s="348">
      <c r="A667" s="58"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ht="12.75" customHeight="1" s="348">
      <c r="A668" s="58"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ht="12.75" customHeight="1" s="348">
      <c r="A669" s="58"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ht="12.75" customHeight="1" s="348">
      <c r="A670" s="58"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ht="12.75" customHeight="1" s="348">
      <c r="A671" s="58"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ht="12.75" customHeight="1" s="348">
      <c r="A672" s="58"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ht="12.75" customHeight="1" s="348">
      <c r="A673" s="58"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ht="12.75" customHeight="1" s="348">
      <c r="A674" s="58"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ht="12.75" customHeight="1" s="348">
      <c r="A675" s="58"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ht="12.75" customHeight="1" s="348">
      <c r="A676" s="58"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ht="12.75" customHeight="1" s="348">
      <c r="A677" s="58"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ht="12.75" customHeight="1" s="348">
      <c r="A678" s="58"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ht="12.75" customHeight="1" s="348">
      <c r="A679" s="58"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ht="12.75" customHeight="1" s="348">
      <c r="A680" s="58"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ht="12.75" customHeight="1" s="348">
      <c r="A681" s="58"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ht="12.75" customHeight="1" s="348">
      <c r="A682" s="58"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ht="12.75" customHeight="1" s="348">
      <c r="A683" s="58"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ht="12.75" customHeight="1" s="348">
      <c r="A684" s="58"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ht="12.75" customHeight="1" s="348">
      <c r="A685" s="58"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ht="12.75" customHeight="1" s="348">
      <c r="A686" s="58"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ht="12.75" customHeight="1" s="348">
      <c r="A687" s="58"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ht="12.75" customHeight="1" s="348">
      <c r="A688" s="58"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ht="12.75" customHeight="1" s="348">
      <c r="A689" s="58"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ht="12.75" customHeight="1" s="348">
      <c r="A690" s="58"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ht="12.75" customHeight="1" s="348">
      <c r="A691" s="58"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ht="12.75" customHeight="1" s="348">
      <c r="A692" s="58"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ht="12.75" customHeight="1" s="348">
      <c r="A693" s="58"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ht="12.75" customHeight="1" s="348">
      <c r="A694" s="58"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ht="12.75" customHeight="1" s="348">
      <c r="A695" s="58"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ht="12.75" customHeight="1" s="348">
      <c r="A696" s="58"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ht="12.75" customHeight="1" s="348">
      <c r="A697" s="58"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ht="12.75" customHeight="1" s="348">
      <c r="A698" s="58"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ht="12.75" customHeight="1" s="348">
      <c r="A699" s="58"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ht="12.75" customHeight="1" s="348">
      <c r="A700" s="58"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ht="12.75" customHeight="1" s="348">
      <c r="A701" s="58"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ht="12.75" customHeight="1" s="348">
      <c r="A702" s="58"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ht="12.75" customHeight="1" s="348">
      <c r="A703" s="58"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ht="12.75" customHeight="1" s="348">
      <c r="A704" s="58"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ht="12.75" customHeight="1" s="348">
      <c r="A705" s="58"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ht="12.75" customHeight="1" s="348">
      <c r="A706" s="58"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ht="12.75" customHeight="1" s="348">
      <c r="A707" s="58"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ht="12.75" customHeight="1" s="348">
      <c r="A708" s="58"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ht="12.75" customHeight="1" s="348">
      <c r="A709" s="58"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ht="12.75" customHeight="1" s="348">
      <c r="A710" s="58"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ht="12.75" customHeight="1" s="348">
      <c r="A711" s="58"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ht="12.75" customHeight="1" s="348">
      <c r="A712" s="58"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ht="12.75" customHeight="1" s="348">
      <c r="A713" s="58"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ht="12.75" customHeight="1" s="348">
      <c r="A714" s="58"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ht="12.75" customHeight="1" s="348">
      <c r="A715" s="58"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ht="12.75" customHeight="1" s="348">
      <c r="A716" s="58"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ht="12.75" customHeight="1" s="348">
      <c r="A717" s="58"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ht="12.75" customHeight="1" s="348">
      <c r="A718" s="58"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ht="12.75" customHeight="1" s="348">
      <c r="A719" s="58"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ht="12.75" customHeight="1" s="348">
      <c r="A720" s="58"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ht="12.75" customHeight="1" s="348">
      <c r="A721" s="58"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ht="12.75" customHeight="1" s="348">
      <c r="A722" s="58"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ht="12.75" customHeight="1" s="348">
      <c r="A723" s="58"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ht="12.75" customHeight="1" s="348">
      <c r="A724" s="58"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ht="12.75" customHeight="1" s="348">
      <c r="A725" s="58"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ht="12.75" customHeight="1" s="348">
      <c r="A726" s="58"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ht="12.75" customHeight="1" s="348">
      <c r="A727" s="58"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ht="12.75" customHeight="1" s="348">
      <c r="A728" s="58"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ht="12.75" customHeight="1" s="348">
      <c r="A729" s="58"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ht="12.75" customHeight="1" s="348">
      <c r="A730" s="58"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ht="12.75" customHeight="1" s="348">
      <c r="A731" s="58"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ht="12.75" customHeight="1" s="348">
      <c r="A732" s="58"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ht="12.75" customHeight="1" s="348">
      <c r="A733" s="58"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ht="12.75" customHeight="1" s="348">
      <c r="A734" s="58"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ht="12.75" customHeight="1" s="348">
      <c r="A735" s="58"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ht="12.75" customHeight="1" s="348">
      <c r="A736" s="58"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ht="12.75" customHeight="1" s="348">
      <c r="A737" s="58"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ht="12.75" customHeight="1" s="348">
      <c r="A738" s="58"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ht="12.75" customHeight="1" s="348">
      <c r="A739" s="58"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ht="12.75" customHeight="1" s="348">
      <c r="A740" s="58"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ht="12.75" customHeight="1" s="348">
      <c r="A741" s="58"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ht="12.75" customHeight="1" s="348">
      <c r="A742" s="58"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ht="12.75" customHeight="1" s="348">
      <c r="A743" s="58"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ht="12.75" customHeight="1" s="348">
      <c r="A744" s="58"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ht="12.75" customHeight="1" s="348">
      <c r="A745" s="58"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ht="12.75" customHeight="1" s="348">
      <c r="A746" s="58"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ht="12.75" customHeight="1" s="348">
      <c r="A747" s="58"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ht="12.75" customHeight="1" s="348">
      <c r="A748" s="58"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ht="12.75" customHeight="1" s="348">
      <c r="A749" s="58"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ht="12.75" customHeight="1" s="348">
      <c r="A750" s="58"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ht="12.75" customHeight="1" s="348">
      <c r="A751" s="58"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ht="12.75" customHeight="1" s="348">
      <c r="A752" s="58"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ht="12.75" customHeight="1" s="348">
      <c r="A753" s="58"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ht="12.75" customHeight="1" s="348">
      <c r="A754" s="58"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ht="12.75" customHeight="1" s="348">
      <c r="A755" s="58"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ht="12.75" customHeight="1" s="348">
      <c r="A756" s="58"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ht="12.75" customHeight="1" s="348">
      <c r="A757" s="58"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ht="12.75" customHeight="1" s="348">
      <c r="A758" s="58"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ht="12.75" customHeight="1" s="348">
      <c r="A759" s="58"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ht="12.75" customHeight="1" s="348">
      <c r="A760" s="58"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ht="12.75" customHeight="1" s="348">
      <c r="A761" s="58"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ht="12.75" customHeight="1" s="348">
      <c r="A762" s="58"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ht="12.75" customHeight="1" s="348">
      <c r="A763" s="58"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ht="12.75" customHeight="1" s="348">
      <c r="A764" s="58"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ht="12.75" customHeight="1" s="348">
      <c r="A765" s="58"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ht="12.75" customHeight="1" s="348">
      <c r="A766" s="58"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ht="12.75" customHeight="1" s="348">
      <c r="A767" s="58"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ht="12.75" customHeight="1" s="348">
      <c r="A768" s="58"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ht="12.75" customHeight="1" s="348">
      <c r="A769" s="58"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ht="12.75" customHeight="1" s="348">
      <c r="A770" s="58"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ht="12.75" customHeight="1" s="348">
      <c r="A771" s="58"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ht="12.75" customHeight="1" s="348">
      <c r="A772" s="58"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ht="12.75" customHeight="1" s="348">
      <c r="A773" s="58"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ht="12.75" customHeight="1" s="348">
      <c r="A774" s="58"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ht="12.75" customHeight="1" s="348">
      <c r="A775" s="58"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ht="12.75" customHeight="1" s="348">
      <c r="A776" s="58"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ht="12.75" customHeight="1" s="348">
      <c r="A777" s="58"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ht="12.75" customHeight="1" s="348">
      <c r="A778" s="58"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ht="12.75" customHeight="1" s="348">
      <c r="A779" s="58"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ht="12.75" customHeight="1" s="348">
      <c r="A780" s="58"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ht="12.75" customHeight="1" s="348">
      <c r="A781" s="58"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ht="12.75" customHeight="1" s="348">
      <c r="A782" s="58"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ht="12.75" customHeight="1" s="348">
      <c r="A783" s="58"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ht="12.75" customHeight="1" s="348">
      <c r="A784" s="58"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ht="12.75" customHeight="1" s="348">
      <c r="A785" s="58"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ht="12.75" customHeight="1" s="348">
      <c r="A786" s="58"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ht="12.75" customHeight="1" s="348">
      <c r="A787" s="58"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ht="12.75" customHeight="1" s="348">
      <c r="A788" s="58"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ht="12.75" customHeight="1" s="348">
      <c r="A789" s="58"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ht="12.75" customHeight="1" s="348">
      <c r="A790" s="58"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ht="12.75" customHeight="1" s="348">
      <c r="A791" s="58"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ht="12.75" customHeight="1" s="348">
      <c r="A792" s="58"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ht="12.75" customHeight="1" s="348">
      <c r="A793" s="58"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ht="12.75" customHeight="1" s="348">
      <c r="A794" s="58"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ht="12.75" customHeight="1" s="348">
      <c r="A795" s="58"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ht="12.75" customHeight="1" s="348">
      <c r="A796" s="58"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ht="12.75" customHeight="1" s="348">
      <c r="A797" s="58"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ht="12.75" customHeight="1" s="348">
      <c r="A798" s="58"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ht="12.75" customHeight="1" s="348">
      <c r="A799" s="58"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ht="12.75" customHeight="1" s="348">
      <c r="A800" s="58"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ht="12.75" customHeight="1" s="348">
      <c r="A801" s="58"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ht="12.75" customHeight="1" s="348">
      <c r="A802" s="58"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ht="12.75" customHeight="1" s="348">
      <c r="A803" s="58"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ht="12.75" customHeight="1" s="348">
      <c r="A804" s="58"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ht="12.75" customHeight="1" s="348">
      <c r="A805" s="58"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ht="12.75" customHeight="1" s="348">
      <c r="A806" s="58"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ht="12.75" customHeight="1" s="348">
      <c r="A807" s="58"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ht="12.75" customHeight="1" s="348">
      <c r="A808" s="58"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ht="12.75" customHeight="1" s="348">
      <c r="A809" s="58"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ht="12.75" customHeight="1" s="348">
      <c r="A810" s="58"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ht="12.75" customHeight="1" s="348">
      <c r="A811" s="58"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ht="12.75" customHeight="1" s="348">
      <c r="A812" s="58"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ht="12.75" customHeight="1" s="348">
      <c r="A813" s="58"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ht="12.75" customHeight="1" s="348">
      <c r="A814" s="58"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ht="12.75" customHeight="1" s="348">
      <c r="A815" s="58"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ht="12.75" customHeight="1" s="348">
      <c r="A816" s="58"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ht="12.75" customHeight="1" s="348">
      <c r="A817" s="58"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ht="12.75" customHeight="1" s="348">
      <c r="A818" s="58"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ht="12.75" customHeight="1" s="348">
      <c r="A819" s="58"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ht="12.75" customHeight="1" s="348">
      <c r="A820" s="58"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ht="12.75" customHeight="1" s="348">
      <c r="A821" s="58"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ht="12.75" customHeight="1" s="348">
      <c r="A822" s="58"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ht="12.75" customHeight="1" s="348">
      <c r="A823" s="58"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ht="12.75" customHeight="1" s="348">
      <c r="A824" s="58"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ht="12.75" customHeight="1" s="348">
      <c r="A825" s="58"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ht="12.75" customHeight="1" s="348">
      <c r="A826" s="58"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ht="12.75" customHeight="1" s="348">
      <c r="A827" s="58"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ht="12.75" customHeight="1" s="348">
      <c r="A828" s="58"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ht="12.75" customHeight="1" s="348">
      <c r="A829" s="58"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ht="12.75" customHeight="1" s="348">
      <c r="A830" s="58"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ht="12.75" customHeight="1" s="348">
      <c r="A831" s="58"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ht="12.75" customHeight="1" s="348">
      <c r="A832" s="58"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ht="12.75" customHeight="1" s="348">
      <c r="A833" s="58"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ht="12.75" customHeight="1" s="348">
      <c r="A834" s="58"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ht="12.75" customHeight="1" s="348">
      <c r="A835" s="58"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ht="12.75" customHeight="1" s="348">
      <c r="A836" s="58"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ht="12.75" customHeight="1" s="348">
      <c r="A837" s="58"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ht="12.75" customHeight="1" s="348">
      <c r="A838" s="58"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ht="12.75" customHeight="1" s="348">
      <c r="A839" s="58"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ht="12.75" customHeight="1" s="348">
      <c r="A840" s="58"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ht="12.75" customHeight="1" s="348">
      <c r="A841" s="58"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ht="12.75" customHeight="1" s="348">
      <c r="A842" s="58"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ht="12.75" customHeight="1" s="348">
      <c r="A843" s="58"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ht="12.75" customHeight="1" s="348">
      <c r="A844" s="58"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ht="12.75" customHeight="1" s="348">
      <c r="A845" s="58"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ht="12.75" customHeight="1" s="348">
      <c r="A846" s="58"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ht="12.75" customHeight="1" s="348">
      <c r="A847" s="58"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ht="12.75" customHeight="1" s="348">
      <c r="A848" s="58"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ht="12.75" customHeight="1" s="348">
      <c r="A849" s="58"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ht="12.75" customHeight="1" s="348">
      <c r="A850" s="58"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ht="12.75" customHeight="1" s="348">
      <c r="A851" s="58"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ht="12.75" customHeight="1" s="348">
      <c r="A852" s="58"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ht="12.75" customHeight="1" s="348">
      <c r="A853" s="58"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ht="12.75" customHeight="1" s="348">
      <c r="A854" s="58"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ht="12.75" customHeight="1" s="348">
      <c r="A855" s="58"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ht="12.75" customHeight="1" s="348">
      <c r="A856" s="58"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ht="12.75" customHeight="1" s="348">
      <c r="A857" s="58"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ht="12.75" customHeight="1" s="348">
      <c r="A858" s="58"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ht="12.75" customHeight="1" s="348">
      <c r="A859" s="58"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ht="12.75" customHeight="1" s="348">
      <c r="A860" s="58"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ht="12.75" customHeight="1" s="348">
      <c r="A861" s="58"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ht="12.75" customHeight="1" s="348">
      <c r="A862" s="58"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ht="12.75" customHeight="1" s="348">
      <c r="A863" s="58"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ht="12.75" customHeight="1" s="348">
      <c r="A864" s="58"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ht="12.75" customHeight="1" s="348">
      <c r="A865" s="58"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ht="12.75" customHeight="1" s="348">
      <c r="A866" s="58"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ht="12.75" customHeight="1" s="348">
      <c r="A867" s="58"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ht="12.75" customHeight="1" s="348">
      <c r="A868" s="58"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ht="12.75" customHeight="1" s="348">
      <c r="A869" s="58"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ht="12.75" customHeight="1" s="348">
      <c r="A870" s="58"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ht="12.75" customHeight="1" s="348">
      <c r="A871" s="58"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ht="12.75" customHeight="1" s="348">
      <c r="A872" s="58"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ht="12.75" customHeight="1" s="348">
      <c r="A873" s="58"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ht="12.75" customHeight="1" s="348">
      <c r="A874" s="58"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ht="12.75" customHeight="1" s="348">
      <c r="A875" s="58"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ht="12.75" customHeight="1" s="348">
      <c r="A876" s="58"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ht="12.75" customHeight="1" s="348">
      <c r="A877" s="58"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ht="12.75" customHeight="1" s="348">
      <c r="A878" s="58"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ht="12.75" customHeight="1" s="348">
      <c r="A879" s="58"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ht="12.75" customHeight="1" s="348">
      <c r="A880" s="58"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ht="12.75" customHeight="1" s="348">
      <c r="A881" s="58"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ht="12.75" customHeight="1" s="348">
      <c r="A882" s="58"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ht="12.75" customHeight="1" s="348">
      <c r="A883" s="58"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ht="12.75" customHeight="1" s="348">
      <c r="A884" s="58"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ht="12.75" customHeight="1" s="348">
      <c r="A885" s="58"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ht="12.75" customHeight="1" s="348">
      <c r="A886" s="58"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ht="12.75" customHeight="1" s="348">
      <c r="A887" s="58"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ht="12.75" customHeight="1" s="348">
      <c r="A888" s="58"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ht="12.75" customHeight="1" s="348">
      <c r="A889" s="58"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ht="12.75" customHeight="1" s="348">
      <c r="A890" s="58"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ht="12.75" customHeight="1" s="348">
      <c r="A891" s="58"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ht="12.75" customHeight="1" s="348">
      <c r="A892" s="58"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ht="12.75" customHeight="1" s="348">
      <c r="A893" s="58"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ht="12.75" customHeight="1" s="348">
      <c r="A894" s="58"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ht="12.75" customHeight="1" s="348">
      <c r="A895" s="58"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ht="12.75" customHeight="1" s="348">
      <c r="A896" s="58"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ht="12.75" customHeight="1" s="348">
      <c r="A897" s="58"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ht="12.75" customHeight="1" s="348">
      <c r="A898" s="58"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ht="12.75" customHeight="1" s="348">
      <c r="A899" s="58"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ht="12.75" customHeight="1" s="348">
      <c r="A900" s="58"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ht="12.75" customHeight="1" s="348">
      <c r="A901" s="58"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ht="12.75" customHeight="1" s="348">
      <c r="A902" s="58"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ht="12.75" customHeight="1" s="348">
      <c r="A903" s="58"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ht="12.75" customHeight="1" s="348">
      <c r="A904" s="58"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ht="12.75" customHeight="1" s="348">
      <c r="A905" s="58"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ht="12.75" customHeight="1" s="348">
      <c r="A906" s="58"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ht="12.75" customHeight="1" s="348">
      <c r="A907" s="58"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ht="12.75" customHeight="1" s="348">
      <c r="A908" s="58"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ht="12.75" customHeight="1" s="348">
      <c r="A909" s="58"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ht="12.75" customHeight="1" s="348">
      <c r="A910" s="58"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ht="12.75" customHeight="1" s="348">
      <c r="A911" s="58"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ht="12.75" customHeight="1" s="348">
      <c r="A912" s="58"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ht="12.75" customHeight="1" s="348">
      <c r="A913" s="58"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ht="12.75" customHeight="1" s="348">
      <c r="A914" s="58"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ht="12.75" customHeight="1" s="348">
      <c r="A915" s="58"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ht="12.75" customHeight="1" s="348">
      <c r="A916" s="58"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ht="12.75" customHeight="1" s="348">
      <c r="A917" s="58"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ht="12.75" customHeight="1" s="348">
      <c r="A918" s="58"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ht="12.75" customHeight="1" s="348">
      <c r="A919" s="58"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ht="12.75" customHeight="1" s="348">
      <c r="A920" s="58"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ht="12.75" customHeight="1" s="348">
      <c r="A921" s="58"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ht="12.75" customHeight="1" s="348">
      <c r="A922" s="58"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ht="12.75" customHeight="1" s="348">
      <c r="A923" s="58"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ht="12.75" customHeight="1" s="348">
      <c r="A924" s="58"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ht="12.75" customHeight="1" s="348">
      <c r="A925" s="58"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ht="12.75" customHeight="1" s="348">
      <c r="A926" s="58"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ht="12.75" customHeight="1" s="348">
      <c r="A927" s="58"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ht="12.75" customHeight="1" s="348">
      <c r="A928" s="58"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ht="12.75" customHeight="1" s="348">
      <c r="A929" s="58"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ht="12.75" customHeight="1" s="348">
      <c r="A930" s="58"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ht="12.75" customHeight="1" s="348">
      <c r="A931" s="58"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ht="12.75" customHeight="1" s="348">
      <c r="A932" s="58"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ht="12.75" customHeight="1" s="348">
      <c r="A933" s="58"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ht="12.75" customHeight="1" s="348">
      <c r="A934" s="58"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ht="12.75" customHeight="1" s="348">
      <c r="A935" s="58"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ht="12.75" customHeight="1" s="348">
      <c r="A936" s="58"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ht="12.75" customHeight="1" s="348">
      <c r="A937" s="58"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ht="12.75" customHeight="1" s="348">
      <c r="A938" s="58"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ht="12.75" customHeight="1" s="348">
      <c r="A939" s="58"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ht="12.75" customHeight="1" s="348">
      <c r="A940" s="58"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ht="12.75" customHeight="1" s="348">
      <c r="A941" s="58"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ht="12.75" customHeight="1" s="348">
      <c r="A942" s="58"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ht="12.75" customHeight="1" s="348">
      <c r="A943" s="58"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ht="12.75" customHeight="1" s="348">
      <c r="A944" s="58"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ht="12.75" customHeight="1" s="348">
      <c r="A945" s="58"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ht="12.75" customHeight="1" s="348">
      <c r="A946" s="58"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ht="12.75" customHeight="1" s="348">
      <c r="A947" s="58"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ht="12.75" customHeight="1" s="348">
      <c r="A948" s="58"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ht="12.75" customHeight="1" s="348">
      <c r="A949" s="58"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ht="12.75" customHeight="1" s="348">
      <c r="A950" s="58"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ht="12.75" customHeight="1" s="348">
      <c r="A951" s="58"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ht="12.75" customHeight="1" s="348">
      <c r="A952" s="58"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ht="12.75" customHeight="1" s="348">
      <c r="A953" s="58"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ht="12.75" customHeight="1" s="348">
      <c r="A954" s="58"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ht="12.75" customHeight="1" s="348">
      <c r="A955" s="58"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ht="12.75" customHeight="1" s="348">
      <c r="A956" s="58"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ht="12.75" customHeight="1" s="348">
      <c r="A957" s="58"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ht="12.75" customHeight="1" s="348">
      <c r="A958" s="58"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ht="12.75" customHeight="1" s="348">
      <c r="A959" s="58"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ht="12.75" customHeight="1" s="348">
      <c r="A960" s="58"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ht="12.75" customHeight="1" s="348">
      <c r="A961" s="58"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ht="12.75" customHeight="1" s="348">
      <c r="A962" s="58"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ht="12.75" customHeight="1" s="348">
      <c r="A963" s="58"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ht="12.75" customHeight="1" s="348">
      <c r="A964" s="58"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ht="12.75" customHeight="1" s="348">
      <c r="A965" s="58"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ht="12.75" customHeight="1" s="348">
      <c r="A966" s="58"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ht="12.75" customHeight="1" s="348">
      <c r="A967" s="58"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ht="12.75" customHeight="1" s="348">
      <c r="A968" s="58"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ht="12.75" customHeight="1" s="348">
      <c r="A969" s="58"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ht="12.75" customHeight="1" s="348">
      <c r="A970" s="58"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ht="12.75" customHeight="1" s="348">
      <c r="A971" s="58"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ht="12.75" customHeight="1" s="348">
      <c r="A972" s="58"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ht="12.75" customHeight="1" s="348">
      <c r="A973" s="58"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ht="12.75" customHeight="1" s="348">
      <c r="A974" s="58"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ht="12.75" customHeight="1" s="348">
      <c r="A975" s="58"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ht="12.75" customHeight="1" s="348">
      <c r="A976" s="58"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ht="12.75" customHeight="1" s="348">
      <c r="A977" s="58"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ht="12.75" customHeight="1" s="348">
      <c r="A978" s="58"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ht="12.75" customHeight="1" s="348">
      <c r="A979" s="58"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ht="12.75" customHeight="1" s="348">
      <c r="A980" s="58"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ht="12.75" customHeight="1" s="348">
      <c r="A981" s="58"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ht="12.75" customHeight="1" s="348">
      <c r="A982" s="58"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ht="12.75" customHeight="1" s="348">
      <c r="A983" s="58"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ht="12.75" customHeight="1" s="348">
      <c r="A984" s="58"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ht="12.75" customHeight="1" s="348">
      <c r="A985" s="58"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ht="12.75" customHeight="1" s="348">
      <c r="A986" s="58"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ht="12.75" customHeight="1" s="348">
      <c r="A987" s="58"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ht="12.75" customHeight="1" s="348">
      <c r="A988" s="58"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ht="12.75" customHeight="1" s="348">
      <c r="A989" s="58"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ht="12.75" customHeight="1" s="348">
      <c r="A990" s="58"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ht="12.75" customHeight="1" s="348">
      <c r="A991" s="58"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ht="12.75" customHeight="1" s="348">
      <c r="A992" s="58"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ht="12.75" customHeight="1" s="348">
      <c r="A993" s="58"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ht="12.75" customHeight="1" s="348">
      <c r="A994" s="58"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ht="12.75" customHeight="1" s="348">
      <c r="A995" s="58"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ht="12.75" customHeight="1" s="348">
      <c r="A996" s="58"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ht="12.75" customHeight="1" s="348">
      <c r="A997" s="58"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ht="12.75" customHeight="1" s="348">
      <c r="A998" s="58"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ht="12.75" customHeight="1" s="348">
      <c r="A999" s="58"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ht="12.75" customHeight="1" s="348">
      <c r="A1000" s="58"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row r="1001" ht="12.75" customHeight="1" s="348">
      <c r="A1001" s="58" t="n"/>
      <c r="B1001" s="15" t="n"/>
      <c r="C1001" s="15" t="n"/>
      <c r="D1001" s="15" t="n"/>
      <c r="E1001" s="15" t="n"/>
      <c r="F1001" s="15" t="n"/>
      <c r="G1001" s="15" t="n"/>
      <c r="H1001" s="15" t="n"/>
      <c r="I1001" s="15" t="n"/>
      <c r="J1001" s="15" t="n"/>
      <c r="K1001" s="15" t="n"/>
      <c r="L1001" s="15" t="n"/>
      <c r="M1001" s="15" t="n"/>
      <c r="N1001" s="15" t="n"/>
      <c r="O1001" s="15" t="n"/>
      <c r="P1001" s="15" t="n"/>
      <c r="Q1001" s="15" t="n"/>
      <c r="R1001" s="15" t="n"/>
      <c r="S1001" s="15" t="n"/>
      <c r="T1001" s="15" t="n"/>
      <c r="U1001" s="15" t="n"/>
      <c r="V1001" s="15" t="n"/>
      <c r="W1001" s="15" t="n"/>
      <c r="X1001" s="15" t="n"/>
      <c r="Y1001" s="15" t="n"/>
      <c r="Z1001" s="15" t="n"/>
    </row>
    <row r="1002" ht="12.75" customHeight="1" s="348">
      <c r="A1002" s="58" t="n"/>
      <c r="B1002" s="15" t="n"/>
      <c r="C1002" s="15" t="n"/>
      <c r="D1002" s="15" t="n"/>
      <c r="E1002" s="15" t="n"/>
      <c r="F1002" s="15" t="n"/>
      <c r="G1002" s="15" t="n"/>
      <c r="H1002" s="15" t="n"/>
      <c r="I1002" s="15" t="n"/>
      <c r="J1002" s="15" t="n"/>
      <c r="K1002" s="15" t="n"/>
      <c r="L1002" s="15" t="n"/>
      <c r="M1002" s="15" t="n"/>
      <c r="N1002" s="15" t="n"/>
      <c r="O1002" s="15" t="n"/>
      <c r="P1002" s="15" t="n"/>
      <c r="Q1002" s="15" t="n"/>
      <c r="R1002" s="15" t="n"/>
      <c r="S1002" s="15" t="n"/>
      <c r="T1002" s="15" t="n"/>
      <c r="U1002" s="15" t="n"/>
      <c r="V1002" s="15" t="n"/>
      <c r="W1002" s="15" t="n"/>
      <c r="X1002" s="15" t="n"/>
      <c r="Y1002" s="15" t="n"/>
      <c r="Z1002" s="15" t="n"/>
    </row>
    <row r="1003" ht="12.75" customHeight="1" s="348">
      <c r="A1003" s="58" t="n"/>
      <c r="B1003" s="15" t="n"/>
      <c r="C1003" s="15" t="n"/>
      <c r="D1003" s="15" t="n"/>
      <c r="E1003" s="15" t="n"/>
      <c r="F1003" s="15" t="n"/>
      <c r="G1003" s="15" t="n"/>
      <c r="H1003" s="15" t="n"/>
      <c r="I1003" s="15" t="n"/>
      <c r="J1003" s="15" t="n"/>
      <c r="K1003" s="15" t="n"/>
      <c r="L1003" s="15" t="n"/>
      <c r="M1003" s="15" t="n"/>
      <c r="N1003" s="15" t="n"/>
      <c r="O1003" s="15" t="n"/>
      <c r="P1003" s="15" t="n"/>
      <c r="Q1003" s="15" t="n"/>
      <c r="R1003" s="15" t="n"/>
      <c r="S1003" s="15" t="n"/>
      <c r="T1003" s="15" t="n"/>
      <c r="U1003" s="15" t="n"/>
      <c r="V1003" s="15" t="n"/>
      <c r="W1003" s="15" t="n"/>
      <c r="X1003" s="15" t="n"/>
      <c r="Y1003" s="15" t="n"/>
      <c r="Z1003" s="15" t="n"/>
    </row>
    <row r="1004" ht="12.75" customHeight="1" s="348">
      <c r="A1004" s="58" t="n"/>
      <c r="B1004" s="15" t="n"/>
      <c r="C1004" s="15" t="n"/>
      <c r="D1004" s="15" t="n"/>
      <c r="E1004" s="15" t="n"/>
      <c r="F1004" s="15" t="n"/>
      <c r="G1004" s="15" t="n"/>
      <c r="H1004" s="15" t="n"/>
      <c r="I1004" s="15" t="n"/>
      <c r="J1004" s="15" t="n"/>
      <c r="K1004" s="15" t="n"/>
      <c r="L1004" s="15" t="n"/>
      <c r="M1004" s="15" t="n"/>
      <c r="N1004" s="15" t="n"/>
      <c r="O1004" s="15" t="n"/>
      <c r="P1004" s="15" t="n"/>
      <c r="Q1004" s="15" t="n"/>
      <c r="R1004" s="15" t="n"/>
      <c r="S1004" s="15" t="n"/>
      <c r="T1004" s="15" t="n"/>
      <c r="U1004" s="15" t="n"/>
      <c r="V1004" s="15" t="n"/>
      <c r="W1004" s="15" t="n"/>
      <c r="X1004" s="15" t="n"/>
      <c r="Y1004" s="15" t="n"/>
      <c r="Z1004" s="15" t="n"/>
    </row>
  </sheetData>
  <hyperlinks>
    <hyperlink xmlns:r="http://schemas.openxmlformats.org/officeDocument/2006/relationships" ref="A6" r:id="rId1"/>
  </hyperlinks>
  <pageMargins left="0.75" right="0.75" top="1" bottom="1" header="0" footer="0"/>
  <pageSetup orientation="portrait" scale="75"/>
  <headerFooter>
    <oddHeader>&amp;CCommon Data Set 2019-2020</oddHeader>
    <oddFooter>&amp;C&amp;A&amp;RPage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Michaela Suzon</dc:creator>
  <dcterms:created xsi:type="dcterms:W3CDTF">2022-10-17T19:14:16Z</dcterms:created>
  <dcterms:modified xsi:type="dcterms:W3CDTF">2025-11-27T12:44:08Z</dcterms:modified>
  <cp:lastModifiedBy>Stuby, Emily Ann</cp:lastModifiedBy>
</cp:coreProperties>
</file>